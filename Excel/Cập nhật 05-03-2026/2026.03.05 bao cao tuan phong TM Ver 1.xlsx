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Cập nhật 05-03-2026\"/>
    </mc:Choice>
  </mc:AlternateContent>
  <xr:revisionPtr revIDLastSave="0" documentId="13_ncr:1_{EF840A5D-A5F3-4DA7-B736-694AE9019184}" xr6:coauthVersionLast="47" xr6:coauthVersionMax="47" xr10:uidLastSave="{00000000-0000-0000-0000-000000000000}"/>
  <bookViews>
    <workbookView xWindow="-19310" yWindow="-110" windowWidth="19420" windowHeight="10300" firstSheet="2" activeTab="2" xr2:uid="{00000000-000D-0000-FFFF-FFFF00000000}"/>
  </bookViews>
  <sheets>
    <sheet name="Sub contractor" sheetId="5" r:id="rId1"/>
    <sheet name="Tontai Vuongmac va Phuong an" sheetId="4" r:id="rId2"/>
    <sheet name="Purchase" sheetId="1" r:id="rId3"/>
  </sheets>
  <definedNames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Goi8" hidden="1">{"'Sheet1'!$L$16"}</definedName>
    <definedName name="________________Lan1" hidden="1">{"'Sheet1'!$L$16"}</definedName>
    <definedName name="________________LAN3" hidden="1">{"'Sheet1'!$L$16"}</definedName>
    <definedName name="______________PA3" hidden="1">{"'Sheet1'!$L$16"}</definedName>
    <definedName name="___________TM2" hidden="1">{"'Sheet1'!$L$16"}</definedName>
    <definedName name="___________tt3" hidden="1">{"'Sheet1'!$L$16"}</definedName>
    <definedName name="_________Goi8" hidden="1">{"'Sheet1'!$L$16"}</definedName>
    <definedName name="_________Lan1" hidden="1">{"'Sheet1'!$L$16"}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Goi8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Lan1" hidden="1">{"'Sheet1'!$L$16"}</definedName>
    <definedName name="________LAN3" hidden="1">{"'Sheet1'!$L$16"}</definedName>
    <definedName name="________TM2" hidden="1">{"'Sheet1'!$L$16"}</definedName>
    <definedName name="________tt3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h1" hidden="1">{"'Sheet1'!$L$16"}</definedName>
    <definedName name="_______LAN3" hidden="1">{"'Sheet1'!$L$16"}</definedName>
    <definedName name="_______TM2" hidden="1">{"'Sheet1'!$L$16"}</definedName>
    <definedName name="_______tt3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m2" hidden="1">{"'Sheet1'!$L$16"}</definedName>
    <definedName name="______CP31" hidden="1">{"'Sheet1'!$L$16"}</definedName>
    <definedName name="______Goi8" hidden="1">{"'Sheet1'!$L$16"}</definedName>
    <definedName name="______Lan1" hidden="1">{"'Sheet1'!$L$16"}</definedName>
    <definedName name="______LAN3" hidden="1">{"'Sheet1'!$L$16"}</definedName>
    <definedName name="______NCN15" hidden="1">{"'Sheet1'!$L$16"}</definedName>
    <definedName name="______PA3" hidden="1">{"'Sheet1'!$L$16"}</definedName>
    <definedName name="______TH20004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Bm2" hidden="1">{"'Sheet1'!$L$16"}</definedName>
    <definedName name="_____CP31" hidden="1">{"'Sheet1'!$L$16"}</definedName>
    <definedName name="_____d1500" hidden="1">{"'Sheet1'!$L$16"}</definedName>
    <definedName name="_____Goi8" hidden="1">{"'Sheet1'!$L$16"}</definedName>
    <definedName name="_____KM130" hidden="1">{"'Sheet1'!$L$16"}</definedName>
    <definedName name="_____Lan1" hidden="1">{"'Sheet1'!$L$16"}</definedName>
    <definedName name="_____LAN3" hidden="1">{"'Sheet1'!$L$16"}</definedName>
    <definedName name="_____PA3" hidden="1">{"'Sheet1'!$L$16"}</definedName>
    <definedName name="_____TH20004" hidden="1">{"'Sheet1'!$L$16"}</definedName>
    <definedName name="_____TM2" hidden="1">{"'Sheet1'!$L$16"}</definedName>
    <definedName name="_____tt3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Goi8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Lan1" hidden="1">{"'Sheet1'!$L$16"}</definedName>
    <definedName name="____LAN3" hidden="1">{"'Sheet1'!$L$16"}</definedName>
    <definedName name="____NCN15" hidden="1">{"'Sheet1'!$L$16"}</definedName>
    <definedName name="____PA3" hidden="1">{"'Sheet1'!$L$16"}</definedName>
    <definedName name="____TM2" hidden="1">{"'Sheet1'!$L$16"}</definedName>
    <definedName name="____tt3" hidden="1">{"'Sheet1'!$L$16"}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Lan1" hidden="1">{"'Sheet1'!$L$16"}</definedName>
    <definedName name="___LAN3" hidden="1">{"'Sheet1'!$L$16"}</definedName>
    <definedName name="___NCN15" hidden="1">{"'Sheet1'!$L$16"}</definedName>
    <definedName name="___PA3" hidden="1">{"'Sheet1'!$L$16"}</definedName>
    <definedName name="___SCL4" hidden="1">{"'Sheet1'!$L$16"}</definedName>
    <definedName name="___TM2" hidden="1">{"'Sheet1'!$L$16"}</definedName>
    <definedName name="___tt3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8" hidden="1">{"'Sheet1'!$L$16"}</definedName>
    <definedName name="__a9" hidden="1">{"'Sheet1'!$L$16"}</definedName>
    <definedName name="__doi3" hidden="1">{"'Sheet1'!$L$16"}</definedName>
    <definedName name="__doi5" hidden="1">{"'Sheet1'!$L$16"}</definedName>
    <definedName name="__Goi8" hidden="1">{"'Sheet1'!$L$16"}</definedName>
    <definedName name="__h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KL3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NCN15" hidden="1">{"'Sheet1'!$L$16"}</definedName>
    <definedName name="__NK5" hidden="1">{"'Sheet1'!$L$16"}</definedName>
    <definedName name="__PA3" hidden="1">{"'Sheet1'!$L$16"}</definedName>
    <definedName name="__QLO7" localSheetId="0" hidden="1">#REF!</definedName>
    <definedName name="__QLO7" hidden="1">#REF!</definedName>
    <definedName name="__T10" hidden="1">{"'Sheet1'!$L$16"}</definedName>
    <definedName name="__tb2" hidden="1">{"'Sheet1'!$L$16"}</definedName>
    <definedName name="__td1" hidden="1">{"'Sheet1'!$L$16"}</definedName>
    <definedName name="__TM2" hidden="1">{"'Sheet1'!$L$16"}</definedName>
    <definedName name="__tt3" hidden="1">{"'Sheet1'!$L$16"}</definedName>
    <definedName name="_a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{"'Sheet1'!$L$16"}</definedName>
    <definedName name="_A8" hidden="1">{"'Sheet1'!$L$16"}</definedName>
    <definedName name="_a9" hidden="1">{"'Sheet1'!$L$16"}</definedName>
    <definedName name="_Builtin155" hidden="1">#N/A</definedName>
    <definedName name="_Coc39" hidden="1">{"'Sheet1'!$L$16"}</definedName>
    <definedName name="_d1500" hidden="1">{"'Sheet1'!$L$16"}</definedName>
    <definedName name="_doi3" hidden="1">{"'Sheet1'!$L$16"}</definedName>
    <definedName name="_doi5" hidden="1">{"'Sheet1'!$L$16"}</definedName>
    <definedName name="_Fill" localSheetId="0" hidden="1">#REF!</definedName>
    <definedName name="_Fill" hidden="1">#REF!</definedName>
    <definedName name="_Goi8" hidden="1">{"'Sheet1'!$L$16"}</definedName>
    <definedName name="_h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M130" hidden="1">{"'Sheet1'!$L$16"}</definedName>
    <definedName name="_Lan1" hidden="1">{"'Sheet1'!$L$16"}</definedName>
    <definedName name="_LAN3" hidden="1">{"'Sheet1'!$L$16"}</definedName>
    <definedName name="_ld2" hidden="1">{"'Sheet1'!$L$16"}</definedName>
    <definedName name="_lk2" hidden="1">{"'Sheet1'!$L$16"}</definedName>
    <definedName name="_NCN15" hidden="1">{"'Sheet1'!$L$16"}</definedName>
    <definedName name="_NK5" hidden="1">{"'Sheet1'!$L$16"}</definedName>
    <definedName name="_Order1" hidden="1">255</definedName>
    <definedName name="_Order2" hidden="1">255</definedName>
    <definedName name="_PA3" hidden="1">{"'Sheet1'!$L$16"}</definedName>
    <definedName name="_Parse_Out" localSheetId="0" hidden="1">#REF!</definedName>
    <definedName name="_Parse_Out" hidden="1">#REF!</definedName>
    <definedName name="_QLO7" localSheetId="0" hidden="1">#REF!</definedName>
    <definedName name="_QLO7" hidden="1">#REF!</definedName>
    <definedName name="_SCL4" hidden="1">{"'Sheet1'!$L$16"}</definedName>
    <definedName name="_Sort" localSheetId="0" hidden="1">#REF!</definedName>
    <definedName name="_Sort" hidden="1">#REF!</definedName>
    <definedName name="_Sortmoi" localSheetId="0" hidden="1">#REF!</definedName>
    <definedName name="_Sortmoi" hidden="1">#REF!</definedName>
    <definedName name="_T10" hidden="1">{"'Sheet1'!$L$16"}</definedName>
    <definedName name="_tb2" hidden="1">{"'Sheet1'!$L$16"}</definedName>
    <definedName name="_td1" hidden="1">{"'Sheet1'!$L$16"}</definedName>
    <definedName name="_TM2" hidden="1">{"'Sheet1'!$L$16"}</definedName>
    <definedName name="_tt3" hidden="1">{"'Sheet1'!$L$16"}</definedName>
    <definedName name="â" hidden="1">{"'Sheet1'!$L$16"}</definedName>
    <definedName name="a1moi" hidden="1">{"'Sheet1'!$L$16"}</definedName>
    <definedName name="aa" localSheetId="0">#REF!</definedName>
    <definedName name="aa">#REF!</definedName>
    <definedName name="AccessDatabase" hidden="1">"C:\My Documents\tippaporn\MAT PRICE.mdb"</definedName>
    <definedName name="afasfsagfas" hidden="1">{#N/A,#N/A,FALSE,"Chi tiÆt"}</definedName>
    <definedName name="amoi" hidden="1">{"'Sheet1'!$L$16"}</definedName>
    <definedName name="anscount" hidden="1">1</definedName>
    <definedName name="Antoan" hidden="1">{"'Sheet1'!$L$16"}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ffgggh" hidden="1">{"'Sheet1'!$L$16"}</definedName>
    <definedName name="asf" hidden="1">{"'Sheet1'!$L$16"}</definedName>
    <definedName name="ATGT" hidden="1">{"'Sheet1'!$L$16"}</definedName>
    <definedName name="banQL" hidden="1">{"'Sheet1'!$L$16"}</definedName>
    <definedName name="BCHC1" hidden="1">{"'Sheet1'!$L$16"}</definedName>
    <definedName name="BG_Del" hidden="1">15</definedName>
    <definedName name="BG_Ins" hidden="1">4</definedName>
    <definedName name="BG_Mod" hidden="1">6</definedName>
    <definedName name="BTH" hidden="1">{"'Sheet1'!$L$16"}</definedName>
    <definedName name="btl" hidden="1">{"'Sheet1'!$L$16"}</definedName>
    <definedName name="c.BaMuoi" hidden="1">{"'Sheet1'!$L$16"}</definedName>
    <definedName name="C.MocTom" hidden="1">{"'Sheet1'!$L$16"}</definedName>
    <definedName name="chietchai2" hidden="1">{"'Sheet1'!$L$16"}</definedName>
    <definedName name="chitietbgiang2" hidden="1">{"'Sheet1'!$L$16"}</definedName>
    <definedName name="chl" hidden="1">{"'Sheet1'!$L$16"}</definedName>
    <definedName name="chuyen" hidden="1">{"'Sheet1'!$L$16"}</definedName>
    <definedName name="ci" hidden="1">{"'Sheet1'!$L$16"}</definedName>
    <definedName name="Coc_60" hidden="1">{"'Sheet1'!$L$16"}</definedName>
    <definedName name="COST.020" localSheetId="0" hidden="1">#REF!</definedName>
    <definedName name="COST.020" hidden="1">#REF!</definedName>
    <definedName name="COST.030" localSheetId="0" hidden="1">#REF!</definedName>
    <definedName name="COST.030" hidden="1">#REF!</definedName>
    <definedName name="COST.040" localSheetId="0" hidden="1">#REF!</definedName>
    <definedName name="COST.040" hidden="1">#REF!</definedName>
    <definedName name="COST.050" localSheetId="0" hidden="1">#REF!</definedName>
    <definedName name="COST.050" hidden="1">#REF!</definedName>
    <definedName name="COST.060" localSheetId="0" hidden="1">#REF!</definedName>
    <definedName name="COST.060" hidden="1">#REF!</definedName>
    <definedName name="COST.070" localSheetId="0" hidden="1">#REF!</definedName>
    <definedName name="COST.070" hidden="1">#REF!</definedName>
    <definedName name="COST.080" localSheetId="0" hidden="1">#REF!</definedName>
    <definedName name="COST.080" hidden="1">#REF!</definedName>
    <definedName name="COST.100" localSheetId="0" hidden="1">#REF!</definedName>
    <definedName name="COST.100" hidden="1">#REF!</definedName>
    <definedName name="COST.110" localSheetId="0" hidden="1">#REF!</definedName>
    <definedName name="COST.110" hidden="1">#REF!</definedName>
    <definedName name="COST.120" localSheetId="0" hidden="1">#REF!</definedName>
    <definedName name="COST.120" hidden="1">#REF!</definedName>
    <definedName name="COST.130" localSheetId="0" hidden="1">#REF!</definedName>
    <definedName name="COST.130" hidden="1">#REF!</definedName>
    <definedName name="COST.140" localSheetId="0" hidden="1">#REF!</definedName>
    <definedName name="COST.140" hidden="1">#REF!</definedName>
    <definedName name="COST.150" localSheetId="0" hidden="1">#REF!</definedName>
    <definedName name="COST.150" hidden="1">#REF!</definedName>
    <definedName name="COST.210" localSheetId="0" hidden="1">#REF!</definedName>
    <definedName name="COST.210" hidden="1">#REF!</definedName>
    <definedName name="COST.220" localSheetId="0" hidden="1">#REF!</definedName>
    <definedName name="COST.220" hidden="1">#REF!</definedName>
    <definedName name="COST.230" localSheetId="0" hidden="1">#REF!</definedName>
    <definedName name="COST.230" hidden="1">#REF!</definedName>
    <definedName name="COST.240" localSheetId="0" hidden="1">#REF!</definedName>
    <definedName name="COST.240" hidden="1">#REF!</definedName>
    <definedName name="COST.270" localSheetId="0" hidden="1">#REF!</definedName>
    <definedName name="COST.270" hidden="1">#REF!</definedName>
    <definedName name="COST.280" localSheetId="0" hidden="1">#REF!</definedName>
    <definedName name="COST.280" hidden="1">#REF!</definedName>
    <definedName name="COST.300" localSheetId="0" hidden="1">#REF!</definedName>
    <definedName name="COST.300" hidden="1">#REF!</definedName>
    <definedName name="COST.320" localSheetId="0" hidden="1">#REF!</definedName>
    <definedName name="COST.320" hidden="1">#REF!</definedName>
    <definedName name="COST.330" localSheetId="0" hidden="1">#REF!</definedName>
    <definedName name="COST.330" hidden="1">#REF!</definedName>
    <definedName name="COST.350" localSheetId="0" hidden="1">#REF!</definedName>
    <definedName name="COST.350" hidden="1">#REF!</definedName>
    <definedName name="COST.360" localSheetId="0" hidden="1">#REF!</definedName>
    <definedName name="COST.360" hidden="1">#REF!</definedName>
    <definedName name="COST.370" localSheetId="0" hidden="1">#REF!</definedName>
    <definedName name="COST.370" hidden="1">#REF!</definedName>
    <definedName name="COST.380" localSheetId="0" hidden="1">#REF!</definedName>
    <definedName name="COST.380" hidden="1">#REF!</definedName>
    <definedName name="COST.400" localSheetId="0" hidden="1">#REF!</definedName>
    <definedName name="COST.400" hidden="1">#REF!</definedName>
    <definedName name="COST290" localSheetId="0" hidden="1">#REF!</definedName>
    <definedName name="COST290" hidden="1">#REF!</definedName>
    <definedName name="cotycap" hidden="1">{"'Sheet1'!$L$16"}</definedName>
    <definedName name="CPM" hidden="1">{#N/A,#N/A,FALSE,"Chi tiÆt"}</definedName>
    <definedName name="ctbbt" hidden="1">{"'Sheet1'!$L$16"}</definedName>
    <definedName name="CTCT1" hidden="1">{"'Sheet1'!$L$16"}</definedName>
    <definedName name="CTGS" hidden="1">{"'Sheet1'!$L$16"}</definedName>
    <definedName name="ctieu" hidden="1">{"'Sheet1'!$L$16"}</definedName>
    <definedName name="cung" hidden="1">{"'Sheet1'!$L$16"}</definedName>
    <definedName name="dao" hidden="1">{"'Sheet1'!$L$16"}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fh" hidden="1">{"'Sheet1'!$L$16"}</definedName>
    <definedName name="DFSDF" hidden="1">{"'Sheet1'!$L$16"}</definedName>
    <definedName name="dfsfsd" hidden="1">{"'Sheet1'!$L$16"}</definedName>
    <definedName name="diengiai" hidden="1">{"'Sheet1'!$L$16"}</definedName>
    <definedName name="direct1" localSheetId="0" hidden="1">#REF!</definedName>
    <definedName name="direct1" hidden="1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j" hidden="1">{"'Sheet1'!$L$16"}</definedName>
    <definedName name="dthft" hidden="1">{"'Sheet1'!$L$16"}</definedName>
    <definedName name="DTTVGM163" hidden="1">{"'Sheet1'!$L$16"}</definedName>
    <definedName name="Du" localSheetId="0" hidden="1">#REF!</definedName>
    <definedName name="Du" hidden="1">#REF!</definedName>
    <definedName name="Duongnaco" hidden="1">{"'Sheet1'!$L$16"}</definedName>
    <definedName name="DWPRICE" localSheetId="0" hidden="1">#REF!</definedName>
    <definedName name="DWPRICE" hidden="1">#REF!</definedName>
    <definedName name="Dy" localSheetId="0" hidden="1">#REF!</definedName>
    <definedName name="Dy" hidden="1">#REF!</definedName>
    <definedName name="e" hidden="1">{"'Sheet1'!$L$16"}</definedName>
    <definedName name="egsf" hidden="1">{"'Sheet1'!$L$16"}</definedName>
    <definedName name="fáaafafaf" hidden="1">{"'Sheet1'!$L$16"}</definedName>
    <definedName name="fasfaga" hidden="1">{"'Sheet1'!$L$16"}</definedName>
    <definedName name="FCode" localSheetId="0" hidden="1">#REF!</definedName>
    <definedName name="FCode" hidden="1">#REF!</definedName>
    <definedName name="fdfsf" hidden="1">{#N/A,#N/A,FALSE,"Chi tiÆt"}</definedName>
    <definedName name="fdg" hidden="1">{"'Sheet1'!$L$16"}</definedName>
    <definedName name="fdgfg" hidden="1">{"'Sheet1'!$L$16"}</definedName>
    <definedName name="fdsfsdfd" hidden="1">{"'Sheet1'!$L$16"}</definedName>
    <definedName name="ff" hidden="1">{"'Sheet1'!$L$16"}</definedName>
    <definedName name="ffas" hidden="1">{"'Sheet1'!$L$16"}</definedName>
    <definedName name="fffffffffffffff" hidden="1">{"'Sheet1'!$L$16"}</definedName>
    <definedName name="fg" hidden="1">{"'Sheet1'!$L$16"}</definedName>
    <definedName name="fsdfdsf" hidden="1">{"'Sheet1'!$L$16"}</definedName>
    <definedName name="ft" hidden="1">{"'Sheet1'!$L$16"}</definedName>
    <definedName name="gdfgdfgdf" hidden="1">{"'Sheet1'!$L$16"}</definedName>
    <definedName name="ggg" hidden="1">{"'Sheet1'!$L$16"}</definedName>
    <definedName name="gggg" hidden="1">{"'Sheet1'!$L$16"}</definedName>
    <definedName name="ggsf" localSheetId="0" hidden="1">#REF!</definedName>
    <definedName name="ggsf" hidden="1">#REF!</definedName>
    <definedName name="ghj" hidden="1">{"'Sheet1'!$L$16"}</definedName>
    <definedName name="GTOTAL" hidden="1">{"'Sheet1'!$L$16"}</definedName>
    <definedName name="h" hidden="1">{"'Sheet1'!$L$16"}</definedName>
    <definedName name="haq" hidden="1">{"'Sheet1'!$L$16"}</definedName>
    <definedName name="HCNA" hidden="1">{"'Sheet1'!$L$16"}</definedName>
    <definedName name="hethongthoatnuocngoainha" localSheetId="0" hidden="1">#REF!</definedName>
    <definedName name="hethongthoatnuocngoainha" hidden="1">#REF!</definedName>
    <definedName name="HiddenRows" localSheetId="0" hidden="1">#REF!</definedName>
    <definedName name="HiddenRows" hidden="1">#REF!</definedName>
    <definedName name="hoa" hidden="1">{"'Sheet1'!$L$16"}</definedName>
    <definedName name="hoc" hidden="1">{"'Sheet1'!$L$16"}</definedName>
    <definedName name="htlm" hidden="1">{"'Sheet1'!$L$16"}</definedName>
    <definedName name="HTML_CodePage" hidden="1">950</definedName>
    <definedName name="HTML_Control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moi" hidden="1">{"'Sheet1'!$L$16"}</definedName>
    <definedName name="hu" hidden="1">{"'Sheet1'!$L$16"}</definedName>
    <definedName name="hui" hidden="1">{"'Sheet1'!$L$16"}</definedName>
    <definedName name="huy" hidden="1">{"'Sheet1'!$L$16"}</definedName>
    <definedName name="huy1moi" hidden="1">{"'Sheet1'!$L$16"}</definedName>
    <definedName name="huymoi" hidden="1">{"'Sheet1'!$L$16"}</definedName>
    <definedName name="Ìag" hidden="1">{"'Sheet1'!$L$16"}</definedName>
    <definedName name="INDIRECT_COST" localSheetId="0" hidden="1">#REF!</definedName>
    <definedName name="INDIRECT_COST" hidden="1">#REF!</definedName>
    <definedName name="jkjk" hidden="1">{"'Sheet1'!$L$16"}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hongtruotgia" hidden="1">{"'Sheet1'!$L$16"}</definedName>
    <definedName name="kkkk" hidden="1">{"'Sheet1'!$L$16"}</definedName>
    <definedName name="KLduonggiaod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lam" hidden="1">{"'Sheet1'!$L$16"}</definedName>
    <definedName name="langson" hidden="1">{"'Sheet1'!$L$16"}</definedName>
    <definedName name="mo" hidden="1">{"'Sheet1'!$L$16"}</definedName>
    <definedName name="moi" hidden="1">{"'Sheet1'!$L$16"}</definedName>
    <definedName name="nam" hidden="1">{"'Sheet1'!$L$16"}</definedName>
    <definedName name="Ne" hidden="1">{"'Sheet1'!$L$16"}</definedName>
    <definedName name="ngu" hidden="1">{"'Sheet1'!$L$16"}</definedName>
    <definedName name="nhappppppppp" hidden="1">{"'Sheet1'!$L$16"}</definedName>
    <definedName name="nnn" hidden="1">{"'Sheet1'!$L$16"}</definedName>
    <definedName name="NUOCHKHOAN" hidden="1">{"'Sheet1'!$L$16"}</definedName>
    <definedName name="NUOCHKHOANMOI" hidden="1">{"'Sheet1'!$L$16"}</definedName>
    <definedName name="OrderTable" localSheetId="0" hidden="1">#REF!</definedName>
    <definedName name="OrderTable" hidden="1">#REF!</definedName>
    <definedName name="PAIII_" hidden="1">{"'Sheet1'!$L$16"}</definedName>
    <definedName name="phanchia" hidden="1">{#N/A,#N/A,FALSE,"Chi tiÆt"}</definedName>
    <definedName name="phongve12KmTN" hidden="1">{"'Sheet1'!$L$16"}</definedName>
    <definedName name="phongve12KmTN1" hidden="1">{"'Sheet1'!$L$16"}</definedName>
    <definedName name="PlucBcaoTD" hidden="1">{"'Sheet1'!$L$16"}</definedName>
    <definedName name="PMS" hidden="1">{"'Sheet1'!$L$16"}</definedName>
    <definedName name="_xlnm.Print_Area" localSheetId="2">Purchase!$A$1:$O$162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tvtgiam" hidden="1">{"'Sheet1'!$L$16"}</definedName>
    <definedName name="q" hidden="1">{"'Sheet1'!$L$16"}</definedName>
    <definedName name="quan" hidden="1">{"'Sheet1'!$L$16"}</definedName>
    <definedName name="Ranhxay" hidden="1">{"'Sheet1'!$L$16"}</definedName>
    <definedName name="RCArea" localSheetId="0" hidden="1">#REF!</definedName>
    <definedName name="RCArea" hidden="1">#REF!</definedName>
    <definedName name="Result21" hidden="1">{"'Sheet1'!$L$16"}</definedName>
    <definedName name="rgdf" hidden="1">{"'Sheet1'!$L$16"}</definedName>
    <definedName name="RPLA" hidden="1">{"'Sheet1'!$L$16"}</definedName>
    <definedName name="s" hidden="1">{"'Sheet1'!$L$16"}</definedName>
    <definedName name="sas" hidden="1">{"'Sheet1'!$L$16"}</definedName>
    <definedName name="sdcsd" hidden="1">{"'Sheet1'!$L$16"}</definedName>
    <definedName name="sdf" hidden="1">{"'Sheet1'!$L$16"}</definedName>
    <definedName name="sdfsdfsd" hidden="1">{"'Sheet1'!$L$16"}</definedName>
    <definedName name="sdfsf" hidden="1">{"'Sheet1'!$L$16"}</definedName>
    <definedName name="sdgdfhdf" localSheetId="0" hidden="1">#REF!</definedName>
    <definedName name="sdgdfhdf" hidden="1">#REF!</definedName>
    <definedName name="sencount" hidden="1">1</definedName>
    <definedName name="sfsd" hidden="1">{"'Sheet1'!$L$16"}</definedName>
    <definedName name="SITE_EXPENSE" localSheetId="0" hidden="1">#REF!</definedName>
    <definedName name="SITE_EXPENSE" hidden="1">#REF!</definedName>
    <definedName name="Sosanh2" hidden="1">{"'Sheet1'!$L$16"}</definedName>
    <definedName name="SpecialPrice" localSheetId="0" hidden="1">#REF!</definedName>
    <definedName name="SpecialPrice" hidden="1">#REF!</definedName>
    <definedName name="sss" hidden="1">{"'Sheet1'!$L$16"}</definedName>
    <definedName name="T.3" hidden="1">{"'Sheet1'!$L$16"}</definedName>
    <definedName name="TamdanTB" hidden="1">{"'Sheet1'!$L$16"}</definedName>
    <definedName name="tbao" hidden="1">{"'Sheet1'!$L$16"}</definedName>
    <definedName name="tbl_ProdInfo" localSheetId="0" hidden="1">#REF!</definedName>
    <definedName name="tbl_ProdInfo" hidden="1">#REF!</definedName>
    <definedName name="tem" hidden="1">{"'Sheet1'!$L$16"}</definedName>
    <definedName name="tha" hidden="1">{"'Sheet1'!$L$16"}</definedName>
    <definedName name="Thang1" hidden="1">{"'Sheet1'!$L$16"}</definedName>
    <definedName name="thang10" hidden="1">{"'Sheet1'!$L$16"}</definedName>
    <definedName name="thanh" hidden="1">{"'Sheet1'!$L$16"}</definedName>
    <definedName name="thao" hidden="1">{"'Sheet1'!$L$16"}</definedName>
    <definedName name="THKP7YT" hidden="1">{"'Sheet1'!$L$16"}</definedName>
    <definedName name="thu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uyennhanh" hidden="1">{"'Sheet1'!$L$16"}</definedName>
    <definedName name="Ud" localSheetId="0" hidden="1">#REF!</definedName>
    <definedName name="Ud" hidden="1">#REF!</definedName>
    <definedName name="UNIT" localSheetId="0" hidden="1">#REF!</definedName>
    <definedName name="UNIT" hidden="1">#REF!</definedName>
    <definedName name="Uy" localSheetId="0" hidden="1">#REF!</definedName>
    <definedName name="Uy" hidden="1">#REF!</definedName>
    <definedName name="VATM" hidden="1">{"'Sheet1'!$L$16"}</definedName>
    <definedName name="vcoto" hidden="1">{"'Sheet1'!$L$16"}</definedName>
    <definedName name="Viet" hidden="1">{"'Sheet1'!$L$16"}</definedName>
    <definedName name="vlct" hidden="1">{"'Sheet1'!$L$16"}</definedName>
    <definedName name="wrn.aaa." hidden="1">{#N/A,#N/A,FALSE,"Sheet1";#N/A,#N/A,FALSE,"Sheet1";#N/A,#N/A,FALSE,"Sheet1"}</definedName>
    <definedName name="wrn.chi._.tiÆt." hidden="1">{#N/A,#N/A,FALSE,"Chi tiÆt"}</definedName>
    <definedName name="wrn.cong." hidden="1">{#N/A,#N/A,FALSE,"Sheet1"}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lttbninh" hidden="1">{"'Sheet1'!$L$16"}</definedName>
    <definedName name="xvxcvxc" hidden="1">{"'Sheet1'!$L$16"}</definedName>
    <definedName name="Yd" localSheetId="0" hidden="1">#REF!</definedName>
    <definedName name="Yd" hidden="1">#REF!</definedName>
    <definedName name="yttuki" hidden="1">{"'Sheet1'!$L$16"}</definedName>
    <definedName name="Yu" localSheetId="0" hidden="1">#REF!</definedName>
    <definedName name="Yu" hidden="1">#REF!</definedName>
    <definedName name="Z_B6D82DE0_6701_11DA_9820_00304F1E4471_.wvu.Cols" localSheetId="0" hidden="1">#REF!</definedName>
    <definedName name="Z_B6D82DE0_6701_11DA_9820_00304F1E4471_.wvu.Cols" hidden="1">#REF!</definedName>
    <definedName name="ZXzX" hidden="1">{"'Sheet1'!$L$16"}</definedName>
  </definedNames>
  <calcPr calcId="191029"/>
</workbook>
</file>

<file path=xl/calcChain.xml><?xml version="1.0" encoding="utf-8"?>
<calcChain xmlns="http://schemas.openxmlformats.org/spreadsheetml/2006/main">
  <c r="N162" i="1" l="1"/>
  <c r="N161" i="1"/>
  <c r="N160" i="1"/>
  <c r="N159" i="1"/>
  <c r="N158" i="1"/>
  <c r="N157" i="1"/>
  <c r="N155" i="1"/>
  <c r="N154" i="1"/>
  <c r="N153" i="1"/>
  <c r="N152" i="1"/>
  <c r="N151" i="1"/>
  <c r="N150" i="1"/>
  <c r="N2" i="1" l="1"/>
  <c r="N148" i="1" l="1"/>
  <c r="N147" i="1"/>
  <c r="N146" i="1"/>
  <c r="N145" i="1"/>
  <c r="N144" i="1"/>
  <c r="N143" i="1"/>
  <c r="N141" i="1"/>
  <c r="N140" i="1"/>
  <c r="N139" i="1"/>
  <c r="N138" i="1"/>
  <c r="N137" i="1"/>
  <c r="N79" i="1"/>
  <c r="N78" i="1"/>
  <c r="N77" i="1"/>
  <c r="N76" i="1"/>
  <c r="N75" i="1"/>
  <c r="N74" i="1"/>
  <c r="N87" i="1" l="1"/>
  <c r="N86" i="1"/>
  <c r="N85" i="1"/>
  <c r="N91" i="1" l="1"/>
  <c r="N90" i="1"/>
  <c r="N89" i="1"/>
  <c r="N95" i="1" l="1"/>
  <c r="N94" i="1"/>
  <c r="N93" i="1"/>
  <c r="N120" i="1" l="1"/>
  <c r="N119" i="1"/>
  <c r="N118" i="1"/>
  <c r="N117" i="1"/>
  <c r="N116" i="1"/>
  <c r="N115" i="1"/>
  <c r="N127" i="1" l="1"/>
  <c r="N126" i="1"/>
  <c r="N125" i="1"/>
  <c r="N124" i="1"/>
  <c r="N123" i="1"/>
  <c r="N122" i="1"/>
  <c r="N134" i="1" l="1"/>
  <c r="N133" i="1"/>
  <c r="N132" i="1"/>
  <c r="N131" i="1"/>
  <c r="N130" i="1"/>
  <c r="N129" i="1"/>
  <c r="N136" i="1"/>
  <c r="N53" i="1" l="1"/>
  <c r="N52" i="1"/>
  <c r="N51" i="1"/>
  <c r="N72" i="1" l="1"/>
  <c r="N71" i="1"/>
  <c r="N70" i="1"/>
  <c r="N69" i="1"/>
  <c r="N68" i="1"/>
  <c r="N67" i="1"/>
  <c r="H29" i="5" l="1"/>
  <c r="H28" i="5"/>
  <c r="H27" i="5"/>
  <c r="H26" i="5"/>
  <c r="H25" i="5"/>
  <c r="H24" i="5"/>
  <c r="H22" i="5"/>
  <c r="H21" i="5"/>
  <c r="H20" i="5"/>
  <c r="H19" i="5"/>
  <c r="H17" i="5"/>
  <c r="C17" i="5"/>
  <c r="H16" i="5"/>
  <c r="H15" i="5"/>
  <c r="I13" i="5"/>
  <c r="H13" i="5"/>
  <c r="E13" i="5"/>
  <c r="I12" i="5"/>
  <c r="H12" i="5"/>
  <c r="E12" i="5"/>
  <c r="I11" i="5"/>
  <c r="H11" i="5"/>
  <c r="E11" i="5"/>
  <c r="I10" i="5"/>
  <c r="H10" i="5"/>
  <c r="E10" i="5"/>
  <c r="I9" i="5"/>
  <c r="H9" i="5"/>
  <c r="E9" i="5"/>
  <c r="E7" i="5"/>
  <c r="E6" i="5"/>
  <c r="J2" i="5"/>
</calcChain>
</file>

<file path=xl/sharedStrings.xml><?xml version="1.0" encoding="utf-8"?>
<sst xmlns="http://schemas.openxmlformats.org/spreadsheetml/2006/main" count="271" uniqueCount="108">
  <si>
    <t>THEO DÕI THẦU PHỤ/ TRACKING OF SUBCONTRACTOR</t>
  </si>
  <si>
    <t>Cập nhật:</t>
  </si>
  <si>
    <t>STT/ No.</t>
  </si>
  <si>
    <t>Dự án/ Hạng mục/ 
Project/ Item</t>
  </si>
  <si>
    <t>Thiết kế, Dự toán/ Design, Estimation</t>
  </si>
  <si>
    <t>Ký kết hợp đồng với thầu phụ/ Sub-Contractor</t>
  </si>
  <si>
    <t>Chênh lệch/ Diff.</t>
  </si>
  <si>
    <t>Ghi chú/ Remarks</t>
  </si>
  <si>
    <t>Khối lượng/ Weight (Kg)</t>
  </si>
  <si>
    <t>Đơn giá (VND)</t>
  </si>
  <si>
    <t>Tổng Giá trị/ Total Cost
(VND)</t>
  </si>
  <si>
    <t>Project I080-Braden</t>
  </si>
  <si>
    <t>Gia công chế tạo kết cấu thép sàn và Support</t>
  </si>
  <si>
    <t>Chưa ký hợp đồng thầu phụ</t>
  </si>
  <si>
    <t>Gia công chế tạo cầu thang lan can, thang leo</t>
  </si>
  <si>
    <t>Project TKP - I - 079</t>
  </si>
  <si>
    <t>Gia công chế tạo ống chính / Mainduct(B.Vẽ4G1.TD01.0080)</t>
  </si>
  <si>
    <t>Giá trị hợp đồng thấp hơn do đơn giá tháp hơn</t>
  </si>
  <si>
    <t>Gia công chế tạo giá đỡ / Support.(B.vẽ4G1.TD01.0100)</t>
  </si>
  <si>
    <t>Gia công chế tạo ống chính /Mainduct(B.vẽ4G1.TD01.0200)</t>
  </si>
  <si>
    <t>Gia công chế tạo giá đỡ / Support.(B.vẽ4G1.TD01.0210)</t>
  </si>
  <si>
    <t>Gia công chế tạo ống gió, ống khói / Extraction chamber lowerpart.(BVẽ4G1.TD01.0250)</t>
  </si>
  <si>
    <t>Project VISC - I - 063</t>
  </si>
  <si>
    <t>Gia công chế tạo và tổ hợp cầu thang, kết cấu thép</t>
  </si>
  <si>
    <t>Gia công chế tạo và tổ hợp Thang lồng, tay vin</t>
  </si>
  <si>
    <t>Tổ hợp MainStructure</t>
  </si>
  <si>
    <t>Project HLS - I - 076</t>
  </si>
  <si>
    <t>Gia công Block 501+511</t>
  </si>
  <si>
    <t>Gia công Block 504+514</t>
  </si>
  <si>
    <t>Gia công Block 503+513+506+516+601+644+602+612</t>
  </si>
  <si>
    <t>Tổ hợp Block 503+513+506+516+601+644+602+612</t>
  </si>
  <si>
    <t>Project I - 052</t>
  </si>
  <si>
    <t>Gia công chế tạo Block 205</t>
  </si>
  <si>
    <t>Gia công chế tạo Block 206</t>
  </si>
  <si>
    <t>Gia công chế tạo Block 707</t>
  </si>
  <si>
    <t>Gia công chế tạo Block 101</t>
  </si>
  <si>
    <t>Gia công chế tạo Block 201</t>
  </si>
  <si>
    <t>Gia công chế tạo ống đạo lưu mái</t>
  </si>
  <si>
    <t>THEO DÕI MUA SẮM/ TRACKING PROCUREMENT OF MATERIALS</t>
  </si>
  <si>
    <t>Dự án/ Hạng mục/ 
Project/ Items</t>
  </si>
  <si>
    <r>
      <rPr>
        <b/>
        <sz val="12"/>
        <color theme="1"/>
        <rFont val="Times New Roman"/>
        <family val="1"/>
      </rPr>
      <t xml:space="preserve">Mua sắm/ Ordered, Puchased
</t>
    </r>
    <r>
      <rPr>
        <b/>
        <sz val="12"/>
        <color rgb="FFFF0000"/>
        <rFont val="Times New Roman"/>
        <family val="1"/>
      </rPr>
      <t>(Đến hiện tại/ Up to now)</t>
    </r>
  </si>
  <si>
    <t>Chênh lệch/ Diff. (VND)</t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</si>
  <si>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(M/M2//PSC)</t>
    </r>
  </si>
  <si>
    <r>
      <rPr>
        <b/>
        <sz val="12"/>
        <color theme="1"/>
        <rFont val="Times New Roman"/>
        <family val="1"/>
      </rPr>
      <t xml:space="preserve">Số lượng/ Q'ty
</t>
    </r>
    <r>
      <rPr>
        <b/>
        <sz val="12"/>
        <color rgb="FFFF0000"/>
        <rFont val="Times New Roman"/>
        <family val="1"/>
      </rPr>
      <t>(M/M2/PSC)
Materials available at the factory</t>
    </r>
  </si>
  <si>
    <t>Vật tư chính/ Main-Material</t>
  </si>
  <si>
    <t>Vật tư phụ/ Accessory-Material</t>
  </si>
  <si>
    <t>Vật tư kiện/ Packing Material</t>
  </si>
  <si>
    <t>Project 24-TKP-I-079</t>
  </si>
  <si>
    <t>Project I071-Braden</t>
  </si>
  <si>
    <t>CÁC TỒN TẠI, VƯỚNG MẮC VÀ PHƯƠNG ÁN XỬ LÝ/ PENDING LIST AND PROPOSAL</t>
  </si>
  <si>
    <t>Nội dung/ Discription</t>
  </si>
  <si>
    <t>Ngày phát hành/ Issue date</t>
  </si>
  <si>
    <t>Ngày đóng/ Close date</t>
  </si>
  <si>
    <t>Bộ phận phụ trách, liên quan/ Related department</t>
  </si>
  <si>
    <t>Đề xuất/ Proposal</t>
  </si>
  <si>
    <t>Project I081-VOGT</t>
  </si>
  <si>
    <t>Project BRA-I-082</t>
  </si>
  <si>
    <t>Project I084</t>
  </si>
  <si>
    <t>Project I078</t>
  </si>
  <si>
    <t>Project I088</t>
  </si>
  <si>
    <t>Project I087</t>
  </si>
  <si>
    <t>Project I089</t>
  </si>
  <si>
    <t>Project I090</t>
  </si>
  <si>
    <t>Project 25-GEN-G-02- Nhà tạm</t>
  </si>
  <si>
    <r>
      <t xml:space="preserve">Khối lượng/ Weight (Kg/N/A)
</t>
    </r>
    <r>
      <rPr>
        <b/>
        <sz val="12"/>
        <color rgb="FFFF0000"/>
        <rFont val="Times New Roman"/>
        <family val="1"/>
      </rPr>
      <t>Materials available at the factory</t>
    </r>
  </si>
  <si>
    <t>Hàng tồn</t>
  </si>
  <si>
    <t>Tổng Giá trị mua thêm/ Total Cost
(VND)</t>
  </si>
  <si>
    <t>Hàng mua thêm</t>
  </si>
  <si>
    <t>Project I092</t>
  </si>
  <si>
    <t>Project I093</t>
  </si>
  <si>
    <t>Project I094</t>
  </si>
  <si>
    <t>Project I098</t>
  </si>
  <si>
    <t>Project I099</t>
  </si>
  <si>
    <t>CLOSED</t>
  </si>
  <si>
    <t>Project I101</t>
  </si>
  <si>
    <t>Project I100</t>
  </si>
  <si>
    <t>Project 25-GEN-G-01/02</t>
  </si>
  <si>
    <t>Project I095</t>
  </si>
  <si>
    <t>Project I097</t>
  </si>
  <si>
    <t>Main-Material /  Vật tư chính thép đen</t>
  </si>
  <si>
    <t>Main-Material /  Vật tư chính thép trắng</t>
  </si>
  <si>
    <t>Gratting-Material /  Vật tư gratting</t>
  </si>
  <si>
    <t>Insulation-Material /  Vật tư bảo ôn</t>
  </si>
  <si>
    <t>Bolt-Material /  Vật tư bulong, phụ kiện</t>
  </si>
  <si>
    <t>Packing Material / Vật tư kiện</t>
  </si>
  <si>
    <t>Project 25-GEN-G-03</t>
  </si>
  <si>
    <t>Project 25-GEN-G-04</t>
  </si>
  <si>
    <t>VTC01</t>
  </si>
  <si>
    <t>VTC02</t>
  </si>
  <si>
    <t>VTC03</t>
  </si>
  <si>
    <t>VTC04</t>
  </si>
  <si>
    <t>VPK</t>
  </si>
  <si>
    <t>Project 25-SED-I-102</t>
  </si>
  <si>
    <t>Project 25-VPI-I-103</t>
  </si>
  <si>
    <t>Project 25-VPI-I-105</t>
  </si>
  <si>
    <t>Project 25-VPI-I-106</t>
  </si>
  <si>
    <t>LƯU Ý/NOTE</t>
  </si>
  <si>
    <t>DỰ TOÁN
(VNĐ)</t>
  </si>
  <si>
    <t>GIÁ TRỊ ĐÃ ĐẶT HÀNG THÊM
(VNĐ)</t>
  </si>
  <si>
    <t>Project 25-GEN-G-06</t>
  </si>
  <si>
    <t>Chưa  có dự toán
CLOSED</t>
  </si>
  <si>
    <t>Project 25-GEN-G-08</t>
  </si>
  <si>
    <t>Project 25-GEN-G-07</t>
  </si>
  <si>
    <t>Đang đặt hàng theo PR rev 8/9/10/11/12/13</t>
  </si>
  <si>
    <t xml:space="preserve"> </t>
  </si>
  <si>
    <t>Chưa  có dự toán
Còn 1 aptomat chưa cấp</t>
  </si>
  <si>
    <t>Đã mua đủ theo PR</t>
  </si>
  <si>
    <t>Đang đặt bulong Rev 38/39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</si>
</sst>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_-;_-@_-"/>
    <numFmt numFmtId="169" formatCode="_(* #.##0.00_);_(* \(#.##0.00\);_(* &quot;-&quot;??_);_(@_)"/>
    <numFmt numFmtId="170" formatCode="_-* #,##0.00_-;\-* #,##0.00_-;_-* &quot;-&quot;??_-;_-@_-"/>
    <numFmt numFmtId="171" formatCode="[$-409]dd\-mmm\-yy;@"/>
    <numFmt numFmtId="172" formatCode="_ &quot;¥&quot;* #,##0.00_ ;_ &quot;¥&quot;* \-#,##0.00_ ;_ &quot;¥&quot;* &quot;-&quot;??_ ;_ @_ "/>
    <numFmt numFmtId="173" formatCode="_ * #,##0_ ;_ * \-#,##0_ ;_ * &quot;-&quot;_ ;_ @_ "/>
  </numFmts>
  <fonts count="29">
    <font>
      <sz val="12"/>
      <color theme="1"/>
      <name val="Times New Roman"/>
      <charset val="134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Times New Roman"/>
      <family val="2"/>
    </font>
    <font>
      <sz val="11"/>
      <color indexed="8"/>
      <name val="Times New Roman"/>
      <family val="2"/>
    </font>
    <font>
      <sz val="10"/>
      <name val="Arial"/>
      <family val="2"/>
    </font>
    <font>
      <sz val="10"/>
      <name val="Helv"/>
      <family val="2"/>
    </font>
    <font>
      <sz val="12"/>
      <name val="宋体"/>
      <charset val="134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2"/>
      <name val=".VnTime"/>
      <family val="2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2"/>
    </font>
    <font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164" fontId="12" fillId="0" borderId="0" applyFont="0" applyFill="0" applyBorder="0" applyAlignment="0" applyProtection="0">
      <alignment vertical="center"/>
    </xf>
    <xf numFmtId="0" fontId="12" fillId="0" borderId="0"/>
    <xf numFmtId="0" fontId="15" fillId="0" borderId="0"/>
    <xf numFmtId="0" fontId="17" fillId="0" borderId="0"/>
    <xf numFmtId="169" fontId="18" fillId="0" borderId="0" applyFont="0" applyFill="0" applyBorder="0" applyAlignment="0" applyProtection="0"/>
    <xf numFmtId="0" fontId="20" fillId="0" borderId="0">
      <alignment vertical="center"/>
    </xf>
    <xf numFmtId="0" fontId="21" fillId="0" borderId="0">
      <alignment vertical="center"/>
    </xf>
    <xf numFmtId="0" fontId="21" fillId="0" borderId="0"/>
    <xf numFmtId="0" fontId="19" fillId="0" borderId="0" applyNumberFormat="0" applyFont="0" applyFill="0" applyBorder="0" applyAlignment="0" applyProtection="0">
      <alignment vertical="top"/>
    </xf>
    <xf numFmtId="43" fontId="16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9" fillId="0" borderId="0"/>
    <xf numFmtId="169" fontId="19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0" fontId="16" fillId="0" borderId="0"/>
    <xf numFmtId="16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" fillId="0" borderId="0"/>
    <xf numFmtId="0" fontId="22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7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6" fillId="0" borderId="0"/>
    <xf numFmtId="0" fontId="1" fillId="0" borderId="0"/>
    <xf numFmtId="44" fontId="16" fillId="0" borderId="0" applyFont="0" applyFill="0" applyBorder="0" applyAlignment="0" applyProtection="0"/>
    <xf numFmtId="0" fontId="19" fillId="0" borderId="0"/>
    <xf numFmtId="171" fontId="21" fillId="0" borderId="0"/>
    <xf numFmtId="0" fontId="24" fillId="0" borderId="0"/>
    <xf numFmtId="172" fontId="21" fillId="0" borderId="0" applyFont="0" applyFill="0" applyBorder="0" applyAlignment="0" applyProtection="0">
      <alignment vertical="center"/>
    </xf>
    <xf numFmtId="173" fontId="21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Continuous" vertical="top"/>
    </xf>
    <xf numFmtId="0" fontId="2" fillId="0" borderId="2" xfId="0" applyFont="1" applyBorder="1"/>
    <xf numFmtId="165" fontId="3" fillId="0" borderId="2" xfId="0" applyNumberFormat="1" applyFont="1" applyBorder="1" applyAlignment="1">
      <alignment horizontal="right"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centerContinuous" vertical="top" wrapText="1"/>
    </xf>
    <xf numFmtId="0" fontId="2" fillId="0" borderId="3" xfId="0" applyFont="1" applyBorder="1" applyAlignment="1">
      <alignment horizontal="centerContinuous" vertical="top" wrapText="1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3" xfId="2" applyFont="1" applyBorder="1" applyAlignment="1">
      <alignment vertical="top" wrapText="1"/>
    </xf>
    <xf numFmtId="0" fontId="2" fillId="0" borderId="1" xfId="0" applyFont="1" applyBorder="1" applyAlignment="1">
      <alignment horizontal="centerContinuous" vertical="center" wrapText="1"/>
    </xf>
    <xf numFmtId="0" fontId="5" fillId="0" borderId="3" xfId="2" applyFont="1" applyBorder="1" applyAlignment="1">
      <alignment vertical="top" wrapText="1"/>
    </xf>
    <xf numFmtId="0" fontId="5" fillId="0" borderId="1" xfId="2" applyFont="1" applyBorder="1" applyAlignment="1">
      <alignment vertical="top" wrapText="1"/>
    </xf>
    <xf numFmtId="165" fontId="3" fillId="0" borderId="2" xfId="0" applyNumberFormat="1" applyFont="1" applyBorder="1" applyAlignment="1">
      <alignment horizontal="left" vertical="top"/>
    </xf>
    <xf numFmtId="0" fontId="2" fillId="0" borderId="0" xfId="0" applyFont="1"/>
    <xf numFmtId="166" fontId="6" fillId="0" borderId="1" xfId="1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horizontal="centerContinuous" vertical="center" wrapText="1"/>
    </xf>
    <xf numFmtId="0" fontId="6" fillId="0" borderId="1" xfId="0" applyFont="1" applyBorder="1" applyAlignment="1">
      <alignment horizontal="centerContinuous" vertical="center" wrapText="1"/>
    </xf>
    <xf numFmtId="0" fontId="0" fillId="0" borderId="1" xfId="0" applyBorder="1" applyAlignment="1">
      <alignment vertical="center" wrapText="1"/>
    </xf>
    <xf numFmtId="167" fontId="6" fillId="0" borderId="1" xfId="1" applyNumberFormat="1" applyFont="1" applyBorder="1" applyAlignment="1">
      <alignment vertical="top" wrapText="1"/>
    </xf>
    <xf numFmtId="4" fontId="0" fillId="0" borderId="1" xfId="0" applyNumberForma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167" fontId="6" fillId="0" borderId="1" xfId="1" applyNumberFormat="1" applyFont="1" applyBorder="1" applyAlignment="1">
      <alignment vertical="center" wrapText="1"/>
    </xf>
    <xf numFmtId="166" fontId="6" fillId="0" borderId="1" xfId="0" applyNumberFormat="1" applyFont="1" applyBorder="1" applyAlignment="1">
      <alignment vertical="center" wrapText="1"/>
    </xf>
    <xf numFmtId="167" fontId="6" fillId="0" borderId="1" xfId="1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167" fontId="7" fillId="0" borderId="1" xfId="1" applyNumberFormat="1" applyFont="1" applyBorder="1" applyAlignment="1">
      <alignment horizontal="centerContinuous" vertical="center" wrapText="1"/>
    </xf>
    <xf numFmtId="166" fontId="7" fillId="0" borderId="1" xfId="0" applyNumberFormat="1" applyFont="1" applyBorder="1" applyAlignment="1">
      <alignment horizontal="centerContinuous" vertical="center" wrapText="1"/>
    </xf>
    <xf numFmtId="4" fontId="2" fillId="0" borderId="1" xfId="0" applyNumberFormat="1" applyFont="1" applyBorder="1" applyAlignment="1">
      <alignment horizontal="centerContinuous" vertical="center" wrapText="1"/>
    </xf>
    <xf numFmtId="3" fontId="9" fillId="0" borderId="1" xfId="0" applyNumberFormat="1" applyFont="1" applyBorder="1" applyAlignment="1">
      <alignment horizontal="centerContinuous" vertical="center" wrapText="1"/>
    </xf>
    <xf numFmtId="0" fontId="5" fillId="2" borderId="1" xfId="0" applyFont="1" applyFill="1" applyBorder="1" applyAlignment="1">
      <alignment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 wrapText="1"/>
    </xf>
    <xf numFmtId="167" fontId="10" fillId="0" borderId="5" xfId="1" applyNumberFormat="1" applyFont="1" applyBorder="1" applyAlignment="1">
      <alignment horizontal="center" vertical="center" wrapText="1"/>
    </xf>
    <xf numFmtId="166" fontId="0" fillId="3" borderId="5" xfId="1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Continuous" vertical="center" wrapText="1"/>
    </xf>
    <xf numFmtId="0" fontId="10" fillId="0" borderId="1" xfId="0" applyFont="1" applyBorder="1"/>
    <xf numFmtId="166" fontId="6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166" fontId="0" fillId="0" borderId="1" xfId="1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166" fontId="0" fillId="0" borderId="1" xfId="1" applyNumberFormat="1" applyFont="1" applyBorder="1" applyAlignment="1">
      <alignment horizontal="centerContinuous" vertical="center" wrapText="1"/>
    </xf>
    <xf numFmtId="166" fontId="2" fillId="0" borderId="1" xfId="0" applyNumberFormat="1" applyFont="1" applyBorder="1" applyAlignment="1">
      <alignment horizontal="centerContinuous" vertical="center" wrapText="1"/>
    </xf>
    <xf numFmtId="166" fontId="0" fillId="0" borderId="1" xfId="0" applyNumberFormat="1" applyBorder="1" applyAlignment="1">
      <alignment horizontal="centerContinuous" vertical="center" wrapText="1"/>
    </xf>
    <xf numFmtId="0" fontId="11" fillId="0" borderId="1" xfId="0" applyFont="1" applyBorder="1" applyAlignment="1">
      <alignment vertical="top" wrapText="1"/>
    </xf>
    <xf numFmtId="0" fontId="0" fillId="0" borderId="1" xfId="0" applyBorder="1" applyAlignment="1">
      <alignment horizontal="centerContinuous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Continuous" vertical="top"/>
    </xf>
    <xf numFmtId="0" fontId="0" fillId="0" borderId="0" xfId="0" applyFill="1"/>
    <xf numFmtId="0" fontId="2" fillId="0" borderId="2" xfId="0" applyFont="1" applyFill="1" applyBorder="1"/>
    <xf numFmtId="165" fontId="3" fillId="0" borderId="2" xfId="0" applyNumberFormat="1" applyFont="1" applyFill="1" applyBorder="1" applyAlignment="1">
      <alignment horizontal="right" vertical="top"/>
    </xf>
    <xf numFmtId="0" fontId="2" fillId="0" borderId="3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Continuous" vertical="top" wrapText="1"/>
    </xf>
    <xf numFmtId="0" fontId="2" fillId="0" borderId="3" xfId="0" applyFont="1" applyFill="1" applyBorder="1" applyAlignment="1">
      <alignment horizontal="centerContinuous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6" xfId="0" applyFont="1" applyFill="1" applyBorder="1" applyAlignment="1">
      <alignment vertical="top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top" wrapText="1"/>
    </xf>
    <xf numFmtId="0" fontId="2" fillId="0" borderId="15" xfId="0" applyFont="1" applyFill="1" applyBorder="1" applyAlignment="1">
      <alignment horizontal="center" vertical="top" wrapText="1"/>
    </xf>
    <xf numFmtId="0" fontId="2" fillId="0" borderId="15" xfId="0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Continuous" vertical="center" wrapText="1"/>
    </xf>
    <xf numFmtId="38" fontId="4" fillId="0" borderId="1" xfId="0" applyNumberFormat="1" applyFont="1" applyFill="1" applyBorder="1" applyAlignment="1">
      <alignment horizontal="centerContinuous" vertical="center" wrapText="1"/>
    </xf>
    <xf numFmtId="38" fontId="4" fillId="0" borderId="15" xfId="0" applyNumberFormat="1" applyFont="1" applyFill="1" applyBorder="1" applyAlignment="1">
      <alignment horizontal="centerContinuous" vertical="center" wrapText="1"/>
    </xf>
    <xf numFmtId="0" fontId="5" fillId="0" borderId="0" xfId="0" applyFont="1" applyFill="1"/>
    <xf numFmtId="0" fontId="5" fillId="0" borderId="3" xfId="2" applyFont="1" applyFill="1" applyBorder="1" applyAlignment="1">
      <alignment vertical="top" wrapText="1"/>
    </xf>
    <xf numFmtId="38" fontId="5" fillId="0" borderId="1" xfId="0" applyNumberFormat="1" applyFont="1" applyFill="1" applyBorder="1" applyAlignment="1">
      <alignment horizontal="center" vertical="center" wrapText="1"/>
    </xf>
    <xf numFmtId="38" fontId="14" fillId="0" borderId="1" xfId="0" applyNumberFormat="1" applyFont="1" applyFill="1" applyBorder="1" applyAlignment="1">
      <alignment horizontal="center" vertical="center" wrapText="1"/>
    </xf>
    <xf numFmtId="38" fontId="5" fillId="0" borderId="7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38" fontId="5" fillId="0" borderId="14" xfId="0" applyNumberFormat="1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vertical="top" wrapText="1"/>
    </xf>
    <xf numFmtId="38" fontId="5" fillId="0" borderId="9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Continuous" vertical="center" wrapText="1"/>
    </xf>
    <xf numFmtId="0" fontId="4" fillId="0" borderId="15" xfId="0" applyFont="1" applyFill="1" applyBorder="1" applyAlignment="1">
      <alignment horizontal="centerContinuous" vertical="center" wrapText="1"/>
    </xf>
    <xf numFmtId="38" fontId="13" fillId="0" borderId="1" xfId="0" applyNumberFormat="1" applyFont="1" applyFill="1" applyBorder="1" applyAlignment="1">
      <alignment horizontal="centerContinuous" vertical="center" wrapText="1"/>
    </xf>
    <xf numFmtId="0" fontId="0" fillId="0" borderId="15" xfId="0" applyFill="1" applyBorder="1" applyAlignment="1">
      <alignment horizontal="center" vertical="center"/>
    </xf>
    <xf numFmtId="0" fontId="25" fillId="0" borderId="15" xfId="3" applyFont="1" applyFill="1" applyBorder="1" applyAlignment="1">
      <alignment horizontal="left" vertical="center"/>
    </xf>
    <xf numFmtId="0" fontId="27" fillId="0" borderId="10" xfId="3" applyFont="1" applyFill="1" applyBorder="1" applyAlignment="1">
      <alignment vertical="center"/>
    </xf>
    <xf numFmtId="38" fontId="11" fillId="0" borderId="15" xfId="3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38" fontId="11" fillId="0" borderId="15" xfId="0" applyNumberFormat="1" applyFont="1" applyFill="1" applyBorder="1" applyAlignment="1">
      <alignment horizontal="center" vertical="center" wrapText="1"/>
    </xf>
    <xf numFmtId="38" fontId="0" fillId="0" borderId="15" xfId="0" applyNumberFormat="1" applyFill="1" applyBorder="1" applyAlignment="1">
      <alignment vertical="center"/>
    </xf>
    <xf numFmtId="38" fontId="0" fillId="0" borderId="15" xfId="0" applyNumberFormat="1" applyFill="1" applyBorder="1" applyAlignment="1">
      <alignment horizontal="center" vertical="center"/>
    </xf>
    <xf numFmtId="38" fontId="15" fillId="0" borderId="15" xfId="0" applyNumberFormat="1" applyFont="1" applyFill="1" applyBorder="1" applyAlignment="1">
      <alignment vertical="center"/>
    </xf>
    <xf numFmtId="38" fontId="11" fillId="0" borderId="15" xfId="0" applyNumberFormat="1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55">
    <cellStyle name="?痃%S&amp;F?_x0008_?o_x0006__x0007__x0001__x0001_" xfId="8" xr:uid="{8662F26D-73EF-47DF-AE71-387030BC931A}"/>
    <cellStyle name="Comma" xfId="1" builtinId="3"/>
    <cellStyle name="Comma [0] 2" xfId="43" xr:uid="{A3194A35-83D3-4280-98C7-0A73F972C15C}"/>
    <cellStyle name="Comma 10" xfId="35" xr:uid="{EAF63A39-4A45-429F-8FA6-2FEE896E6494}"/>
    <cellStyle name="Comma 11" xfId="45" xr:uid="{F6F721D1-1890-4846-BE6F-FA7458000490}"/>
    <cellStyle name="Comma 12" xfId="47" xr:uid="{2D3B55B0-F378-41FC-9BAF-ACEDC24DC96B}"/>
    <cellStyle name="Comma 13" xfId="48" xr:uid="{FEF0852E-7E7A-4FD6-8949-9CF104548A54}"/>
    <cellStyle name="Comma 14" xfId="51" xr:uid="{D48269A7-3B64-4B0A-9111-3DA3369B88F4}"/>
    <cellStyle name="Comma 15" xfId="52" xr:uid="{9E209D60-CB04-47F0-82F9-C3517BDBB248}"/>
    <cellStyle name="Comma 16" xfId="53" xr:uid="{7148F2C2-24EB-4812-8601-2AD3B701655C}"/>
    <cellStyle name="Comma 17" xfId="10" xr:uid="{B2D6D458-7AA3-4881-99C1-ACDAA4F2C0C0}"/>
    <cellStyle name="Comma 18" xfId="54" xr:uid="{542BAC99-6F4A-40F2-A82E-7AE754CEF495}"/>
    <cellStyle name="Comma 2" xfId="5" xr:uid="{FEB43236-32A9-4AB4-88F8-5EF155679A4B}"/>
    <cellStyle name="Comma 2 2" xfId="20" xr:uid="{754C09F0-BC0F-48F2-8106-E195D5E26A1A}"/>
    <cellStyle name="Comma 2 3" xfId="18" xr:uid="{EAF8915E-86DB-4C08-8EBA-B4E5DD3583BF}"/>
    <cellStyle name="Comma 3" xfId="12" xr:uid="{2D3E36CC-D3BD-4E09-A324-2E9772AB58CA}"/>
    <cellStyle name="Comma 4" xfId="16" xr:uid="{A1D93D02-4472-49CE-99FE-7D64824D41D1}"/>
    <cellStyle name="Comma 5" xfId="21" xr:uid="{F1F167AC-CC92-49DD-942C-51A638427DDA}"/>
    <cellStyle name="Comma 6" xfId="27" xr:uid="{2CB86956-0514-4156-8C7A-2E8928FE72E2}"/>
    <cellStyle name="Comma 7" xfId="29" xr:uid="{7B81750E-4458-4290-97CF-786E5B8990D3}"/>
    <cellStyle name="Comma 8" xfId="31" xr:uid="{0E537A81-143D-4D80-B61B-0C4690CA93E0}"/>
    <cellStyle name="Comma 9" xfId="33" xr:uid="{9F68E9E1-D4EE-4356-82C0-553749B8DE0A}"/>
    <cellStyle name="Currency 2" xfId="42" xr:uid="{8B3BC262-8503-499C-BA54-3ED8724A6F3F}"/>
    <cellStyle name="Currency 3" xfId="38" xr:uid="{B8E0C388-7F60-4253-9EFF-DB3659941C95}"/>
    <cellStyle name="Hyperlink 2" xfId="32" xr:uid="{14A9C5EE-9F6C-46D2-956D-33CACC42256D}"/>
    <cellStyle name="Hyperlink 3 2" xfId="26" xr:uid="{E05F24C4-0D54-46C4-90E2-78269CBD1EFA}"/>
    <cellStyle name="Normal" xfId="0" builtinId="0"/>
    <cellStyle name="Normal 10" xfId="46" xr:uid="{282C83EE-4447-4DC7-BDC2-71CB3B04E437}"/>
    <cellStyle name="Normal 106 2 2" xfId="2" xr:uid="{00000000-0005-0000-0000-000031000000}"/>
    <cellStyle name="Normal 106 2 2 2" xfId="37" xr:uid="{2E6265AF-0AE0-41B7-BA53-1DA6F758AE23}"/>
    <cellStyle name="Normal 11" xfId="36" xr:uid="{B5C4658C-733E-466B-ADE4-381B68B205B1}"/>
    <cellStyle name="Normal 12" xfId="49" xr:uid="{FBD222C6-3BE9-415B-9EAF-F79E5CF94BC1}"/>
    <cellStyle name="Normal 13" xfId="50" xr:uid="{FD9187C8-36E2-4CA5-8D91-24B273C4DB05}"/>
    <cellStyle name="Normal 14" xfId="3" xr:uid="{17EF7CDC-7AA8-4924-82FD-2EBCD92C775C}"/>
    <cellStyle name="Normal 2" xfId="4" xr:uid="{A3019ED7-C98A-4113-BE11-03FBEEE69C6B}"/>
    <cellStyle name="Normal 2 2" xfId="41" xr:uid="{57565768-6D8B-4871-A91D-ECE2FEB04951}"/>
    <cellStyle name="Normal 2 2 7 2" xfId="39" xr:uid="{629AE81A-B847-465D-A1F8-74574714C41D}"/>
    <cellStyle name="Normal 2 3" xfId="25" xr:uid="{D7F1E89E-69C0-4492-9728-CC94CB750D7B}"/>
    <cellStyle name="Normal 3" xfId="7" xr:uid="{FC253C33-B774-43DA-AAA0-2BE537D2812A}"/>
    <cellStyle name="Normal 3 2" xfId="24" xr:uid="{B185973D-35D4-4515-BEF3-E69997E0A937}"/>
    <cellStyle name="Normal 4" xfId="11" xr:uid="{92CD06C2-4C46-444B-AA53-975115A5ED16}"/>
    <cellStyle name="Normal 5" xfId="15" xr:uid="{5164158E-E335-4B89-967E-239FB5E5BE80}"/>
    <cellStyle name="Normal 5 2" xfId="23" xr:uid="{9E4ABB5B-C568-42E3-ACDC-EC2E3319AD3C}"/>
    <cellStyle name="Normal 6" xfId="19" xr:uid="{91BC60DF-DE32-4DA0-B7C0-E4D4FE1C1B75}"/>
    <cellStyle name="Normal 7" xfId="17" xr:uid="{43E82F69-5832-499B-AC28-18DB3F177DE9}"/>
    <cellStyle name="Normal 8" xfId="28" xr:uid="{E0D8BC71-3D0E-487E-9A31-FCB5E5D1E5CC}"/>
    <cellStyle name="Normal 87 2" xfId="14" xr:uid="{35099D8B-4156-4B76-A569-5295FD0BC162}"/>
    <cellStyle name="Normal 87 2 2" xfId="22" xr:uid="{CD357C9F-A65E-427A-B8A0-DDC33439B817}"/>
    <cellStyle name="Normal 9" xfId="30" xr:uid="{E70BA4A3-2C0C-4169-B136-540135185438}"/>
    <cellStyle name="Percent 2" xfId="13" xr:uid="{90886AC8-3D70-4BD3-9555-C8A2C7404BBC}"/>
    <cellStyle name="Percent 3" xfId="34" xr:uid="{731E52F3-D000-44F8-B344-BBE866D57E09}"/>
    <cellStyle name="표준" xfId="9" xr:uid="{94FEB28D-2ED8-496A-BC9D-72CC6B03A6A6}"/>
    <cellStyle name="千位分隔 2" xfId="44" xr:uid="{F5C6B234-E5C7-4606-828E-5B48A8822E3F}"/>
    <cellStyle name="常规 2 2" xfId="40" xr:uid="{62209086-3156-46AB-8FE7-807A48356717}"/>
    <cellStyle name="常规_Sheet1" xfId="6" xr:uid="{B823AB82-AEDC-416B-926C-8514DDB8C128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zoomScale="85" zoomScaleNormal="85" workbookViewId="0">
      <selection activeCell="F10" sqref="F10"/>
    </sheetView>
  </sheetViews>
  <sheetFormatPr defaultColWidth="8.75" defaultRowHeight="15.5"/>
  <cols>
    <col min="1" max="1" width="6.08203125" customWidth="1"/>
    <col min="2" max="2" width="29.58203125" customWidth="1"/>
    <col min="3" max="3" width="11.33203125" customWidth="1"/>
    <col min="4" max="7" width="12.33203125" customWidth="1"/>
    <col min="8" max="8" width="15.75" customWidth="1"/>
    <col min="9" max="9" width="14.5" customWidth="1"/>
    <col min="10" max="10" width="28.75" customWidth="1"/>
  </cols>
  <sheetData>
    <row r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/>
      <c r="B2" s="5"/>
      <c r="C2" s="5"/>
      <c r="D2" s="5"/>
      <c r="E2" s="5"/>
      <c r="F2" s="5"/>
      <c r="G2" s="6"/>
      <c r="H2" s="6"/>
      <c r="I2" s="6" t="s">
        <v>1</v>
      </c>
      <c r="J2" s="16">
        <f ca="1">TODAY()</f>
        <v>46086</v>
      </c>
    </row>
    <row r="3" spans="1:10" ht="30">
      <c r="A3" s="7" t="s">
        <v>2</v>
      </c>
      <c r="B3" s="7" t="s">
        <v>3</v>
      </c>
      <c r="C3" s="8" t="s">
        <v>4</v>
      </c>
      <c r="D3" s="8"/>
      <c r="E3" s="8"/>
      <c r="F3" s="8" t="s">
        <v>5</v>
      </c>
      <c r="G3" s="8"/>
      <c r="H3" s="9"/>
      <c r="I3" s="7" t="s">
        <v>6</v>
      </c>
      <c r="J3" s="7" t="s">
        <v>7</v>
      </c>
    </row>
    <row r="4" spans="1:10" ht="45">
      <c r="A4" s="10"/>
      <c r="B4" s="10"/>
      <c r="C4" s="11" t="s">
        <v>8</v>
      </c>
      <c r="D4" s="11" t="s">
        <v>9</v>
      </c>
      <c r="E4" s="11" t="s">
        <v>10</v>
      </c>
      <c r="F4" s="11" t="s">
        <v>8</v>
      </c>
      <c r="G4" s="11" t="s">
        <v>9</v>
      </c>
      <c r="H4" s="11" t="s">
        <v>10</v>
      </c>
      <c r="I4" s="10"/>
      <c r="J4" s="10"/>
    </row>
    <row r="5" spans="1:10" ht="30.4" customHeight="1">
      <c r="A5" s="12">
        <v>1</v>
      </c>
      <c r="B5" s="13" t="s">
        <v>11</v>
      </c>
      <c r="C5" s="13"/>
      <c r="D5" s="13"/>
      <c r="E5" s="13"/>
      <c r="F5" s="13"/>
      <c r="G5" s="13"/>
      <c r="H5" s="13"/>
      <c r="I5" s="13"/>
      <c r="J5" s="13"/>
    </row>
    <row r="6" spans="1:10" ht="30.4" customHeight="1">
      <c r="A6" s="14">
        <v>1.1000000000000001</v>
      </c>
      <c r="B6" s="15" t="s">
        <v>12</v>
      </c>
      <c r="C6" s="18">
        <v>15000</v>
      </c>
      <c r="D6" s="18">
        <v>11468</v>
      </c>
      <c r="E6" s="19">
        <f t="shared" ref="E6:E13" si="0">+D6*C6</f>
        <v>172020000</v>
      </c>
      <c r="F6" s="2"/>
      <c r="G6" s="2"/>
      <c r="H6" s="2"/>
      <c r="I6" s="2"/>
      <c r="J6" s="2" t="s">
        <v>13</v>
      </c>
    </row>
    <row r="7" spans="1:10" ht="31">
      <c r="A7" s="15">
        <v>1.2</v>
      </c>
      <c r="B7" s="15" t="s">
        <v>14</v>
      </c>
      <c r="C7" s="18">
        <v>2400</v>
      </c>
      <c r="D7" s="18">
        <v>13908</v>
      </c>
      <c r="E7" s="19">
        <f t="shared" si="0"/>
        <v>33379200</v>
      </c>
      <c r="F7" s="3"/>
      <c r="G7" s="3"/>
      <c r="H7" s="3"/>
      <c r="I7" s="3"/>
      <c r="J7" s="2" t="s">
        <v>13</v>
      </c>
    </row>
    <row r="8" spans="1:10" ht="30.4" customHeight="1">
      <c r="A8" s="12">
        <v>2</v>
      </c>
      <c r="B8" s="13" t="s">
        <v>15</v>
      </c>
      <c r="C8" s="20"/>
      <c r="D8" s="20"/>
      <c r="E8" s="21"/>
      <c r="F8" s="13"/>
      <c r="G8" s="13"/>
      <c r="H8" s="13"/>
      <c r="I8" s="13"/>
      <c r="J8" s="13"/>
    </row>
    <row r="9" spans="1:10" ht="30.4" customHeight="1">
      <c r="A9" s="15">
        <v>2.1</v>
      </c>
      <c r="B9" s="22" t="s">
        <v>16</v>
      </c>
      <c r="C9" s="23">
        <v>17911.099999999999</v>
      </c>
      <c r="D9" s="23">
        <v>9217.1</v>
      </c>
      <c r="E9" s="19">
        <f t="shared" si="0"/>
        <v>165088399.81</v>
      </c>
      <c r="F9" s="24">
        <v>17911.099999999999</v>
      </c>
      <c r="G9" s="25">
        <v>9000</v>
      </c>
      <c r="H9" s="25">
        <f t="shared" ref="H9:H13" si="1">+G9*F9</f>
        <v>161199900</v>
      </c>
      <c r="I9" s="25">
        <f t="shared" ref="I9:I13" si="2">+E9-H9</f>
        <v>3888499.8100000024</v>
      </c>
      <c r="J9" s="2" t="s">
        <v>17</v>
      </c>
    </row>
    <row r="10" spans="1:10" ht="30.4" customHeight="1">
      <c r="A10" s="15">
        <v>2.2000000000000002</v>
      </c>
      <c r="B10" s="22" t="s">
        <v>18</v>
      </c>
      <c r="C10" s="23">
        <v>16000</v>
      </c>
      <c r="D10" s="23">
        <v>8641.26</v>
      </c>
      <c r="E10" s="19">
        <f t="shared" si="0"/>
        <v>138260160</v>
      </c>
      <c r="F10" s="24">
        <v>16000</v>
      </c>
      <c r="G10" s="25">
        <v>7500</v>
      </c>
      <c r="H10" s="25">
        <f t="shared" si="1"/>
        <v>120000000</v>
      </c>
      <c r="I10" s="25">
        <f t="shared" si="2"/>
        <v>18260160</v>
      </c>
      <c r="J10" s="2" t="s">
        <v>17</v>
      </c>
    </row>
    <row r="11" spans="1:10" ht="30.4" customHeight="1">
      <c r="A11" s="15">
        <v>2.2999999999999998</v>
      </c>
      <c r="B11" s="22" t="s">
        <v>19</v>
      </c>
      <c r="C11" s="23">
        <v>55701</v>
      </c>
      <c r="D11" s="23">
        <v>9217.1</v>
      </c>
      <c r="E11" s="19">
        <f t="shared" si="0"/>
        <v>513401687.10000002</v>
      </c>
      <c r="F11" s="24">
        <v>55701</v>
      </c>
      <c r="G11" s="25">
        <v>9000</v>
      </c>
      <c r="H11" s="25">
        <f t="shared" si="1"/>
        <v>501309000</v>
      </c>
      <c r="I11" s="25">
        <f t="shared" si="2"/>
        <v>12092687.100000024</v>
      </c>
      <c r="J11" s="2" t="s">
        <v>17</v>
      </c>
    </row>
    <row r="12" spans="1:10" ht="30.4" customHeight="1">
      <c r="A12" s="15">
        <v>2.4</v>
      </c>
      <c r="B12" s="22" t="s">
        <v>20</v>
      </c>
      <c r="C12" s="26">
        <v>34560</v>
      </c>
      <c r="D12" s="26">
        <v>8641.26</v>
      </c>
      <c r="E12" s="27">
        <f t="shared" si="0"/>
        <v>298641945.60000002</v>
      </c>
      <c r="F12" s="24">
        <v>34560</v>
      </c>
      <c r="G12" s="25">
        <v>8000</v>
      </c>
      <c r="H12" s="25">
        <f t="shared" si="1"/>
        <v>276480000</v>
      </c>
      <c r="I12" s="25">
        <f t="shared" si="2"/>
        <v>22161945.600000024</v>
      </c>
      <c r="J12" s="2" t="s">
        <v>17</v>
      </c>
    </row>
    <row r="13" spans="1:10" ht="46.5">
      <c r="A13" s="15">
        <v>2.5</v>
      </c>
      <c r="B13" s="22" t="s">
        <v>21</v>
      </c>
      <c r="C13" s="28">
        <v>20252</v>
      </c>
      <c r="D13" s="28">
        <v>14640</v>
      </c>
      <c r="E13" s="29">
        <f t="shared" si="0"/>
        <v>296489280</v>
      </c>
      <c r="F13" s="24">
        <v>20252</v>
      </c>
      <c r="G13" s="25">
        <v>9800</v>
      </c>
      <c r="H13" s="25">
        <f t="shared" si="1"/>
        <v>198469600</v>
      </c>
      <c r="I13" s="25">
        <f t="shared" si="2"/>
        <v>98019680</v>
      </c>
      <c r="J13" s="2" t="s">
        <v>17</v>
      </c>
    </row>
    <row r="14" spans="1:10" s="17" customFormat="1" ht="24" customHeight="1">
      <c r="A14" s="30">
        <v>3</v>
      </c>
      <c r="B14" s="13" t="s">
        <v>22</v>
      </c>
      <c r="C14" s="31"/>
      <c r="D14" s="31"/>
      <c r="E14" s="32"/>
      <c r="F14" s="33"/>
      <c r="G14" s="34"/>
      <c r="H14" s="34"/>
      <c r="I14" s="34"/>
      <c r="J14" s="13"/>
    </row>
    <row r="15" spans="1:10" ht="31">
      <c r="A15" s="15">
        <v>3.1</v>
      </c>
      <c r="B15" s="35" t="s">
        <v>23</v>
      </c>
      <c r="C15" s="28">
        <v>31183.9</v>
      </c>
      <c r="D15" s="28"/>
      <c r="E15" s="36"/>
      <c r="F15" s="28">
        <v>31183.9</v>
      </c>
      <c r="G15" s="37">
        <v>15000</v>
      </c>
      <c r="H15" s="25">
        <f t="shared" ref="H15:H17" si="3">+G15*F15</f>
        <v>467758500</v>
      </c>
      <c r="I15" s="25"/>
      <c r="J15" s="51"/>
    </row>
    <row r="16" spans="1:10" ht="31">
      <c r="A16" s="15">
        <v>3.2</v>
      </c>
      <c r="B16" s="35" t="s">
        <v>24</v>
      </c>
      <c r="C16" s="28">
        <v>31422</v>
      </c>
      <c r="D16" s="28"/>
      <c r="E16" s="36"/>
      <c r="F16" s="28">
        <v>31422</v>
      </c>
      <c r="G16" s="37">
        <v>18000</v>
      </c>
      <c r="H16" s="25">
        <f t="shared" si="3"/>
        <v>565596000</v>
      </c>
      <c r="I16" s="25"/>
      <c r="J16" s="3"/>
    </row>
    <row r="17" spans="1:10">
      <c r="A17" s="15">
        <v>3.3</v>
      </c>
      <c r="B17" s="38" t="s">
        <v>25</v>
      </c>
      <c r="C17" s="28">
        <f>260097.2*3</f>
        <v>780291.60000000009</v>
      </c>
      <c r="D17" s="28"/>
      <c r="E17" s="36"/>
      <c r="F17" s="39">
        <v>780291.7</v>
      </c>
      <c r="G17" s="40">
        <v>1900</v>
      </c>
      <c r="H17" s="25">
        <f t="shared" si="3"/>
        <v>1482554230</v>
      </c>
      <c r="I17" s="25"/>
      <c r="J17" s="3"/>
    </row>
    <row r="18" spans="1:10" s="17" customFormat="1" ht="15">
      <c r="A18" s="30">
        <v>4</v>
      </c>
      <c r="B18" s="13" t="s">
        <v>26</v>
      </c>
      <c r="C18" s="31"/>
      <c r="D18" s="31"/>
      <c r="E18" s="32"/>
      <c r="F18" s="33"/>
      <c r="G18" s="34"/>
      <c r="H18" s="41"/>
      <c r="I18" s="34"/>
      <c r="J18" s="13"/>
    </row>
    <row r="19" spans="1:10">
      <c r="A19" s="15">
        <v>4.0999999999999996</v>
      </c>
      <c r="B19" s="42" t="s">
        <v>27</v>
      </c>
      <c r="C19" s="28">
        <v>30597.4</v>
      </c>
      <c r="D19" s="28"/>
      <c r="E19" s="36"/>
      <c r="F19" s="28">
        <v>30597.4</v>
      </c>
      <c r="G19" s="43">
        <v>8700</v>
      </c>
      <c r="H19" s="25">
        <f t="shared" ref="H19:H22" si="4">+G19*F19</f>
        <v>266197380</v>
      </c>
      <c r="I19" s="25"/>
      <c r="J19" s="3"/>
    </row>
    <row r="20" spans="1:10">
      <c r="A20" s="15">
        <v>4.2</v>
      </c>
      <c r="B20" s="42" t="s">
        <v>28</v>
      </c>
      <c r="C20" s="28">
        <v>27353.8</v>
      </c>
      <c r="D20" s="28"/>
      <c r="E20" s="36"/>
      <c r="F20" s="28">
        <v>27353.8</v>
      </c>
      <c r="G20" s="43">
        <v>8700</v>
      </c>
      <c r="H20" s="25">
        <f t="shared" si="4"/>
        <v>237978060</v>
      </c>
      <c r="I20" s="25"/>
      <c r="J20" s="3"/>
    </row>
    <row r="21" spans="1:10" ht="27.65" customHeight="1">
      <c r="A21" s="15">
        <v>4.3</v>
      </c>
      <c r="B21" s="44" t="s">
        <v>29</v>
      </c>
      <c r="C21" s="28">
        <v>127475</v>
      </c>
      <c r="D21" s="28"/>
      <c r="E21" s="36"/>
      <c r="F21" s="25">
        <v>127475</v>
      </c>
      <c r="G21" s="25">
        <v>6940</v>
      </c>
      <c r="H21" s="25">
        <f t="shared" si="4"/>
        <v>884676500</v>
      </c>
      <c r="I21" s="25"/>
      <c r="J21" s="3"/>
    </row>
    <row r="22" spans="1:10" ht="29.5" customHeight="1">
      <c r="A22" s="15">
        <v>4.4000000000000004</v>
      </c>
      <c r="B22" s="44" t="s">
        <v>30</v>
      </c>
      <c r="C22" s="45">
        <v>47297</v>
      </c>
      <c r="D22" s="45"/>
      <c r="E22" s="46"/>
      <c r="F22" s="47">
        <v>47297</v>
      </c>
      <c r="G22" s="47">
        <v>1300</v>
      </c>
      <c r="H22" s="25">
        <f t="shared" si="4"/>
        <v>61486100</v>
      </c>
      <c r="I22" s="3"/>
      <c r="J22" s="3"/>
    </row>
    <row r="23" spans="1:10" ht="19.149999999999999" customHeight="1">
      <c r="A23" s="14">
        <v>5</v>
      </c>
      <c r="B23" s="13" t="s">
        <v>31</v>
      </c>
      <c r="C23" s="48"/>
      <c r="D23" s="48"/>
      <c r="E23" s="49"/>
      <c r="F23" s="50"/>
      <c r="G23" s="50"/>
      <c r="H23" s="41"/>
      <c r="I23" s="52"/>
      <c r="J23" s="52"/>
    </row>
    <row r="24" spans="1:10" ht="19.149999999999999" customHeight="1">
      <c r="A24" s="14">
        <v>5.0999999999999996</v>
      </c>
      <c r="B24" s="44" t="s">
        <v>32</v>
      </c>
      <c r="C24" s="45">
        <v>2481</v>
      </c>
      <c r="D24" s="45"/>
      <c r="E24" s="46"/>
      <c r="F24" s="45">
        <v>2481</v>
      </c>
      <c r="G24" s="47">
        <v>10000</v>
      </c>
      <c r="H24" s="25">
        <f t="shared" ref="H24:H29" si="5">+G24*F24</f>
        <v>24810000</v>
      </c>
      <c r="I24" s="3"/>
      <c r="J24" s="3"/>
    </row>
    <row r="25" spans="1:10" ht="19.149999999999999" customHeight="1">
      <c r="A25" s="14">
        <v>5.2</v>
      </c>
      <c r="B25" s="44" t="s">
        <v>33</v>
      </c>
      <c r="C25" s="45">
        <v>9804</v>
      </c>
      <c r="D25" s="45"/>
      <c r="E25" s="46"/>
      <c r="F25" s="45">
        <v>9804</v>
      </c>
      <c r="G25" s="47">
        <v>10000</v>
      </c>
      <c r="H25" s="25">
        <f t="shared" si="5"/>
        <v>98040000</v>
      </c>
      <c r="I25" s="3"/>
      <c r="J25" s="3"/>
    </row>
    <row r="26" spans="1:10" ht="19.149999999999999" customHeight="1">
      <c r="A26" s="14">
        <v>5.3</v>
      </c>
      <c r="B26" s="44" t="s">
        <v>34</v>
      </c>
      <c r="C26" s="45">
        <v>17679</v>
      </c>
      <c r="D26" s="45"/>
      <c r="E26" s="46"/>
      <c r="F26" s="45">
        <v>17679</v>
      </c>
      <c r="G26" s="47">
        <v>12000</v>
      </c>
      <c r="H26" s="25">
        <f t="shared" si="5"/>
        <v>212148000</v>
      </c>
      <c r="I26" s="3"/>
      <c r="J26" s="3"/>
    </row>
    <row r="27" spans="1:10" ht="19.149999999999999" customHeight="1">
      <c r="A27" s="14">
        <v>5.4</v>
      </c>
      <c r="B27" s="44" t="s">
        <v>35</v>
      </c>
      <c r="C27" s="45">
        <v>46065</v>
      </c>
      <c r="D27" s="45"/>
      <c r="E27" s="46"/>
      <c r="F27" s="45">
        <v>46065</v>
      </c>
      <c r="G27" s="47">
        <v>12400</v>
      </c>
      <c r="H27" s="25">
        <f t="shared" si="5"/>
        <v>571206000</v>
      </c>
      <c r="I27" s="3"/>
      <c r="J27" s="3"/>
    </row>
    <row r="28" spans="1:10" ht="19.149999999999999" customHeight="1">
      <c r="A28" s="14">
        <v>5.5</v>
      </c>
      <c r="B28" s="44" t="s">
        <v>36</v>
      </c>
      <c r="C28" s="45">
        <v>40764</v>
      </c>
      <c r="D28" s="45"/>
      <c r="E28" s="46"/>
      <c r="F28" s="45">
        <v>40764</v>
      </c>
      <c r="G28" s="47">
        <v>12400</v>
      </c>
      <c r="H28" s="25">
        <f t="shared" si="5"/>
        <v>505473600</v>
      </c>
      <c r="I28" s="3"/>
      <c r="J28" s="3"/>
    </row>
    <row r="29" spans="1:10" ht="19.149999999999999" customHeight="1">
      <c r="A29" s="14">
        <v>5.6</v>
      </c>
      <c r="B29" s="44" t="s">
        <v>37</v>
      </c>
      <c r="C29" s="45">
        <v>5382</v>
      </c>
      <c r="D29" s="45"/>
      <c r="E29" s="46"/>
      <c r="F29" s="45">
        <v>5382</v>
      </c>
      <c r="G29" s="47">
        <v>12400</v>
      </c>
      <c r="H29" s="25">
        <f t="shared" si="5"/>
        <v>66736800</v>
      </c>
      <c r="I29" s="3"/>
      <c r="J29" s="3"/>
    </row>
    <row r="30" spans="1:10" ht="19.149999999999999" customHeight="1">
      <c r="A30" s="14"/>
      <c r="B30" s="15"/>
      <c r="C30" s="45"/>
      <c r="D30" s="45"/>
      <c r="E30" s="46"/>
      <c r="F30" s="3"/>
      <c r="G30" s="3"/>
      <c r="H30" s="3"/>
      <c r="I30" s="3"/>
      <c r="J30" s="3"/>
    </row>
    <row r="31" spans="1:10" ht="19.149999999999999" customHeight="1">
      <c r="A31" s="14"/>
      <c r="B31" s="15"/>
      <c r="C31" s="45"/>
      <c r="D31" s="45"/>
      <c r="E31" s="46"/>
      <c r="F31" s="3"/>
      <c r="G31" s="3"/>
      <c r="H31" s="3"/>
      <c r="I31" s="3"/>
      <c r="J31" s="3"/>
    </row>
    <row r="32" spans="1:10" ht="19.149999999999999" customHeight="1">
      <c r="A32" s="12"/>
      <c r="B32" s="2"/>
      <c r="C32" s="2"/>
      <c r="D32" s="2"/>
      <c r="E32" s="2"/>
      <c r="F32" s="2"/>
      <c r="G32" s="2"/>
      <c r="H32" s="2"/>
      <c r="I32" s="2"/>
      <c r="J32" s="2"/>
    </row>
  </sheetData>
  <pageMargins left="0.7" right="0.7" top="0.75" bottom="0.75" header="0.3" footer="0.3"/>
  <pageSetup paperSize="9" scale="5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view="pageBreakPreview" zoomScaleNormal="100" workbookViewId="0">
      <selection activeCell="G3" sqref="G3"/>
    </sheetView>
  </sheetViews>
  <sheetFormatPr defaultColWidth="9" defaultRowHeight="15.5"/>
  <cols>
    <col min="1" max="1" width="8.58203125" customWidth="1"/>
    <col min="2" max="2" width="29.08203125" customWidth="1"/>
    <col min="3" max="4" width="14.75" customWidth="1"/>
    <col min="5" max="5" width="17.4140625" customWidth="1"/>
    <col min="6" max="6" width="29.08203125" customWidth="1"/>
    <col min="7" max="7" width="19.58203125" customWidth="1"/>
  </cols>
  <sheetData>
    <row r="1" spans="1:7">
      <c r="A1" s="1" t="s">
        <v>49</v>
      </c>
      <c r="B1" s="1"/>
      <c r="C1" s="1"/>
      <c r="D1" s="1"/>
      <c r="E1" s="1"/>
      <c r="F1" s="1"/>
      <c r="G1" s="1"/>
    </row>
    <row r="3" spans="1:7" ht="45">
      <c r="A3" s="53" t="s">
        <v>2</v>
      </c>
      <c r="B3" s="53" t="s">
        <v>50</v>
      </c>
      <c r="C3" s="53" t="s">
        <v>51</v>
      </c>
      <c r="D3" s="53" t="s">
        <v>52</v>
      </c>
      <c r="E3" s="53" t="s">
        <v>53</v>
      </c>
      <c r="F3" s="53" t="s">
        <v>54</v>
      </c>
      <c r="G3" s="53" t="s">
        <v>7</v>
      </c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</sheetData>
  <pageMargins left="0.7" right="0.7" top="0.75" bottom="0.75" header="0.3" footer="0.3"/>
  <pageSetup paperSize="9"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2"/>
  <sheetViews>
    <sheetView tabSelected="1" view="pageBreakPreview" topLeftCell="A153" zoomScale="55" zoomScaleNormal="100" zoomScaleSheetLayoutView="55" workbookViewId="0">
      <selection activeCell="A153" sqref="A1:XFD1048576"/>
    </sheetView>
  </sheetViews>
  <sheetFormatPr defaultColWidth="8.58203125" defaultRowHeight="15.5"/>
  <cols>
    <col min="1" max="1" width="9.1640625" style="55" customWidth="1"/>
    <col min="2" max="2" width="34" style="55" bestFit="1" customWidth="1"/>
    <col min="3" max="9" width="12.33203125" style="55" customWidth="1"/>
    <col min="10" max="14" width="20.5" style="55" customWidth="1"/>
    <col min="15" max="15" width="30.1640625" style="55" customWidth="1"/>
    <col min="16" max="16" width="18.83203125" style="55" customWidth="1"/>
    <col min="17" max="19" width="8.58203125" style="55"/>
    <col min="20" max="20" width="14.9140625" style="55" customWidth="1"/>
    <col min="21" max="16384" width="8.58203125" style="55"/>
  </cols>
  <sheetData>
    <row r="1" spans="1:15" ht="32" customHeight="1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>
      <c r="A2" s="56"/>
      <c r="B2" s="56"/>
      <c r="C2" s="56"/>
      <c r="D2" s="56"/>
      <c r="E2" s="56"/>
      <c r="F2" s="56"/>
      <c r="G2" s="57"/>
      <c r="H2" s="57"/>
      <c r="I2" s="57"/>
      <c r="J2" s="57"/>
      <c r="K2" s="57"/>
      <c r="L2" s="57"/>
      <c r="M2" s="57"/>
      <c r="N2" s="57">
        <f ca="1">TODAY()</f>
        <v>46086</v>
      </c>
      <c r="O2" s="57" t="s">
        <v>1</v>
      </c>
    </row>
    <row r="3" spans="1:15" ht="45" customHeight="1">
      <c r="A3" s="58" t="s">
        <v>2</v>
      </c>
      <c r="B3" s="58" t="s">
        <v>39</v>
      </c>
      <c r="C3" s="59" t="s">
        <v>4</v>
      </c>
      <c r="D3" s="60"/>
      <c r="E3" s="61"/>
      <c r="F3" s="62" t="s">
        <v>40</v>
      </c>
      <c r="G3" s="62"/>
      <c r="H3" s="63"/>
      <c r="I3" s="63"/>
      <c r="J3" s="63"/>
      <c r="K3" s="64" t="s">
        <v>66</v>
      </c>
      <c r="L3" s="65"/>
      <c r="M3" s="65"/>
      <c r="N3" s="65"/>
      <c r="O3" s="59" t="s">
        <v>96</v>
      </c>
    </row>
    <row r="4" spans="1:15" ht="26" customHeight="1">
      <c r="A4" s="66"/>
      <c r="B4" s="66"/>
      <c r="C4" s="67"/>
      <c r="D4" s="68"/>
      <c r="E4" s="69"/>
      <c r="F4" s="70" t="s">
        <v>67</v>
      </c>
      <c r="G4" s="71"/>
      <c r="H4" s="72" t="s">
        <v>65</v>
      </c>
      <c r="I4" s="73"/>
      <c r="J4" s="63"/>
      <c r="K4" s="67"/>
      <c r="L4" s="68"/>
      <c r="M4" s="68"/>
      <c r="N4" s="68"/>
      <c r="O4" s="64"/>
    </row>
    <row r="5" spans="1:15" ht="121" customHeight="1">
      <c r="A5" s="74"/>
      <c r="B5" s="74"/>
      <c r="C5" s="75" t="s">
        <v>8</v>
      </c>
      <c r="D5" s="75" t="s">
        <v>42</v>
      </c>
      <c r="E5" s="75" t="s">
        <v>10</v>
      </c>
      <c r="F5" s="75" t="s">
        <v>8</v>
      </c>
      <c r="G5" s="75" t="s">
        <v>42</v>
      </c>
      <c r="H5" s="75" t="s">
        <v>64</v>
      </c>
      <c r="I5" s="75" t="s">
        <v>43</v>
      </c>
      <c r="J5" s="75" t="s">
        <v>66</v>
      </c>
      <c r="K5" s="76" t="s">
        <v>97</v>
      </c>
      <c r="L5" s="76" t="s">
        <v>98</v>
      </c>
      <c r="M5" s="76" t="s">
        <v>41</v>
      </c>
      <c r="N5" s="76" t="s">
        <v>7</v>
      </c>
      <c r="O5" s="67"/>
    </row>
    <row r="6" spans="1:15" s="81" customFormat="1" ht="30" customHeight="1">
      <c r="A6" s="77">
        <v>1</v>
      </c>
      <c r="B6" s="78" t="s">
        <v>63</v>
      </c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79"/>
    </row>
    <row r="7" spans="1:15" s="81" customFormat="1" ht="30" customHeight="1">
      <c r="A7" s="82">
        <v>1.1000000000000001</v>
      </c>
      <c r="B7" s="82" t="s">
        <v>44</v>
      </c>
      <c r="C7" s="83">
        <v>39276.326769768872</v>
      </c>
      <c r="D7" s="83">
        <v>7076.7950499999997</v>
      </c>
      <c r="E7" s="83"/>
      <c r="F7" s="83">
        <v>29873.52</v>
      </c>
      <c r="G7" s="83">
        <v>6672.8820000000005</v>
      </c>
      <c r="H7" s="84">
        <v>4552.7027769930792</v>
      </c>
      <c r="I7" s="83">
        <v>378.87739649681549</v>
      </c>
      <c r="J7" s="83">
        <v>714576953.37667</v>
      </c>
      <c r="K7" s="85"/>
      <c r="L7" s="85"/>
      <c r="M7" s="85"/>
      <c r="N7" s="85"/>
      <c r="O7" s="86" t="s">
        <v>73</v>
      </c>
    </row>
    <row r="8" spans="1:15" s="81" customFormat="1" ht="30" customHeight="1">
      <c r="A8" s="82">
        <v>1.2</v>
      </c>
      <c r="B8" s="82" t="s">
        <v>45</v>
      </c>
      <c r="C8" s="83">
        <v>0</v>
      </c>
      <c r="D8" s="83">
        <v>29160</v>
      </c>
      <c r="E8" s="83"/>
      <c r="F8" s="83">
        <v>0</v>
      </c>
      <c r="G8" s="83">
        <v>9139</v>
      </c>
      <c r="H8" s="84">
        <v>0</v>
      </c>
      <c r="I8" s="83">
        <v>13938</v>
      </c>
      <c r="J8" s="83">
        <v>120704040</v>
      </c>
      <c r="K8" s="87"/>
      <c r="L8" s="87"/>
      <c r="M8" s="87"/>
      <c r="N8" s="87"/>
      <c r="O8" s="88"/>
    </row>
    <row r="9" spans="1:15" s="81" customFormat="1" ht="30" customHeight="1">
      <c r="A9" s="89">
        <v>1.3</v>
      </c>
      <c r="B9" s="89" t="s">
        <v>46</v>
      </c>
      <c r="C9" s="83">
        <v>0</v>
      </c>
      <c r="D9" s="83">
        <v>0</v>
      </c>
      <c r="E9" s="83"/>
      <c r="F9" s="83">
        <v>0</v>
      </c>
      <c r="G9" s="83">
        <v>0</v>
      </c>
      <c r="H9" s="84">
        <v>0</v>
      </c>
      <c r="I9" s="83">
        <v>0</v>
      </c>
      <c r="J9" s="83">
        <v>0</v>
      </c>
      <c r="K9" s="90"/>
      <c r="L9" s="90"/>
      <c r="M9" s="90"/>
      <c r="N9" s="90"/>
      <c r="O9" s="91"/>
    </row>
    <row r="10" spans="1:15" s="81" customFormat="1" ht="30" customHeight="1">
      <c r="A10" s="77">
        <v>1</v>
      </c>
      <c r="B10" s="78" t="s">
        <v>48</v>
      </c>
      <c r="C10" s="78"/>
      <c r="D10" s="78"/>
      <c r="E10" s="78"/>
      <c r="F10" s="78"/>
      <c r="G10" s="78"/>
      <c r="H10" s="92"/>
      <c r="I10" s="78"/>
      <c r="J10" s="78"/>
      <c r="K10" s="93"/>
      <c r="L10" s="93"/>
      <c r="M10" s="93"/>
      <c r="N10" s="93"/>
      <c r="O10" s="78"/>
    </row>
    <row r="11" spans="1:15" s="81" customFormat="1" ht="30" customHeight="1">
      <c r="A11" s="82">
        <v>1.1000000000000001</v>
      </c>
      <c r="B11" s="82" t="s">
        <v>44</v>
      </c>
      <c r="C11" s="83">
        <v>322261.86684679013</v>
      </c>
      <c r="D11" s="83">
        <v>7253.2381955284027</v>
      </c>
      <c r="E11" s="83"/>
      <c r="F11" s="83">
        <v>284249.01506172842</v>
      </c>
      <c r="G11" s="83">
        <v>6546.8056897959177</v>
      </c>
      <c r="H11" s="84">
        <v>40950.792700000005</v>
      </c>
      <c r="I11" s="83">
        <v>1044</v>
      </c>
      <c r="J11" s="83">
        <v>5054564819.9887209</v>
      </c>
      <c r="K11" s="85"/>
      <c r="L11" s="85"/>
      <c r="M11" s="85"/>
      <c r="N11" s="85"/>
      <c r="O11" s="86" t="s">
        <v>73</v>
      </c>
    </row>
    <row r="12" spans="1:15" s="81" customFormat="1" ht="30" customHeight="1">
      <c r="A12" s="82">
        <v>1.2</v>
      </c>
      <c r="B12" s="82" t="s">
        <v>45</v>
      </c>
      <c r="C12" s="83">
        <v>6739.6</v>
      </c>
      <c r="D12" s="83">
        <v>29518</v>
      </c>
      <c r="E12" s="83"/>
      <c r="F12" s="83">
        <v>0</v>
      </c>
      <c r="G12" s="83">
        <v>32430</v>
      </c>
      <c r="H12" s="84">
        <v>0</v>
      </c>
      <c r="I12" s="83">
        <v>20</v>
      </c>
      <c r="J12" s="83">
        <v>627954470.00000012</v>
      </c>
      <c r="K12" s="87"/>
      <c r="L12" s="87"/>
      <c r="M12" s="87"/>
      <c r="N12" s="87"/>
      <c r="O12" s="88"/>
    </row>
    <row r="13" spans="1:15" s="81" customFormat="1" ht="30" customHeight="1">
      <c r="A13" s="89">
        <v>1.3</v>
      </c>
      <c r="B13" s="89" t="s">
        <v>46</v>
      </c>
      <c r="C13" s="83">
        <v>52007.350829999996</v>
      </c>
      <c r="D13" s="83">
        <v>11217.3552</v>
      </c>
      <c r="E13" s="83"/>
      <c r="F13" s="83">
        <v>57153.32</v>
      </c>
      <c r="G13" s="83">
        <v>9348.4</v>
      </c>
      <c r="H13" s="84">
        <v>1238.616</v>
      </c>
      <c r="I13" s="83">
        <v>1721.52</v>
      </c>
      <c r="J13" s="83">
        <v>1198176823.28356</v>
      </c>
      <c r="K13" s="90"/>
      <c r="L13" s="90"/>
      <c r="M13" s="90"/>
      <c r="N13" s="90"/>
      <c r="O13" s="91"/>
    </row>
    <row r="14" spans="1:15" s="81" customFormat="1" ht="30" customHeight="1">
      <c r="A14" s="77">
        <v>1</v>
      </c>
      <c r="B14" s="78" t="s">
        <v>58</v>
      </c>
      <c r="C14" s="78"/>
      <c r="D14" s="78"/>
      <c r="E14" s="78"/>
      <c r="F14" s="78"/>
      <c r="G14" s="78"/>
      <c r="H14" s="92"/>
      <c r="I14" s="78"/>
      <c r="J14" s="78"/>
      <c r="K14" s="93"/>
      <c r="L14" s="93"/>
      <c r="M14" s="93"/>
      <c r="N14" s="93"/>
      <c r="O14" s="78"/>
    </row>
    <row r="15" spans="1:15" s="81" customFormat="1" ht="30" customHeight="1">
      <c r="A15" s="82">
        <v>1.1000000000000001</v>
      </c>
      <c r="B15" s="82" t="s">
        <v>44</v>
      </c>
      <c r="C15" s="83">
        <v>688314.75110480352</v>
      </c>
      <c r="D15" s="83">
        <v>42283.706418062509</v>
      </c>
      <c r="E15" s="83"/>
      <c r="F15" s="83">
        <v>647193.59750000003</v>
      </c>
      <c r="G15" s="83">
        <v>44807.620771199996</v>
      </c>
      <c r="H15" s="84">
        <v>34363.468375873992</v>
      </c>
      <c r="I15" s="83">
        <v>819.85065946242048</v>
      </c>
      <c r="J15" s="83">
        <v>18949359277.297287</v>
      </c>
      <c r="K15" s="85"/>
      <c r="L15" s="85"/>
      <c r="M15" s="85"/>
      <c r="N15" s="85"/>
      <c r="O15" s="86" t="s">
        <v>73</v>
      </c>
    </row>
    <row r="16" spans="1:15" s="81" customFormat="1" ht="30" customHeight="1">
      <c r="A16" s="82">
        <v>1.2</v>
      </c>
      <c r="B16" s="82" t="s">
        <v>45</v>
      </c>
      <c r="C16" s="83">
        <v>0</v>
      </c>
      <c r="D16" s="83">
        <v>19395</v>
      </c>
      <c r="E16" s="83"/>
      <c r="F16" s="83">
        <v>0</v>
      </c>
      <c r="G16" s="83">
        <v>19429</v>
      </c>
      <c r="H16" s="84">
        <v>0</v>
      </c>
      <c r="I16" s="83">
        <v>0</v>
      </c>
      <c r="J16" s="83">
        <v>547538486</v>
      </c>
      <c r="K16" s="87"/>
      <c r="L16" s="87"/>
      <c r="M16" s="87"/>
      <c r="N16" s="87"/>
      <c r="O16" s="88"/>
    </row>
    <row r="17" spans="1:15" s="81" customFormat="1" ht="30" customHeight="1">
      <c r="A17" s="89">
        <v>1.3</v>
      </c>
      <c r="B17" s="89" t="s">
        <v>46</v>
      </c>
      <c r="C17" s="83">
        <v>77765.553890594238</v>
      </c>
      <c r="D17" s="83">
        <v>26592.682161273886</v>
      </c>
      <c r="E17" s="83"/>
      <c r="F17" s="83">
        <v>72120.599999999991</v>
      </c>
      <c r="G17" s="83">
        <v>21445.504999999994</v>
      </c>
      <c r="H17" s="84">
        <v>7177.7415250000022</v>
      </c>
      <c r="I17" s="83">
        <v>1634.9041612738847</v>
      </c>
      <c r="J17" s="83">
        <v>1411421086.5194502</v>
      </c>
      <c r="K17" s="90"/>
      <c r="L17" s="90"/>
      <c r="M17" s="90"/>
      <c r="N17" s="90"/>
      <c r="O17" s="91"/>
    </row>
    <row r="18" spans="1:15" s="81" customFormat="1" ht="30" customHeight="1">
      <c r="A18" s="77">
        <v>1</v>
      </c>
      <c r="B18" s="78" t="s">
        <v>47</v>
      </c>
      <c r="C18" s="79"/>
      <c r="D18" s="79"/>
      <c r="E18" s="79"/>
      <c r="F18" s="79"/>
      <c r="G18" s="79"/>
      <c r="H18" s="94"/>
      <c r="I18" s="79"/>
      <c r="J18" s="79"/>
      <c r="K18" s="80"/>
      <c r="L18" s="80"/>
      <c r="M18" s="80"/>
      <c r="N18" s="80"/>
      <c r="O18" s="79"/>
    </row>
    <row r="19" spans="1:15" s="81" customFormat="1" ht="30" customHeight="1">
      <c r="A19" s="82">
        <v>1.1000000000000001</v>
      </c>
      <c r="B19" s="82" t="s">
        <v>44</v>
      </c>
      <c r="C19" s="83">
        <v>170614.7798022395</v>
      </c>
      <c r="D19" s="83">
        <v>9561.0668000000005</v>
      </c>
      <c r="E19" s="83"/>
      <c r="F19" s="83">
        <v>166129.83499999999</v>
      </c>
      <c r="G19" s="83">
        <v>9569.970699999998</v>
      </c>
      <c r="H19" s="84">
        <v>5464.6909491358019</v>
      </c>
      <c r="I19" s="83">
        <v>61.197399999999995</v>
      </c>
      <c r="J19" s="83">
        <v>3056220846.4209943</v>
      </c>
      <c r="K19" s="85"/>
      <c r="L19" s="85"/>
      <c r="M19" s="85"/>
      <c r="N19" s="85"/>
      <c r="O19" s="86" t="s">
        <v>73</v>
      </c>
    </row>
    <row r="20" spans="1:15" s="81" customFormat="1" ht="30" customHeight="1">
      <c r="A20" s="82">
        <v>1.2</v>
      </c>
      <c r="B20" s="82" t="s">
        <v>45</v>
      </c>
      <c r="C20" s="83">
        <v>26.291729388871552</v>
      </c>
      <c r="D20" s="83">
        <v>259</v>
      </c>
      <c r="E20" s="83"/>
      <c r="F20" s="83">
        <v>0</v>
      </c>
      <c r="G20" s="83">
        <v>260</v>
      </c>
      <c r="H20" s="84">
        <v>0</v>
      </c>
      <c r="I20" s="83">
        <v>0</v>
      </c>
      <c r="J20" s="83">
        <v>15983880</v>
      </c>
      <c r="K20" s="87"/>
      <c r="L20" s="87"/>
      <c r="M20" s="87"/>
      <c r="N20" s="87"/>
      <c r="O20" s="88"/>
    </row>
    <row r="21" spans="1:15" s="81" customFormat="1" ht="30" customHeight="1">
      <c r="A21" s="89">
        <v>1.3</v>
      </c>
      <c r="B21" s="89" t="s">
        <v>46</v>
      </c>
      <c r="C21" s="83">
        <v>10784.784660685184</v>
      </c>
      <c r="D21" s="83">
        <v>6592.3295500000004</v>
      </c>
      <c r="E21" s="83"/>
      <c r="F21" s="83">
        <v>7999.4999999999991</v>
      </c>
      <c r="G21" s="83">
        <v>5043.125</v>
      </c>
      <c r="H21" s="84">
        <v>4032.3015851851851</v>
      </c>
      <c r="I21" s="83">
        <v>147.7628</v>
      </c>
      <c r="J21" s="83">
        <v>174420410.63150004</v>
      </c>
      <c r="K21" s="90"/>
      <c r="L21" s="90"/>
      <c r="M21" s="90"/>
      <c r="N21" s="90"/>
      <c r="O21" s="91"/>
    </row>
    <row r="22" spans="1:15" s="81" customFormat="1" ht="30" customHeight="1">
      <c r="A22" s="77">
        <v>1</v>
      </c>
      <c r="B22" s="78" t="s">
        <v>11</v>
      </c>
      <c r="C22" s="79"/>
      <c r="D22" s="79"/>
      <c r="E22" s="79"/>
      <c r="F22" s="79"/>
      <c r="G22" s="79"/>
      <c r="H22" s="94"/>
      <c r="I22" s="79"/>
      <c r="J22" s="79"/>
      <c r="K22" s="80"/>
      <c r="L22" s="80"/>
      <c r="M22" s="80"/>
      <c r="N22" s="80"/>
      <c r="O22" s="79"/>
    </row>
    <row r="23" spans="1:15" s="81" customFormat="1" ht="30" customHeight="1">
      <c r="A23" s="82">
        <v>1.1000000000000001</v>
      </c>
      <c r="B23" s="82" t="s">
        <v>44</v>
      </c>
      <c r="C23" s="83">
        <v>177559.16001017613</v>
      </c>
      <c r="D23" s="83">
        <v>4879.0440401256974</v>
      </c>
      <c r="E23" s="83"/>
      <c r="F23" s="83">
        <v>182306.16971999995</v>
      </c>
      <c r="G23" s="83">
        <v>4953.75</v>
      </c>
      <c r="H23" s="84">
        <v>38.668800000000005</v>
      </c>
      <c r="I23" s="83">
        <v>2.0352000000000001</v>
      </c>
      <c r="J23" s="83">
        <v>3173260334.0987806</v>
      </c>
      <c r="K23" s="85"/>
      <c r="L23" s="85"/>
      <c r="M23" s="85"/>
      <c r="N23" s="85"/>
      <c r="O23" s="86" t="s">
        <v>73</v>
      </c>
    </row>
    <row r="24" spans="1:15" s="81" customFormat="1" ht="30" customHeight="1">
      <c r="A24" s="82">
        <v>1.2</v>
      </c>
      <c r="B24" s="82" t="s">
        <v>45</v>
      </c>
      <c r="C24" s="83">
        <v>1056.7332388209659</v>
      </c>
      <c r="D24" s="83">
        <v>21823</v>
      </c>
      <c r="E24" s="83"/>
      <c r="F24" s="83">
        <v>0</v>
      </c>
      <c r="G24" s="83">
        <v>21823</v>
      </c>
      <c r="H24" s="84">
        <v>0</v>
      </c>
      <c r="I24" s="83">
        <v>0</v>
      </c>
      <c r="J24" s="83">
        <v>111905343</v>
      </c>
      <c r="K24" s="87"/>
      <c r="L24" s="87"/>
      <c r="M24" s="87"/>
      <c r="N24" s="87"/>
      <c r="O24" s="88"/>
    </row>
    <row r="25" spans="1:15" s="81" customFormat="1" ht="30" customHeight="1">
      <c r="A25" s="89">
        <v>1.3</v>
      </c>
      <c r="B25" s="89" t="s">
        <v>46</v>
      </c>
      <c r="C25" s="83">
        <v>51141.837431170221</v>
      </c>
      <c r="D25" s="83">
        <v>19287.037475199999</v>
      </c>
      <c r="E25" s="83"/>
      <c r="F25" s="83">
        <v>42418.319999999992</v>
      </c>
      <c r="G25" s="83">
        <v>13369.665000000001</v>
      </c>
      <c r="H25" s="84">
        <v>10565.215036155498</v>
      </c>
      <c r="I25" s="83">
        <v>690.8439472</v>
      </c>
      <c r="J25" s="83">
        <v>1119574723.43574</v>
      </c>
      <c r="K25" s="90"/>
      <c r="L25" s="90"/>
      <c r="M25" s="90"/>
      <c r="N25" s="90"/>
      <c r="O25" s="91"/>
    </row>
    <row r="26" spans="1:15" s="81" customFormat="1" ht="30" customHeight="1">
      <c r="A26" s="77">
        <v>1</v>
      </c>
      <c r="B26" s="78" t="s">
        <v>55</v>
      </c>
      <c r="C26" s="78"/>
      <c r="D26" s="78"/>
      <c r="E26" s="78"/>
      <c r="F26" s="78"/>
      <c r="G26" s="78"/>
      <c r="H26" s="92"/>
      <c r="I26" s="78"/>
      <c r="J26" s="78"/>
      <c r="K26" s="93"/>
      <c r="L26" s="93"/>
      <c r="M26" s="93"/>
      <c r="N26" s="93"/>
      <c r="O26" s="78"/>
    </row>
    <row r="27" spans="1:15" s="81" customFormat="1" ht="30" customHeight="1">
      <c r="A27" s="82">
        <v>1.1000000000000001</v>
      </c>
      <c r="B27" s="82" t="s">
        <v>44</v>
      </c>
      <c r="C27" s="83">
        <v>31682.481499999998</v>
      </c>
      <c r="D27" s="83">
        <v>838.59500000000003</v>
      </c>
      <c r="E27" s="83"/>
      <c r="F27" s="83">
        <v>24404.62</v>
      </c>
      <c r="G27" s="83">
        <v>756.58500000000004</v>
      </c>
      <c r="H27" s="84">
        <v>5144.0274999999992</v>
      </c>
      <c r="I27" s="83">
        <v>151.85000000000002</v>
      </c>
      <c r="J27" s="83">
        <v>459182661.84318</v>
      </c>
      <c r="K27" s="85"/>
      <c r="L27" s="85"/>
      <c r="M27" s="85"/>
      <c r="N27" s="85"/>
      <c r="O27" s="86" t="s">
        <v>73</v>
      </c>
    </row>
    <row r="28" spans="1:15" s="81" customFormat="1" ht="30" customHeight="1">
      <c r="A28" s="82">
        <v>1.2</v>
      </c>
      <c r="B28" s="82" t="s">
        <v>45</v>
      </c>
      <c r="C28" s="83">
        <v>729.44444183223845</v>
      </c>
      <c r="D28" s="83">
        <v>4227</v>
      </c>
      <c r="E28" s="83"/>
      <c r="F28" s="83">
        <v>0</v>
      </c>
      <c r="G28" s="83">
        <v>4227</v>
      </c>
      <c r="H28" s="84">
        <v>0</v>
      </c>
      <c r="I28" s="83">
        <v>0</v>
      </c>
      <c r="J28" s="83">
        <v>109706487</v>
      </c>
      <c r="K28" s="87"/>
      <c r="L28" s="87"/>
      <c r="M28" s="87"/>
      <c r="N28" s="87"/>
      <c r="O28" s="88"/>
    </row>
    <row r="29" spans="1:15" s="81" customFormat="1" ht="30" customHeight="1">
      <c r="A29" s="89">
        <v>1.3</v>
      </c>
      <c r="B29" s="89" t="s">
        <v>46</v>
      </c>
      <c r="C29" s="83">
        <v>1789.8879999999999</v>
      </c>
      <c r="D29" s="83">
        <v>866.04000000000008</v>
      </c>
      <c r="E29" s="83"/>
      <c r="F29" s="83">
        <v>810.12</v>
      </c>
      <c r="G29" s="83">
        <v>108</v>
      </c>
      <c r="H29" s="84">
        <v>937.16800000000001</v>
      </c>
      <c r="I29" s="83">
        <v>758.04</v>
      </c>
      <c r="J29" s="83">
        <v>13123941.569640001</v>
      </c>
      <c r="K29" s="90"/>
      <c r="L29" s="90"/>
      <c r="M29" s="90"/>
      <c r="N29" s="90"/>
      <c r="O29" s="91"/>
    </row>
    <row r="30" spans="1:15" s="81" customFormat="1" ht="30" customHeight="1">
      <c r="A30" s="77">
        <v>1</v>
      </c>
      <c r="B30" s="78" t="s">
        <v>56</v>
      </c>
      <c r="C30" s="78"/>
      <c r="D30" s="78"/>
      <c r="E30" s="78"/>
      <c r="F30" s="78"/>
      <c r="G30" s="78"/>
      <c r="H30" s="92"/>
      <c r="I30" s="78"/>
      <c r="J30" s="78"/>
      <c r="K30" s="93"/>
      <c r="L30" s="93"/>
      <c r="M30" s="93"/>
      <c r="N30" s="93"/>
      <c r="O30" s="78"/>
    </row>
    <row r="31" spans="1:15" s="81" customFormat="1" ht="30" customHeight="1">
      <c r="A31" s="82">
        <v>1.1000000000000001</v>
      </c>
      <c r="B31" s="82" t="s">
        <v>44</v>
      </c>
      <c r="C31" s="83">
        <v>13456.936210435189</v>
      </c>
      <c r="D31" s="83">
        <v>426.41783273702919</v>
      </c>
      <c r="E31" s="83"/>
      <c r="F31" s="83">
        <v>14066.46</v>
      </c>
      <c r="G31" s="83">
        <v>439.61765000000003</v>
      </c>
      <c r="H31" s="84">
        <v>348.25380743519395</v>
      </c>
      <c r="I31" s="83">
        <v>3.0900000000000003</v>
      </c>
      <c r="J31" s="83">
        <v>372583040.65305007</v>
      </c>
      <c r="K31" s="85"/>
      <c r="L31" s="85"/>
      <c r="M31" s="85"/>
      <c r="N31" s="85"/>
      <c r="O31" s="86" t="s">
        <v>73</v>
      </c>
    </row>
    <row r="32" spans="1:15" s="81" customFormat="1" ht="30" customHeight="1">
      <c r="A32" s="82">
        <v>1.2</v>
      </c>
      <c r="B32" s="82" t="s">
        <v>45</v>
      </c>
      <c r="C32" s="83">
        <v>841.53</v>
      </c>
      <c r="D32" s="83">
        <v>4694.6025</v>
      </c>
      <c r="E32" s="83"/>
      <c r="F32" s="83">
        <v>0</v>
      </c>
      <c r="G32" s="83">
        <v>4664.0020000000004</v>
      </c>
      <c r="H32" s="84">
        <v>0</v>
      </c>
      <c r="I32" s="83">
        <v>0</v>
      </c>
      <c r="J32" s="83">
        <v>139461367.76000002</v>
      </c>
      <c r="K32" s="87"/>
      <c r="L32" s="87"/>
      <c r="M32" s="87"/>
      <c r="N32" s="87"/>
      <c r="O32" s="88"/>
    </row>
    <row r="33" spans="1:15" s="81" customFormat="1" ht="30" customHeight="1">
      <c r="A33" s="89">
        <v>1.3</v>
      </c>
      <c r="B33" s="89" t="s">
        <v>46</v>
      </c>
      <c r="C33" s="83">
        <v>1456.0176000000001</v>
      </c>
      <c r="D33" s="83">
        <v>161.45000000000002</v>
      </c>
      <c r="E33" s="83"/>
      <c r="F33" s="83">
        <v>1197.5999999999999</v>
      </c>
      <c r="G33" s="83">
        <v>56</v>
      </c>
      <c r="H33" s="84">
        <v>245.7688</v>
      </c>
      <c r="I33" s="83">
        <v>109.1</v>
      </c>
      <c r="J33" s="83">
        <v>6387879.3528000005</v>
      </c>
      <c r="K33" s="90"/>
      <c r="L33" s="90"/>
      <c r="M33" s="90"/>
      <c r="N33" s="90"/>
      <c r="O33" s="91"/>
    </row>
    <row r="34" spans="1:15" s="81" customFormat="1" ht="30" customHeight="1">
      <c r="A34" s="77">
        <v>1</v>
      </c>
      <c r="B34" s="78" t="s">
        <v>57</v>
      </c>
      <c r="C34" s="78"/>
      <c r="D34" s="78"/>
      <c r="E34" s="78"/>
      <c r="F34" s="78"/>
      <c r="G34" s="78"/>
      <c r="H34" s="92"/>
      <c r="I34" s="78"/>
      <c r="J34" s="78"/>
      <c r="K34" s="93"/>
      <c r="L34" s="93"/>
      <c r="M34" s="93"/>
      <c r="N34" s="93"/>
      <c r="O34" s="78"/>
    </row>
    <row r="35" spans="1:15" s="81" customFormat="1" ht="30" customHeight="1">
      <c r="A35" s="82">
        <v>1.1000000000000001</v>
      </c>
      <c r="B35" s="82" t="s">
        <v>44</v>
      </c>
      <c r="C35" s="83">
        <v>11819.543930000003</v>
      </c>
      <c r="D35" s="83">
        <v>344.01069999999993</v>
      </c>
      <c r="E35" s="83"/>
      <c r="F35" s="83">
        <v>11706.15</v>
      </c>
      <c r="G35" s="83">
        <v>374.69099999999992</v>
      </c>
      <c r="H35" s="84">
        <v>688.83749999999998</v>
      </c>
      <c r="I35" s="83">
        <v>4.5</v>
      </c>
      <c r="J35" s="83">
        <v>214964414.79337001</v>
      </c>
      <c r="K35" s="85"/>
      <c r="L35" s="85"/>
      <c r="M35" s="85"/>
      <c r="N35" s="85"/>
      <c r="O35" s="86" t="s">
        <v>73</v>
      </c>
    </row>
    <row r="36" spans="1:15" s="81" customFormat="1" ht="30" customHeight="1">
      <c r="A36" s="82">
        <v>1.2</v>
      </c>
      <c r="B36" s="82" t="s">
        <v>45</v>
      </c>
      <c r="C36" s="83">
        <v>0</v>
      </c>
      <c r="D36" s="83">
        <v>426</v>
      </c>
      <c r="E36" s="83"/>
      <c r="F36" s="83">
        <v>0</v>
      </c>
      <c r="G36" s="83">
        <v>426</v>
      </c>
      <c r="H36" s="84">
        <v>0</v>
      </c>
      <c r="I36" s="83">
        <v>0</v>
      </c>
      <c r="J36" s="83">
        <v>11980804</v>
      </c>
      <c r="K36" s="87"/>
      <c r="L36" s="87"/>
      <c r="M36" s="87"/>
      <c r="N36" s="87"/>
      <c r="O36" s="88"/>
    </row>
    <row r="37" spans="1:15" s="81" customFormat="1" ht="30" customHeight="1">
      <c r="A37" s="89">
        <v>1.3</v>
      </c>
      <c r="B37" s="89" t="s">
        <v>46</v>
      </c>
      <c r="C37" s="83">
        <v>51.809999999999995</v>
      </c>
      <c r="D37" s="83">
        <v>539.82500000000005</v>
      </c>
      <c r="E37" s="83"/>
      <c r="F37" s="83">
        <v>0</v>
      </c>
      <c r="G37" s="83">
        <v>391</v>
      </c>
      <c r="H37" s="84">
        <v>51.809999999999995</v>
      </c>
      <c r="I37" s="83">
        <v>0.82499999999999996</v>
      </c>
      <c r="J37" s="83">
        <v>8961892</v>
      </c>
      <c r="K37" s="90"/>
      <c r="L37" s="90"/>
      <c r="M37" s="90"/>
      <c r="N37" s="90"/>
      <c r="O37" s="91"/>
    </row>
    <row r="38" spans="1:15" s="81" customFormat="1" ht="30" customHeight="1">
      <c r="A38" s="77">
        <v>1</v>
      </c>
      <c r="B38" s="78" t="s">
        <v>60</v>
      </c>
      <c r="C38" s="78"/>
      <c r="D38" s="78"/>
      <c r="E38" s="78"/>
      <c r="F38" s="78"/>
      <c r="G38" s="78"/>
      <c r="H38" s="92"/>
      <c r="I38" s="78"/>
      <c r="J38" s="78"/>
      <c r="K38" s="93"/>
      <c r="L38" s="93"/>
      <c r="M38" s="93"/>
      <c r="N38" s="93"/>
      <c r="O38" s="78"/>
    </row>
    <row r="39" spans="1:15" s="81" customFormat="1" ht="30" customHeight="1">
      <c r="A39" s="82">
        <v>1.1000000000000001</v>
      </c>
      <c r="B39" s="82" t="s">
        <v>44</v>
      </c>
      <c r="C39" s="83">
        <v>8636.0448389232133</v>
      </c>
      <c r="D39" s="83">
        <v>113.53999999999999</v>
      </c>
      <c r="E39" s="83"/>
      <c r="F39" s="83">
        <v>1008552.52</v>
      </c>
      <c r="G39" s="83">
        <v>121</v>
      </c>
      <c r="H39" s="84">
        <v>715.53250000000003</v>
      </c>
      <c r="I39" s="83">
        <v>8.14</v>
      </c>
      <c r="J39" s="83">
        <v>167370257.47872001</v>
      </c>
      <c r="K39" s="85"/>
      <c r="L39" s="85"/>
      <c r="M39" s="85"/>
      <c r="N39" s="85"/>
      <c r="O39" s="86" t="s">
        <v>73</v>
      </c>
    </row>
    <row r="40" spans="1:15" s="81" customFormat="1" ht="30" customHeight="1">
      <c r="A40" s="82">
        <v>1.2</v>
      </c>
      <c r="B40" s="82" t="s">
        <v>45</v>
      </c>
      <c r="C40" s="83">
        <v>0</v>
      </c>
      <c r="D40" s="83">
        <v>0</v>
      </c>
      <c r="E40" s="83"/>
      <c r="F40" s="83">
        <v>0</v>
      </c>
      <c r="G40" s="83">
        <v>0</v>
      </c>
      <c r="H40" s="84">
        <v>0</v>
      </c>
      <c r="I40" s="83">
        <v>0</v>
      </c>
      <c r="J40" s="83"/>
      <c r="K40" s="87"/>
      <c r="L40" s="87"/>
      <c r="M40" s="87"/>
      <c r="N40" s="87"/>
      <c r="O40" s="88"/>
    </row>
    <row r="41" spans="1:15" s="81" customFormat="1" ht="30" customHeight="1">
      <c r="A41" s="89">
        <v>1.3</v>
      </c>
      <c r="B41" s="89" t="s">
        <v>46</v>
      </c>
      <c r="C41" s="83">
        <v>214.75949999999997</v>
      </c>
      <c r="D41" s="83">
        <v>39.5013949044586</v>
      </c>
      <c r="E41" s="83"/>
      <c r="F41" s="83">
        <v>0</v>
      </c>
      <c r="G41" s="83">
        <v>0</v>
      </c>
      <c r="H41" s="84">
        <v>214.75949999999997</v>
      </c>
      <c r="I41" s="83">
        <v>39.5013949044586</v>
      </c>
      <c r="J41" s="83"/>
      <c r="K41" s="90"/>
      <c r="L41" s="90"/>
      <c r="M41" s="90"/>
      <c r="N41" s="90"/>
      <c r="O41" s="91"/>
    </row>
    <row r="42" spans="1:15" s="81" customFormat="1" ht="30" customHeight="1">
      <c r="A42" s="77">
        <v>1</v>
      </c>
      <c r="B42" s="78" t="s">
        <v>59</v>
      </c>
      <c r="C42" s="78"/>
      <c r="D42" s="78"/>
      <c r="E42" s="78"/>
      <c r="F42" s="78"/>
      <c r="G42" s="78"/>
      <c r="H42" s="92"/>
      <c r="I42" s="78"/>
      <c r="J42" s="78"/>
      <c r="K42" s="93"/>
      <c r="L42" s="93"/>
      <c r="M42" s="93"/>
      <c r="N42" s="93"/>
      <c r="O42" s="78"/>
    </row>
    <row r="43" spans="1:15" s="81" customFormat="1" ht="30" customHeight="1">
      <c r="A43" s="82">
        <v>1.1000000000000001</v>
      </c>
      <c r="B43" s="82" t="s">
        <v>44</v>
      </c>
      <c r="C43" s="83">
        <v>43981.894780977782</v>
      </c>
      <c r="D43" s="83">
        <v>2568.6000000000004</v>
      </c>
      <c r="E43" s="83"/>
      <c r="F43" s="83">
        <v>41289.43</v>
      </c>
      <c r="G43" s="83">
        <v>2507.2200000000003</v>
      </c>
      <c r="H43" s="84">
        <v>3856.6244999999994</v>
      </c>
      <c r="I43" s="83">
        <v>85.5</v>
      </c>
      <c r="J43" s="83">
        <v>889580173.40005028</v>
      </c>
      <c r="K43" s="85"/>
      <c r="L43" s="85"/>
      <c r="M43" s="85"/>
      <c r="N43" s="85"/>
      <c r="O43" s="86" t="s">
        <v>73</v>
      </c>
    </row>
    <row r="44" spans="1:15" s="81" customFormat="1" ht="30" customHeight="1">
      <c r="A44" s="82">
        <v>1.2</v>
      </c>
      <c r="B44" s="82" t="s">
        <v>45</v>
      </c>
      <c r="C44" s="83">
        <v>0</v>
      </c>
      <c r="D44" s="83">
        <v>11664</v>
      </c>
      <c r="E44" s="83"/>
      <c r="F44" s="83">
        <v>0</v>
      </c>
      <c r="G44" s="83">
        <v>11664</v>
      </c>
      <c r="H44" s="84">
        <v>0</v>
      </c>
      <c r="I44" s="83">
        <v>0</v>
      </c>
      <c r="J44" s="83">
        <v>84145622</v>
      </c>
      <c r="K44" s="87"/>
      <c r="L44" s="87"/>
      <c r="M44" s="87"/>
      <c r="N44" s="87"/>
      <c r="O44" s="88"/>
    </row>
    <row r="45" spans="1:15" s="81" customFormat="1" ht="30" customHeight="1">
      <c r="A45" s="89">
        <v>1.3</v>
      </c>
      <c r="B45" s="89" t="s">
        <v>46</v>
      </c>
      <c r="C45" s="83">
        <v>2833</v>
      </c>
      <c r="D45" s="83">
        <v>4876</v>
      </c>
      <c r="E45" s="83"/>
      <c r="F45" s="83">
        <v>2217.5</v>
      </c>
      <c r="G45" s="83">
        <v>4684.940963</v>
      </c>
      <c r="H45" s="84">
        <v>0</v>
      </c>
      <c r="I45" s="83">
        <v>390</v>
      </c>
      <c r="J45" s="83">
        <v>142312097.84954</v>
      </c>
      <c r="K45" s="90"/>
      <c r="L45" s="90"/>
      <c r="M45" s="90"/>
      <c r="N45" s="90"/>
      <c r="O45" s="91"/>
    </row>
    <row r="46" spans="1:15" s="81" customFormat="1" ht="30" customHeight="1">
      <c r="A46" s="77">
        <v>1</v>
      </c>
      <c r="B46" s="78" t="s">
        <v>61</v>
      </c>
      <c r="C46" s="78"/>
      <c r="D46" s="78"/>
      <c r="E46" s="78"/>
      <c r="F46" s="78"/>
      <c r="G46" s="78"/>
      <c r="H46" s="92"/>
      <c r="I46" s="78"/>
      <c r="J46" s="78"/>
      <c r="K46" s="93"/>
      <c r="L46" s="93"/>
      <c r="M46" s="93"/>
      <c r="N46" s="93"/>
      <c r="O46" s="78"/>
    </row>
    <row r="47" spans="1:15" s="81" customFormat="1" ht="30" customHeight="1">
      <c r="A47" s="82">
        <v>1.1000000000000001</v>
      </c>
      <c r="B47" s="82" t="s">
        <v>44</v>
      </c>
      <c r="C47" s="83">
        <v>77356.185238323524</v>
      </c>
      <c r="D47" s="83">
        <v>7061.5654999999997</v>
      </c>
      <c r="E47" s="83"/>
      <c r="F47" s="83">
        <v>78590.130000000019</v>
      </c>
      <c r="G47" s="83">
        <v>7707.3269</v>
      </c>
      <c r="H47" s="84">
        <v>3472.5287901234569</v>
      </c>
      <c r="I47" s="83">
        <v>13.820400000000001</v>
      </c>
      <c r="J47" s="83">
        <v>1280029864.13955</v>
      </c>
      <c r="K47" s="85"/>
      <c r="L47" s="85"/>
      <c r="M47" s="85"/>
      <c r="N47" s="85"/>
      <c r="O47" s="86" t="s">
        <v>73</v>
      </c>
    </row>
    <row r="48" spans="1:15" s="81" customFormat="1" ht="30" customHeight="1">
      <c r="A48" s="82">
        <v>1.2</v>
      </c>
      <c r="B48" s="82" t="s">
        <v>45</v>
      </c>
      <c r="C48" s="83">
        <v>0</v>
      </c>
      <c r="D48" s="83">
        <v>0</v>
      </c>
      <c r="E48" s="83"/>
      <c r="F48" s="83">
        <v>0</v>
      </c>
      <c r="G48" s="83">
        <v>0</v>
      </c>
      <c r="H48" s="84">
        <v>0</v>
      </c>
      <c r="I48" s="83">
        <v>0</v>
      </c>
      <c r="J48" s="83">
        <v>0</v>
      </c>
      <c r="K48" s="87"/>
      <c r="L48" s="87"/>
      <c r="M48" s="87"/>
      <c r="N48" s="87"/>
      <c r="O48" s="88"/>
    </row>
    <row r="49" spans="1:15" s="81" customFormat="1" ht="30" customHeight="1">
      <c r="A49" s="89">
        <v>1.3</v>
      </c>
      <c r="B49" s="89" t="s">
        <v>46</v>
      </c>
      <c r="C49" s="83">
        <v>21069.339238489811</v>
      </c>
      <c r="D49" s="83">
        <v>4497.0981432279195</v>
      </c>
      <c r="E49" s="83"/>
      <c r="F49" s="83">
        <v>14294.119999999999</v>
      </c>
      <c r="G49" s="83">
        <v>3338.6750000000002</v>
      </c>
      <c r="H49" s="84">
        <v>6822.9129249095668</v>
      </c>
      <c r="I49" s="83">
        <v>1162.83814322792</v>
      </c>
      <c r="J49" s="83">
        <v>255084375.77558002</v>
      </c>
      <c r="K49" s="90"/>
      <c r="L49" s="90"/>
      <c r="M49" s="90"/>
      <c r="N49" s="90"/>
      <c r="O49" s="91"/>
    </row>
    <row r="50" spans="1:15" s="81" customFormat="1" ht="30" customHeight="1">
      <c r="A50" s="77">
        <v>1</v>
      </c>
      <c r="B50" s="78" t="s">
        <v>62</v>
      </c>
      <c r="C50" s="78"/>
      <c r="D50" s="78"/>
      <c r="E50" s="78"/>
      <c r="F50" s="78"/>
      <c r="G50" s="78"/>
      <c r="H50" s="92"/>
      <c r="I50" s="78"/>
      <c r="J50" s="78"/>
      <c r="K50" s="93"/>
      <c r="L50" s="93"/>
      <c r="M50" s="93"/>
      <c r="N50" s="93"/>
      <c r="O50" s="78"/>
    </row>
    <row r="51" spans="1:15" s="81" customFormat="1" ht="30" customHeight="1">
      <c r="A51" s="82">
        <v>1.1000000000000001</v>
      </c>
      <c r="B51" s="82" t="s">
        <v>44</v>
      </c>
      <c r="C51" s="83">
        <v>1394826.6609322391</v>
      </c>
      <c r="D51" s="83">
        <v>31484.409059999984</v>
      </c>
      <c r="E51" s="83"/>
      <c r="F51" s="83">
        <v>1371496.7500000002</v>
      </c>
      <c r="G51" s="83">
        <v>33222.762749999994</v>
      </c>
      <c r="H51" s="84">
        <v>11796.060064946912</v>
      </c>
      <c r="I51" s="83">
        <v>141.974895</v>
      </c>
      <c r="J51" s="83">
        <v>28199092950.43084</v>
      </c>
      <c r="K51" s="85">
        <v>27375766652.707893</v>
      </c>
      <c r="L51" s="85"/>
      <c r="M51" s="85">
        <v>-823326297.72294617</v>
      </c>
      <c r="N51" s="95" t="str">
        <f t="shared" ref="N51:N53" si="0">IF(M51&lt;=0,"VƯỢT DỰ TOÁN","ĐẢM BẢO")</f>
        <v>VƯỢT DỰ TOÁN</v>
      </c>
      <c r="O51" s="86" t="s">
        <v>107</v>
      </c>
    </row>
    <row r="52" spans="1:15" s="81" customFormat="1" ht="30" customHeight="1">
      <c r="A52" s="82">
        <v>1.2</v>
      </c>
      <c r="B52" s="82" t="s">
        <v>45</v>
      </c>
      <c r="C52" s="83">
        <v>167233.81346800004</v>
      </c>
      <c r="D52" s="83">
        <v>180990.102724</v>
      </c>
      <c r="E52" s="83"/>
      <c r="F52" s="83">
        <v>174616.49999999994</v>
      </c>
      <c r="G52" s="83">
        <v>169496.55</v>
      </c>
      <c r="H52" s="84">
        <v>6861.4896000000008</v>
      </c>
      <c r="I52" s="83">
        <v>14559.671200000001</v>
      </c>
      <c r="J52" s="83">
        <v>4949333931.8798904</v>
      </c>
      <c r="K52" s="87">
        <v>1703348999.9999998</v>
      </c>
      <c r="L52" s="87"/>
      <c r="M52" s="87">
        <v>-3245984931.8798904</v>
      </c>
      <c r="N52" s="95" t="str">
        <f t="shared" si="0"/>
        <v>VƯỢT DỰ TOÁN</v>
      </c>
      <c r="O52" s="88"/>
    </row>
    <row r="53" spans="1:15" s="81" customFormat="1" ht="30" customHeight="1">
      <c r="A53" s="89">
        <v>1.3</v>
      </c>
      <c r="B53" s="89" t="s">
        <v>46</v>
      </c>
      <c r="C53" s="83">
        <v>167233.81346800004</v>
      </c>
      <c r="D53" s="83">
        <v>53806.102723999997</v>
      </c>
      <c r="E53" s="83"/>
      <c r="F53" s="83">
        <v>174616.49999999994</v>
      </c>
      <c r="G53" s="83">
        <v>48456.55</v>
      </c>
      <c r="H53" s="84">
        <v>6861.4896000000008</v>
      </c>
      <c r="I53" s="83">
        <v>14559.671200000001</v>
      </c>
      <c r="J53" s="83">
        <v>4227979301.8798904</v>
      </c>
      <c r="K53" s="90">
        <v>2538751590</v>
      </c>
      <c r="L53" s="90"/>
      <c r="M53" s="90">
        <v>-1689227711.8798904</v>
      </c>
      <c r="N53" s="95" t="str">
        <f t="shared" si="0"/>
        <v>VƯỢT DỰ TOÁN</v>
      </c>
      <c r="O53" s="91"/>
    </row>
    <row r="54" spans="1:15" s="81" customFormat="1" ht="30" customHeight="1">
      <c r="A54" s="77">
        <v>1</v>
      </c>
      <c r="B54" s="78" t="s">
        <v>68</v>
      </c>
      <c r="C54" s="78"/>
      <c r="D54" s="78"/>
      <c r="E54" s="78"/>
      <c r="F54" s="78"/>
      <c r="G54" s="78"/>
      <c r="H54" s="92"/>
      <c r="I54" s="78"/>
      <c r="J54" s="78"/>
      <c r="K54" s="93"/>
      <c r="L54" s="93"/>
      <c r="M54" s="93"/>
      <c r="N54" s="93"/>
      <c r="O54" s="78"/>
    </row>
    <row r="55" spans="1:15" s="81" customFormat="1" ht="30" customHeight="1">
      <c r="A55" s="82">
        <v>1.1000000000000001</v>
      </c>
      <c r="B55" s="82" t="s">
        <v>44</v>
      </c>
      <c r="C55" s="83">
        <v>11680.948540000001</v>
      </c>
      <c r="D55" s="83">
        <v>476.87219999999996</v>
      </c>
      <c r="E55" s="83"/>
      <c r="F55" s="83">
        <v>6043.66</v>
      </c>
      <c r="G55" s="83">
        <v>384.21000000000004</v>
      </c>
      <c r="H55" s="84">
        <v>6842.9365399999988</v>
      </c>
      <c r="I55" s="83">
        <v>117.6097</v>
      </c>
      <c r="J55" s="83">
        <v>102138625.64872</v>
      </c>
      <c r="K55" s="85"/>
      <c r="L55" s="85"/>
      <c r="M55" s="85"/>
      <c r="N55" s="85"/>
      <c r="O55" s="86" t="s">
        <v>73</v>
      </c>
    </row>
    <row r="56" spans="1:15" s="81" customFormat="1" ht="30" customHeight="1">
      <c r="A56" s="82">
        <v>1.2</v>
      </c>
      <c r="B56" s="82" t="s">
        <v>45</v>
      </c>
      <c r="C56" s="83">
        <v>0</v>
      </c>
      <c r="D56" s="83">
        <v>540</v>
      </c>
      <c r="E56" s="83"/>
      <c r="F56" s="83">
        <v>0</v>
      </c>
      <c r="G56" s="83">
        <v>524</v>
      </c>
      <c r="H56" s="84">
        <v>0</v>
      </c>
      <c r="I56" s="83">
        <v>0</v>
      </c>
      <c r="J56" s="83">
        <v>13900436</v>
      </c>
      <c r="K56" s="87"/>
      <c r="L56" s="87"/>
      <c r="M56" s="87"/>
      <c r="N56" s="87"/>
      <c r="O56" s="88"/>
    </row>
    <row r="57" spans="1:15" s="81" customFormat="1" ht="30" customHeight="1">
      <c r="A57" s="89">
        <v>1.3</v>
      </c>
      <c r="B57" s="89" t="s">
        <v>46</v>
      </c>
      <c r="C57" s="83">
        <v>51.809999999999995</v>
      </c>
      <c r="D57" s="83">
        <v>549.82500000000005</v>
      </c>
      <c r="E57" s="83"/>
      <c r="F57" s="83">
        <v>10</v>
      </c>
      <c r="G57" s="83">
        <v>547</v>
      </c>
      <c r="H57" s="84">
        <v>51.809999999999995</v>
      </c>
      <c r="I57" s="83">
        <v>64.825000000000003</v>
      </c>
      <c r="J57" s="83">
        <v>7514960</v>
      </c>
      <c r="K57" s="90"/>
      <c r="L57" s="90"/>
      <c r="M57" s="90"/>
      <c r="N57" s="90"/>
      <c r="O57" s="91"/>
    </row>
    <row r="58" spans="1:15" s="81" customFormat="1" ht="30" customHeight="1">
      <c r="A58" s="77">
        <v>1</v>
      </c>
      <c r="B58" s="78" t="s">
        <v>69</v>
      </c>
      <c r="C58" s="78"/>
      <c r="D58" s="78"/>
      <c r="E58" s="78"/>
      <c r="F58" s="78"/>
      <c r="G58" s="78"/>
      <c r="H58" s="92"/>
      <c r="I58" s="78"/>
      <c r="J58" s="78"/>
      <c r="K58" s="93"/>
      <c r="L58" s="93"/>
      <c r="M58" s="93"/>
      <c r="N58" s="93"/>
      <c r="O58" s="78"/>
    </row>
    <row r="59" spans="1:15" s="81" customFormat="1" ht="30" customHeight="1">
      <c r="A59" s="82">
        <v>1.1000000000000001</v>
      </c>
      <c r="B59" s="82" t="s">
        <v>44</v>
      </c>
      <c r="C59" s="83">
        <v>50495.820822652706</v>
      </c>
      <c r="D59" s="83">
        <v>1118.4900000000002</v>
      </c>
      <c r="E59" s="83"/>
      <c r="F59" s="83">
        <v>53794.909999999996</v>
      </c>
      <c r="G59" s="83">
        <v>1210.1999999999998</v>
      </c>
      <c r="H59" s="84">
        <v>106.36484615384616</v>
      </c>
      <c r="I59" s="83">
        <v>5.24</v>
      </c>
      <c r="J59" s="83">
        <v>784990151.13508022</v>
      </c>
      <c r="K59" s="85"/>
      <c r="L59" s="85"/>
      <c r="M59" s="85"/>
      <c r="N59" s="85"/>
      <c r="O59" s="86" t="s">
        <v>73</v>
      </c>
    </row>
    <row r="60" spans="1:15" s="81" customFormat="1" ht="30" customHeight="1">
      <c r="A60" s="82">
        <v>1.2</v>
      </c>
      <c r="B60" s="82" t="s">
        <v>45</v>
      </c>
      <c r="C60" s="83">
        <v>944.64950121517199</v>
      </c>
      <c r="D60" s="83">
        <v>12551</v>
      </c>
      <c r="E60" s="83"/>
      <c r="F60" s="83">
        <v>0</v>
      </c>
      <c r="G60" s="83">
        <v>12551</v>
      </c>
      <c r="H60" s="84">
        <v>0</v>
      </c>
      <c r="I60" s="83">
        <v>0</v>
      </c>
      <c r="J60" s="83">
        <v>77099902</v>
      </c>
      <c r="K60" s="87"/>
      <c r="L60" s="87"/>
      <c r="M60" s="87"/>
      <c r="N60" s="87"/>
      <c r="O60" s="88"/>
    </row>
    <row r="61" spans="1:15" s="81" customFormat="1" ht="30" customHeight="1">
      <c r="A61" s="89">
        <v>1.3</v>
      </c>
      <c r="B61" s="89" t="s">
        <v>46</v>
      </c>
      <c r="C61" s="83">
        <v>12065.629455331587</v>
      </c>
      <c r="D61" s="83">
        <v>6955.6004000000003</v>
      </c>
      <c r="E61" s="83"/>
      <c r="F61" s="83">
        <v>10490.66</v>
      </c>
      <c r="G61" s="83">
        <v>5436.24</v>
      </c>
      <c r="H61" s="84">
        <v>1841.61</v>
      </c>
      <c r="I61" s="83">
        <v>160.30000000000001</v>
      </c>
      <c r="J61" s="83">
        <v>220385931.77861002</v>
      </c>
      <c r="K61" s="90"/>
      <c r="L61" s="90"/>
      <c r="M61" s="90"/>
      <c r="N61" s="90"/>
      <c r="O61" s="91"/>
    </row>
    <row r="62" spans="1:15" s="81" customFormat="1" ht="30" customHeight="1">
      <c r="A62" s="77">
        <v>1</v>
      </c>
      <c r="B62" s="78" t="s">
        <v>70</v>
      </c>
      <c r="C62" s="78"/>
      <c r="D62" s="78"/>
      <c r="E62" s="78"/>
      <c r="F62" s="78"/>
      <c r="G62" s="78"/>
      <c r="H62" s="92"/>
      <c r="I62" s="78"/>
      <c r="J62" s="78"/>
      <c r="K62" s="93"/>
      <c r="L62" s="93"/>
      <c r="M62" s="93"/>
      <c r="N62" s="93"/>
      <c r="O62" s="78"/>
    </row>
    <row r="63" spans="1:15" s="81" customFormat="1" ht="30" customHeight="1">
      <c r="A63" s="82">
        <v>1.1000000000000001</v>
      </c>
      <c r="B63" s="82" t="s">
        <v>44</v>
      </c>
      <c r="C63" s="83">
        <v>98851.378341390315</v>
      </c>
      <c r="D63" s="83">
        <v>80593.73960492661</v>
      </c>
      <c r="E63" s="83"/>
      <c r="F63" s="83">
        <v>54764.371999999996</v>
      </c>
      <c r="G63" s="83">
        <v>137735.96041499998</v>
      </c>
      <c r="H63" s="84">
        <v>0</v>
      </c>
      <c r="I63" s="83">
        <v>0</v>
      </c>
      <c r="J63" s="83">
        <v>9961060438.5200996</v>
      </c>
      <c r="K63" s="85"/>
      <c r="L63" s="85"/>
      <c r="M63" s="85"/>
      <c r="N63" s="85"/>
      <c r="O63" s="86" t="s">
        <v>73</v>
      </c>
    </row>
    <row r="64" spans="1:15" s="81" customFormat="1" ht="30" customHeight="1">
      <c r="A64" s="82">
        <v>1.2</v>
      </c>
      <c r="B64" s="82" t="s">
        <v>45</v>
      </c>
      <c r="C64" s="83">
        <v>0</v>
      </c>
      <c r="D64" s="83">
        <v>2097</v>
      </c>
      <c r="E64" s="83"/>
      <c r="F64" s="83">
        <v>0</v>
      </c>
      <c r="G64" s="83">
        <v>1191</v>
      </c>
      <c r="H64" s="84">
        <v>0</v>
      </c>
      <c r="I64" s="83">
        <v>775</v>
      </c>
      <c r="J64" s="83">
        <v>68746700</v>
      </c>
      <c r="K64" s="87"/>
      <c r="L64" s="87"/>
      <c r="M64" s="87"/>
      <c r="N64" s="87"/>
      <c r="O64" s="88"/>
    </row>
    <row r="65" spans="1:15" s="81" customFormat="1" ht="30" customHeight="1">
      <c r="A65" s="89">
        <v>1.3</v>
      </c>
      <c r="B65" s="89" t="s">
        <v>46</v>
      </c>
      <c r="C65" s="83">
        <v>0</v>
      </c>
      <c r="D65" s="83">
        <v>0</v>
      </c>
      <c r="E65" s="83"/>
      <c r="F65" s="83">
        <v>0</v>
      </c>
      <c r="G65" s="83">
        <v>0</v>
      </c>
      <c r="H65" s="84">
        <v>0</v>
      </c>
      <c r="I65" s="83">
        <v>0</v>
      </c>
      <c r="J65" s="83">
        <v>0</v>
      </c>
      <c r="K65" s="90"/>
      <c r="L65" s="90"/>
      <c r="M65" s="90"/>
      <c r="N65" s="90"/>
      <c r="O65" s="91"/>
    </row>
    <row r="66" spans="1:15" s="81" customFormat="1" ht="30" customHeight="1">
      <c r="A66" s="77">
        <v>1</v>
      </c>
      <c r="B66" s="78" t="s">
        <v>77</v>
      </c>
      <c r="C66" s="78"/>
      <c r="D66" s="78"/>
      <c r="E66" s="78"/>
      <c r="F66" s="78"/>
      <c r="G66" s="78"/>
      <c r="H66" s="92"/>
      <c r="I66" s="78"/>
      <c r="J66" s="78"/>
      <c r="K66" s="93"/>
      <c r="L66" s="93"/>
      <c r="M66" s="93"/>
      <c r="N66" s="93"/>
      <c r="O66" s="78"/>
    </row>
    <row r="67" spans="1:15" s="81" customFormat="1" ht="30" customHeight="1">
      <c r="A67" s="96" t="s">
        <v>87</v>
      </c>
      <c r="B67" s="97" t="s">
        <v>79</v>
      </c>
      <c r="C67" s="98">
        <v>2925353.3922833451</v>
      </c>
      <c r="D67" s="98">
        <v>54855.44667693309</v>
      </c>
      <c r="E67" s="98"/>
      <c r="F67" s="98">
        <v>2122489.7039999994</v>
      </c>
      <c r="G67" s="98">
        <v>898864.24808000005</v>
      </c>
      <c r="H67" s="98">
        <v>584.976</v>
      </c>
      <c r="I67" s="98">
        <v>146</v>
      </c>
      <c r="J67" s="98">
        <v>47616213135.280258</v>
      </c>
      <c r="K67" s="98">
        <v>57151444015.972847</v>
      </c>
      <c r="L67" s="98"/>
      <c r="M67" s="98">
        <v>9535230880.6925888</v>
      </c>
      <c r="N67" s="95" t="str">
        <f t="shared" ref="N67:N72" si="1">IF(M67&lt;=0,"VƯỢT DỰ TOÁN","ĐẢM BẢO")</f>
        <v>ĐẢM BẢO</v>
      </c>
      <c r="O67" s="99" t="s">
        <v>103</v>
      </c>
    </row>
    <row r="68" spans="1:15" s="81" customFormat="1" ht="30" customHeight="1">
      <c r="A68" s="96" t="s">
        <v>88</v>
      </c>
      <c r="B68" s="97" t="s">
        <v>80</v>
      </c>
      <c r="C68" s="98">
        <v>184790.46081177841</v>
      </c>
      <c r="D68" s="98">
        <v>14673.288383487625</v>
      </c>
      <c r="E68" s="98"/>
      <c r="F68" s="98">
        <v>87508.188399999999</v>
      </c>
      <c r="G68" s="98">
        <v>123566.54477359998</v>
      </c>
      <c r="H68" s="98">
        <v>633.2295001626884</v>
      </c>
      <c r="I68" s="98">
        <v>49.371600000000001</v>
      </c>
      <c r="J68" s="98">
        <v>11194757814.12985</v>
      </c>
      <c r="K68" s="98">
        <v>6449102231.8765059</v>
      </c>
      <c r="L68" s="98"/>
      <c r="M68" s="98">
        <v>-4745655582.2533445</v>
      </c>
      <c r="N68" s="95" t="str">
        <f t="shared" si="1"/>
        <v>VƯỢT DỰ TOÁN</v>
      </c>
      <c r="O68" s="99"/>
    </row>
    <row r="69" spans="1:15" s="81" customFormat="1" ht="30" customHeight="1">
      <c r="A69" s="96" t="s">
        <v>89</v>
      </c>
      <c r="B69" s="97" t="s">
        <v>81</v>
      </c>
      <c r="C69" s="98">
        <v>92569.219999999856</v>
      </c>
      <c r="D69" s="98">
        <v>92569.219999999856</v>
      </c>
      <c r="E69" s="98"/>
      <c r="F69" s="98">
        <v>0</v>
      </c>
      <c r="G69" s="98">
        <v>4532</v>
      </c>
      <c r="H69" s="98">
        <v>0</v>
      </c>
      <c r="I69" s="98">
        <v>0</v>
      </c>
      <c r="J69" s="98">
        <v>104236000</v>
      </c>
      <c r="K69" s="98">
        <v>6732529802.3436422</v>
      </c>
      <c r="L69" s="98"/>
      <c r="M69" s="98">
        <v>6628293802.3436422</v>
      </c>
      <c r="N69" s="95" t="str">
        <f t="shared" si="1"/>
        <v>ĐẢM BẢO</v>
      </c>
      <c r="O69" s="99"/>
    </row>
    <row r="70" spans="1:15" s="81" customFormat="1" ht="30" customHeight="1">
      <c r="A70" s="96" t="s">
        <v>90</v>
      </c>
      <c r="B70" s="97" t="s">
        <v>82</v>
      </c>
      <c r="C70" s="98">
        <v>222094.69781659389</v>
      </c>
      <c r="D70" s="98">
        <v>328575.04062500002</v>
      </c>
      <c r="E70" s="98"/>
      <c r="F70" s="98">
        <v>0</v>
      </c>
      <c r="G70" s="98">
        <v>328574.43829880003</v>
      </c>
      <c r="H70" s="98">
        <v>0</v>
      </c>
      <c r="I70" s="98">
        <v>0</v>
      </c>
      <c r="J70" s="98">
        <v>19975269608</v>
      </c>
      <c r="K70" s="98">
        <v>11497242493.471827</v>
      </c>
      <c r="L70" s="98">
        <v>12832636812</v>
      </c>
      <c r="M70" s="98">
        <v>-21310663926.528175</v>
      </c>
      <c r="N70" s="95" t="str">
        <f t="shared" si="1"/>
        <v>VƯỢT DỰ TOÁN</v>
      </c>
      <c r="O70" s="99"/>
    </row>
    <row r="71" spans="1:15" s="81" customFormat="1" ht="30" customHeight="1">
      <c r="A71" s="96" t="s">
        <v>91</v>
      </c>
      <c r="B71" s="97" t="s">
        <v>83</v>
      </c>
      <c r="C71" s="98">
        <v>10</v>
      </c>
      <c r="D71" s="98">
        <v>55580</v>
      </c>
      <c r="E71" s="98"/>
      <c r="F71" s="98">
        <v>760</v>
      </c>
      <c r="G71" s="98">
        <v>52405.4</v>
      </c>
      <c r="H71" s="98">
        <v>0</v>
      </c>
      <c r="I71" s="98">
        <v>0</v>
      </c>
      <c r="J71" s="98">
        <v>2348973040</v>
      </c>
      <c r="K71" s="98">
        <v>9374355044.3446331</v>
      </c>
      <c r="L71" s="98"/>
      <c r="M71" s="98">
        <v>7025382004.3446331</v>
      </c>
      <c r="N71" s="95" t="str">
        <f t="shared" si="1"/>
        <v>ĐẢM BẢO</v>
      </c>
      <c r="O71" s="99"/>
    </row>
    <row r="72" spans="1:15" s="81" customFormat="1" ht="30" customHeight="1">
      <c r="A72" s="96" t="s">
        <v>91</v>
      </c>
      <c r="B72" s="97" t="s">
        <v>83</v>
      </c>
      <c r="C72" s="98">
        <v>187310.42379112003</v>
      </c>
      <c r="D72" s="98">
        <v>55114.08996496816</v>
      </c>
      <c r="E72" s="98"/>
      <c r="F72" s="98">
        <v>169189.1946188341</v>
      </c>
      <c r="G72" s="98">
        <v>43852.360000000044</v>
      </c>
      <c r="H72" s="98">
        <v>5356.379961475759</v>
      </c>
      <c r="I72" s="98">
        <v>7637.5675200000005</v>
      </c>
      <c r="J72" s="98">
        <v>3237309540.6525865</v>
      </c>
      <c r="K72" s="98">
        <v>0</v>
      </c>
      <c r="L72" s="98"/>
      <c r="M72" s="98">
        <v>-3237309540.6525865</v>
      </c>
      <c r="N72" s="95" t="str">
        <f t="shared" si="1"/>
        <v>VƯỢT DỰ TOÁN</v>
      </c>
      <c r="O72" s="99"/>
    </row>
    <row r="73" spans="1:15" s="81" customFormat="1" ht="30" customHeight="1">
      <c r="A73" s="77">
        <v>1</v>
      </c>
      <c r="B73" s="78" t="s">
        <v>78</v>
      </c>
      <c r="C73" s="78"/>
      <c r="D73" s="78"/>
      <c r="E73" s="78"/>
      <c r="F73" s="78"/>
      <c r="G73" s="78"/>
      <c r="H73" s="92"/>
      <c r="I73" s="78"/>
      <c r="J73" s="78"/>
      <c r="K73" s="93"/>
      <c r="L73" s="93"/>
      <c r="M73" s="93"/>
      <c r="N73" s="93"/>
      <c r="O73" s="78"/>
    </row>
    <row r="74" spans="1:15" s="81" customFormat="1" ht="30" customHeight="1">
      <c r="A74" s="82">
        <v>1.1000000000000001</v>
      </c>
      <c r="B74" s="89" t="s">
        <v>79</v>
      </c>
      <c r="C74" s="100">
        <v>178328.59499739858</v>
      </c>
      <c r="D74" s="100">
        <v>7442.1193191082793</v>
      </c>
      <c r="E74" s="100"/>
      <c r="F74" s="100">
        <v>186779.3351194589</v>
      </c>
      <c r="G74" s="100">
        <v>8152.1214499999996</v>
      </c>
      <c r="H74" s="100">
        <v>3634.4785868989939</v>
      </c>
      <c r="I74" s="100">
        <v>304.2928</v>
      </c>
      <c r="J74" s="100">
        <v>3085247420.3378415</v>
      </c>
      <c r="K74" s="100">
        <v>3001944110</v>
      </c>
      <c r="L74" s="101"/>
      <c r="M74" s="102">
        <v>-83303310.337841511</v>
      </c>
      <c r="N74" s="95" t="str">
        <f t="shared" ref="N74:N79" si="2">IF(M74&lt;0,"VƯỢT DỰ TOÁN","ĐẢM BẢO")</f>
        <v>VƯỢT DỰ TOÁN</v>
      </c>
      <c r="O74" s="86" t="s">
        <v>106</v>
      </c>
    </row>
    <row r="75" spans="1:15" s="81" customFormat="1" ht="30" customHeight="1">
      <c r="A75" s="82">
        <v>1.2</v>
      </c>
      <c r="B75" s="89" t="s">
        <v>80</v>
      </c>
      <c r="C75" s="100">
        <v>0</v>
      </c>
      <c r="D75" s="100">
        <v>0</v>
      </c>
      <c r="E75" s="100"/>
      <c r="F75" s="100">
        <v>0</v>
      </c>
      <c r="G75" s="100">
        <v>0</v>
      </c>
      <c r="H75" s="100">
        <v>0</v>
      </c>
      <c r="I75" s="100">
        <v>0</v>
      </c>
      <c r="J75" s="100">
        <v>0</v>
      </c>
      <c r="K75" s="100"/>
      <c r="L75" s="101"/>
      <c r="M75" s="102">
        <v>0</v>
      </c>
      <c r="N75" s="95" t="str">
        <f t="shared" si="2"/>
        <v>ĐẢM BẢO</v>
      </c>
      <c r="O75" s="88"/>
    </row>
    <row r="76" spans="1:15" s="81" customFormat="1" ht="30" customHeight="1">
      <c r="A76" s="82">
        <v>1.3</v>
      </c>
      <c r="B76" s="89" t="s">
        <v>81</v>
      </c>
      <c r="C76" s="100">
        <v>2990.0076000000004</v>
      </c>
      <c r="D76" s="100">
        <v>823.04681185628749</v>
      </c>
      <c r="E76" s="100"/>
      <c r="F76" s="100">
        <v>3622</v>
      </c>
      <c r="G76" s="100">
        <v>470</v>
      </c>
      <c r="H76" s="100">
        <v>0</v>
      </c>
      <c r="I76" s="100">
        <v>0</v>
      </c>
      <c r="J76" s="100">
        <v>165851000</v>
      </c>
      <c r="K76" s="100">
        <v>195865000</v>
      </c>
      <c r="L76" s="103"/>
      <c r="M76" s="102">
        <v>30014000</v>
      </c>
      <c r="N76" s="95" t="str">
        <f t="shared" si="2"/>
        <v>ĐẢM BẢO</v>
      </c>
      <c r="O76" s="88"/>
    </row>
    <row r="77" spans="1:15" s="81" customFormat="1" ht="30" customHeight="1">
      <c r="A77" s="82">
        <v>1.4</v>
      </c>
      <c r="B77" s="89" t="s">
        <v>82</v>
      </c>
      <c r="C77" s="100">
        <v>9050</v>
      </c>
      <c r="D77" s="100">
        <v>90.5</v>
      </c>
      <c r="E77" s="100"/>
      <c r="F77" s="100">
        <v>0</v>
      </c>
      <c r="G77" s="100">
        <v>90.892799999999994</v>
      </c>
      <c r="H77" s="100">
        <v>0</v>
      </c>
      <c r="I77" s="100">
        <v>0</v>
      </c>
      <c r="J77" s="100">
        <v>205859726.912</v>
      </c>
      <c r="K77" s="100">
        <v>190695587.49999997</v>
      </c>
      <c r="L77" s="101"/>
      <c r="M77" s="102">
        <v>-15164139.41200003</v>
      </c>
      <c r="N77" s="95" t="str">
        <f t="shared" si="2"/>
        <v>VƯỢT DỰ TOÁN</v>
      </c>
      <c r="O77" s="88"/>
    </row>
    <row r="78" spans="1:15" s="81" customFormat="1" ht="30" customHeight="1">
      <c r="A78" s="82">
        <v>1.5</v>
      </c>
      <c r="B78" s="89" t="s">
        <v>83</v>
      </c>
      <c r="C78" s="100">
        <v>0</v>
      </c>
      <c r="D78" s="100">
        <v>48970</v>
      </c>
      <c r="E78" s="100"/>
      <c r="F78" s="100">
        <v>0</v>
      </c>
      <c r="G78" s="100">
        <v>49585</v>
      </c>
      <c r="H78" s="100">
        <v>0</v>
      </c>
      <c r="I78" s="100">
        <v>0</v>
      </c>
      <c r="J78" s="100">
        <v>202484525</v>
      </c>
      <c r="K78" s="100">
        <v>213600000</v>
      </c>
      <c r="L78" s="101"/>
      <c r="M78" s="102">
        <v>11115475</v>
      </c>
      <c r="N78" s="95" t="str">
        <f t="shared" si="2"/>
        <v>ĐẢM BẢO</v>
      </c>
      <c r="O78" s="88"/>
    </row>
    <row r="79" spans="1:15" s="81" customFormat="1" ht="30" customHeight="1">
      <c r="A79" s="82">
        <v>1.6</v>
      </c>
      <c r="B79" s="89" t="s">
        <v>84</v>
      </c>
      <c r="C79" s="100">
        <v>24635.757203999998</v>
      </c>
      <c r="D79" s="100">
        <v>12558.2744</v>
      </c>
      <c r="E79" s="100"/>
      <c r="F79" s="100">
        <v>23146.799999999999</v>
      </c>
      <c r="G79" s="100">
        <v>12576.901599999999</v>
      </c>
      <c r="H79" s="100">
        <v>939.96862399999998</v>
      </c>
      <c r="I79" s="100">
        <v>139.834</v>
      </c>
      <c r="J79" s="100">
        <v>795025135.82109094</v>
      </c>
      <c r="K79" s="100">
        <v>503250000</v>
      </c>
      <c r="L79" s="101"/>
      <c r="M79" s="102">
        <v>-291775135.82109094</v>
      </c>
      <c r="N79" s="95" t="str">
        <f t="shared" si="2"/>
        <v>VƯỢT DỰ TOÁN</v>
      </c>
      <c r="O79" s="91"/>
    </row>
    <row r="80" spans="1:15" s="81" customFormat="1" ht="30" customHeight="1">
      <c r="A80" s="77">
        <v>1</v>
      </c>
      <c r="B80" s="78" t="s">
        <v>71</v>
      </c>
      <c r="C80" s="78"/>
      <c r="D80" s="78"/>
      <c r="E80" s="78"/>
      <c r="F80" s="78"/>
      <c r="G80" s="78"/>
      <c r="H80" s="92"/>
      <c r="I80" s="78"/>
      <c r="J80" s="78"/>
      <c r="K80" s="93"/>
      <c r="L80" s="93"/>
      <c r="M80" s="93"/>
      <c r="N80" s="93"/>
      <c r="O80" s="78"/>
    </row>
    <row r="81" spans="1:15" s="81" customFormat="1" ht="30" customHeight="1">
      <c r="A81" s="82">
        <v>1.1000000000000001</v>
      </c>
      <c r="B81" s="82" t="s">
        <v>44</v>
      </c>
      <c r="C81" s="83">
        <v>10901.813749999998</v>
      </c>
      <c r="D81" s="83">
        <v>144.1</v>
      </c>
      <c r="E81" s="83"/>
      <c r="F81" s="83">
        <v>8095.9500000000007</v>
      </c>
      <c r="G81" s="83">
        <v>108.375</v>
      </c>
      <c r="H81" s="84">
        <v>5018.7199999999993</v>
      </c>
      <c r="I81" s="83">
        <v>59.575000000000003</v>
      </c>
      <c r="J81" s="83">
        <v>130929118.75670001</v>
      </c>
      <c r="K81" s="85"/>
      <c r="L81" s="85"/>
      <c r="M81" s="85"/>
      <c r="N81" s="85"/>
      <c r="O81" s="86" t="s">
        <v>73</v>
      </c>
    </row>
    <row r="82" spans="1:15" s="81" customFormat="1" ht="30" customHeight="1">
      <c r="A82" s="82">
        <v>1.2</v>
      </c>
      <c r="B82" s="82" t="s">
        <v>45</v>
      </c>
      <c r="C82" s="83">
        <v>0</v>
      </c>
      <c r="D82" s="83">
        <v>414</v>
      </c>
      <c r="E82" s="83"/>
      <c r="F82" s="83">
        <v>0</v>
      </c>
      <c r="G82" s="83">
        <v>414</v>
      </c>
      <c r="H82" s="84">
        <v>0</v>
      </c>
      <c r="I82" s="83">
        <v>0</v>
      </c>
      <c r="J82" s="83">
        <v>3710080</v>
      </c>
      <c r="K82" s="87"/>
      <c r="L82" s="87"/>
      <c r="M82" s="87"/>
      <c r="N82" s="87"/>
      <c r="O82" s="88"/>
    </row>
    <row r="83" spans="1:15" s="81" customFormat="1" ht="30" customHeight="1">
      <c r="A83" s="89">
        <v>1.3</v>
      </c>
      <c r="B83" s="89" t="s">
        <v>46</v>
      </c>
      <c r="C83" s="83">
        <v>326.40000000000003</v>
      </c>
      <c r="D83" s="83">
        <v>257</v>
      </c>
      <c r="E83" s="83"/>
      <c r="F83" s="83">
        <v>0</v>
      </c>
      <c r="G83" s="83">
        <v>628</v>
      </c>
      <c r="H83" s="84">
        <v>294.8</v>
      </c>
      <c r="I83" s="83">
        <v>39</v>
      </c>
      <c r="J83" s="83">
        <v>10698330</v>
      </c>
      <c r="K83" s="90"/>
      <c r="L83" s="90"/>
      <c r="M83" s="90"/>
      <c r="N83" s="90"/>
      <c r="O83" s="91"/>
    </row>
    <row r="84" spans="1:15" s="81" customFormat="1" ht="30" customHeight="1">
      <c r="A84" s="77">
        <v>1</v>
      </c>
      <c r="B84" s="78" t="s">
        <v>72</v>
      </c>
      <c r="C84" s="78"/>
      <c r="D84" s="78"/>
      <c r="E84" s="78"/>
      <c r="F84" s="78"/>
      <c r="G84" s="78"/>
      <c r="H84" s="92"/>
      <c r="I84" s="78"/>
      <c r="J84" s="78"/>
      <c r="K84" s="93"/>
      <c r="L84" s="93"/>
      <c r="M84" s="93"/>
      <c r="N84" s="93"/>
      <c r="O84" s="78"/>
    </row>
    <row r="85" spans="1:15" s="81" customFormat="1" ht="30" customHeight="1">
      <c r="A85" s="82">
        <v>1.1000000000000001</v>
      </c>
      <c r="B85" s="82" t="s">
        <v>44</v>
      </c>
      <c r="C85" s="83">
        <v>53552.29631210478</v>
      </c>
      <c r="D85" s="83">
        <v>2176.915</v>
      </c>
      <c r="E85" s="83"/>
      <c r="F85" s="83">
        <v>57928.58</v>
      </c>
      <c r="G85" s="83">
        <v>2270.63195</v>
      </c>
      <c r="H85" s="84">
        <v>398.19699999999995</v>
      </c>
      <c r="I85" s="83">
        <v>19.004999999999999</v>
      </c>
      <c r="J85" s="83">
        <v>806452586.38699996</v>
      </c>
      <c r="K85" s="85">
        <v>861300839.31508696</v>
      </c>
      <c r="L85" s="85"/>
      <c r="M85" s="85">
        <v>54848252.928086996</v>
      </c>
      <c r="N85" s="95" t="str">
        <f t="shared" ref="N85:N87" si="3">IF(M85&lt;0,"VƯỢT DỰ TOÁN","ĐẢM BẢO")</f>
        <v>ĐẢM BẢO</v>
      </c>
      <c r="O85" s="86" t="s">
        <v>73</v>
      </c>
    </row>
    <row r="86" spans="1:15" s="81" customFormat="1" ht="30" customHeight="1">
      <c r="A86" s="82">
        <v>1.2</v>
      </c>
      <c r="B86" s="82" t="s">
        <v>45</v>
      </c>
      <c r="C86" s="83">
        <v>814.1768624287829</v>
      </c>
      <c r="D86" s="83">
        <v>8458</v>
      </c>
      <c r="E86" s="83"/>
      <c r="F86" s="83">
        <v>0</v>
      </c>
      <c r="G86" s="83">
        <v>8458</v>
      </c>
      <c r="H86" s="84">
        <v>0</v>
      </c>
      <c r="I86" s="83">
        <v>0</v>
      </c>
      <c r="J86" s="83">
        <v>54123180</v>
      </c>
      <c r="K86" s="87">
        <v>38686160</v>
      </c>
      <c r="L86" s="87"/>
      <c r="M86" s="87">
        <v>-15437020</v>
      </c>
      <c r="N86" s="95" t="str">
        <f t="shared" si="3"/>
        <v>VƯỢT DỰ TOÁN</v>
      </c>
      <c r="O86" s="88"/>
    </row>
    <row r="87" spans="1:15" s="81" customFormat="1" ht="30" customHeight="1">
      <c r="A87" s="89">
        <v>1.3</v>
      </c>
      <c r="B87" s="89" t="s">
        <v>46</v>
      </c>
      <c r="C87" s="83">
        <v>8283.6402108100028</v>
      </c>
      <c r="D87" s="83">
        <v>6686.0095440000005</v>
      </c>
      <c r="E87" s="83"/>
      <c r="F87" s="83">
        <v>7509.1600000000008</v>
      </c>
      <c r="G87" s="83">
        <v>6518.0950000000012</v>
      </c>
      <c r="H87" s="84">
        <v>901.6690864000002</v>
      </c>
      <c r="I87" s="83">
        <v>567.810384</v>
      </c>
      <c r="J87" s="83">
        <v>273233363.62279999</v>
      </c>
      <c r="K87" s="90">
        <v>70050964.219999999</v>
      </c>
      <c r="L87" s="90"/>
      <c r="M87" s="90">
        <v>-203182399.40279999</v>
      </c>
      <c r="N87" s="95" t="str">
        <f t="shared" si="3"/>
        <v>VƯỢT DỰ TOÁN</v>
      </c>
      <c r="O87" s="91"/>
    </row>
    <row r="88" spans="1:15" s="81" customFormat="1" ht="30" customHeight="1">
      <c r="A88" s="77">
        <v>1</v>
      </c>
      <c r="B88" s="78" t="s">
        <v>75</v>
      </c>
      <c r="C88" s="78"/>
      <c r="D88" s="78"/>
      <c r="E88" s="78"/>
      <c r="F88" s="78"/>
      <c r="G88" s="78"/>
      <c r="H88" s="92"/>
      <c r="I88" s="78"/>
      <c r="J88" s="78"/>
      <c r="K88" s="93"/>
      <c r="L88" s="93"/>
      <c r="M88" s="93"/>
      <c r="N88" s="93"/>
      <c r="O88" s="78"/>
    </row>
    <row r="89" spans="1:15" s="81" customFormat="1" ht="30" customHeight="1">
      <c r="A89" s="82">
        <v>1.1000000000000001</v>
      </c>
      <c r="B89" s="82" t="s">
        <v>44</v>
      </c>
      <c r="C89" s="83">
        <v>64637.127817195789</v>
      </c>
      <c r="D89" s="83">
        <v>8862.9981008468985</v>
      </c>
      <c r="E89" s="83"/>
      <c r="F89" s="83">
        <v>64563.55000000001</v>
      </c>
      <c r="G89" s="83">
        <v>8901.2354999999989</v>
      </c>
      <c r="H89" s="84">
        <v>4330.2806167492845</v>
      </c>
      <c r="I89" s="83">
        <v>88.04408321407243</v>
      </c>
      <c r="J89" s="83">
        <v>1020720729.7589741</v>
      </c>
      <c r="K89" s="85">
        <v>1019078793</v>
      </c>
      <c r="L89" s="85"/>
      <c r="M89" s="85">
        <v>-1641936.7589740753</v>
      </c>
      <c r="N89" s="95" t="str">
        <f t="shared" ref="N89:N90" si="4">IF(M89&lt;0,"VƯỢT DỰ TOÁN","ĐẢM BẢO")</f>
        <v>VƯỢT DỰ TOÁN</v>
      </c>
      <c r="O89" s="86" t="s">
        <v>73</v>
      </c>
    </row>
    <row r="90" spans="1:15" s="81" customFormat="1" ht="30" customHeight="1">
      <c r="A90" s="82">
        <v>1.2</v>
      </c>
      <c r="B90" s="82" t="s">
        <v>45</v>
      </c>
      <c r="C90" s="83">
        <v>0</v>
      </c>
      <c r="D90" s="83">
        <v>0</v>
      </c>
      <c r="E90" s="83"/>
      <c r="F90" s="83">
        <v>0</v>
      </c>
      <c r="G90" s="83">
        <v>0</v>
      </c>
      <c r="H90" s="84">
        <v>0</v>
      </c>
      <c r="I90" s="83">
        <v>0</v>
      </c>
      <c r="J90" s="83">
        <v>0</v>
      </c>
      <c r="K90" s="87">
        <v>57535570</v>
      </c>
      <c r="L90" s="87"/>
      <c r="M90" s="87">
        <v>57535570</v>
      </c>
      <c r="N90" s="95" t="str">
        <f t="shared" si="4"/>
        <v>ĐẢM BẢO</v>
      </c>
      <c r="O90" s="88"/>
    </row>
    <row r="91" spans="1:15" s="81" customFormat="1" ht="30" customHeight="1">
      <c r="A91" s="89">
        <v>1.3</v>
      </c>
      <c r="B91" s="89" t="s">
        <v>46</v>
      </c>
      <c r="C91" s="83">
        <v>7583.7458530899994</v>
      </c>
      <c r="D91" s="83">
        <v>4104.9105830999997</v>
      </c>
      <c r="E91" s="83"/>
      <c r="F91" s="83">
        <v>3819</v>
      </c>
      <c r="G91" s="83">
        <v>3616</v>
      </c>
      <c r="H91" s="84">
        <v>421.0805130899999</v>
      </c>
      <c r="I91" s="83">
        <v>23.197333100000002</v>
      </c>
      <c r="J91" s="83">
        <v>94730864</v>
      </c>
      <c r="K91" s="90">
        <v>70632416</v>
      </c>
      <c r="L91" s="90"/>
      <c r="M91" s="90">
        <v>-24098448</v>
      </c>
      <c r="N91" s="95" t="str">
        <f t="shared" ref="N91:N95" si="5">IF(M91&lt;0,"VƯỢT DỰ TOÁN","ĐẢM BẢO")</f>
        <v>VƯỢT DỰ TOÁN</v>
      </c>
      <c r="O91" s="91"/>
    </row>
    <row r="92" spans="1:15" s="81" customFormat="1" ht="30" customHeight="1">
      <c r="A92" s="77">
        <v>1</v>
      </c>
      <c r="B92" s="78" t="s">
        <v>74</v>
      </c>
      <c r="C92" s="78"/>
      <c r="D92" s="78"/>
      <c r="E92" s="78"/>
      <c r="F92" s="78"/>
      <c r="G92" s="78"/>
      <c r="H92" s="92"/>
      <c r="I92" s="78"/>
      <c r="J92" s="78"/>
      <c r="K92" s="93"/>
      <c r="L92" s="93"/>
      <c r="M92" s="93"/>
      <c r="N92" s="93"/>
      <c r="O92" s="78"/>
    </row>
    <row r="93" spans="1:15" s="81" customFormat="1" ht="30" customHeight="1">
      <c r="A93" s="82">
        <v>1.1000000000000001</v>
      </c>
      <c r="B93" s="82" t="s">
        <v>44</v>
      </c>
      <c r="C93" s="83">
        <v>9975.5890499999969</v>
      </c>
      <c r="D93" s="83">
        <v>405.67999999999995</v>
      </c>
      <c r="E93" s="83"/>
      <c r="F93" s="83">
        <v>6724.0599999999995</v>
      </c>
      <c r="G93" s="83">
        <v>298</v>
      </c>
      <c r="H93" s="84">
        <v>4413.6447500000004</v>
      </c>
      <c r="I93" s="83">
        <v>125.14999999999999</v>
      </c>
      <c r="J93" s="83">
        <v>114890608.69970001</v>
      </c>
      <c r="K93" s="85">
        <v>147851919.91781601</v>
      </c>
      <c r="L93" s="85"/>
      <c r="M93" s="85">
        <v>32961311.218116</v>
      </c>
      <c r="N93" s="95" t="str">
        <f t="shared" si="5"/>
        <v>ĐẢM BẢO</v>
      </c>
      <c r="O93" s="86" t="s">
        <v>73</v>
      </c>
    </row>
    <row r="94" spans="1:15" s="81" customFormat="1" ht="30" customHeight="1">
      <c r="A94" s="82">
        <v>1.2</v>
      </c>
      <c r="B94" s="82" t="s">
        <v>45</v>
      </c>
      <c r="C94" s="83">
        <v>36.864999999999995</v>
      </c>
      <c r="D94" s="83">
        <v>604</v>
      </c>
      <c r="E94" s="83"/>
      <c r="F94" s="83">
        <v>0</v>
      </c>
      <c r="G94" s="83">
        <v>604</v>
      </c>
      <c r="H94" s="84">
        <v>0</v>
      </c>
      <c r="I94" s="83">
        <v>0</v>
      </c>
      <c r="J94" s="83">
        <v>2112750</v>
      </c>
      <c r="K94" s="87">
        <v>6146720</v>
      </c>
      <c r="L94" s="87"/>
      <c r="M94" s="87">
        <v>4033970</v>
      </c>
      <c r="N94" s="95" t="str">
        <f t="shared" si="5"/>
        <v>ĐẢM BẢO</v>
      </c>
      <c r="O94" s="88"/>
    </row>
    <row r="95" spans="1:15" s="81" customFormat="1" ht="30" customHeight="1">
      <c r="A95" s="89">
        <v>1.3</v>
      </c>
      <c r="B95" s="89" t="s">
        <v>46</v>
      </c>
      <c r="C95" s="83">
        <v>36.864999999999995</v>
      </c>
      <c r="D95" s="83">
        <v>604</v>
      </c>
      <c r="E95" s="83"/>
      <c r="F95" s="83">
        <v>0</v>
      </c>
      <c r="G95" s="83">
        <v>604</v>
      </c>
      <c r="H95" s="84">
        <v>0</v>
      </c>
      <c r="I95" s="83">
        <v>0</v>
      </c>
      <c r="J95" s="83">
        <v>32242674.291000001</v>
      </c>
      <c r="K95" s="90">
        <v>11130173.24</v>
      </c>
      <c r="L95" s="90"/>
      <c r="M95" s="90">
        <v>-21112501.050999999</v>
      </c>
      <c r="N95" s="95" t="str">
        <f t="shared" si="5"/>
        <v>VƯỢT DỰ TOÁN</v>
      </c>
      <c r="O95" s="91"/>
    </row>
    <row r="96" spans="1:15" s="81" customFormat="1" ht="30" customHeight="1">
      <c r="A96" s="77">
        <v>1</v>
      </c>
      <c r="B96" s="78" t="s">
        <v>76</v>
      </c>
      <c r="C96" s="78"/>
      <c r="D96" s="78"/>
      <c r="E96" s="78"/>
      <c r="F96" s="78"/>
      <c r="G96" s="78"/>
      <c r="H96" s="92"/>
      <c r="I96" s="78"/>
      <c r="J96" s="78"/>
      <c r="K96" s="93"/>
      <c r="L96" s="93"/>
      <c r="M96" s="93"/>
      <c r="N96" s="93"/>
      <c r="O96" s="78"/>
    </row>
    <row r="97" spans="1:15" s="81" customFormat="1" ht="30" customHeight="1">
      <c r="A97" s="82">
        <v>1.1000000000000001</v>
      </c>
      <c r="B97" s="82" t="s">
        <v>44</v>
      </c>
      <c r="C97" s="83">
        <v>39276.326769768872</v>
      </c>
      <c r="D97" s="83">
        <v>7076.7950499999997</v>
      </c>
      <c r="E97" s="83"/>
      <c r="F97" s="83">
        <v>26293.920000000002</v>
      </c>
      <c r="G97" s="83">
        <v>6606.8820000000005</v>
      </c>
      <c r="H97" s="84">
        <v>7658.3747769930706</v>
      </c>
      <c r="I97" s="83">
        <v>438.83725000000004</v>
      </c>
      <c r="J97" s="83">
        <v>659790220.18867004</v>
      </c>
      <c r="K97" s="85"/>
      <c r="L97" s="85"/>
      <c r="M97" s="85"/>
      <c r="N97" s="85"/>
      <c r="O97" s="86" t="s">
        <v>73</v>
      </c>
    </row>
    <row r="98" spans="1:15" s="81" customFormat="1" ht="30" customHeight="1">
      <c r="A98" s="82">
        <v>1.2</v>
      </c>
      <c r="B98" s="82" t="s">
        <v>45</v>
      </c>
      <c r="C98" s="83">
        <v>0</v>
      </c>
      <c r="D98" s="83">
        <v>29160</v>
      </c>
      <c r="E98" s="83"/>
      <c r="F98" s="83">
        <v>0</v>
      </c>
      <c r="G98" s="83">
        <v>9139</v>
      </c>
      <c r="H98" s="84">
        <v>0</v>
      </c>
      <c r="I98" s="83">
        <v>13938</v>
      </c>
      <c r="J98" s="83">
        <v>120704040</v>
      </c>
      <c r="K98" s="87"/>
      <c r="L98" s="87"/>
      <c r="M98" s="87"/>
      <c r="N98" s="87"/>
      <c r="O98" s="88"/>
    </row>
    <row r="99" spans="1:15" s="81" customFormat="1" ht="30" customHeight="1">
      <c r="A99" s="89">
        <v>1.3</v>
      </c>
      <c r="B99" s="89" t="s">
        <v>46</v>
      </c>
      <c r="C99" s="83">
        <v>0</v>
      </c>
      <c r="D99" s="83">
        <v>0</v>
      </c>
      <c r="E99" s="83"/>
      <c r="F99" s="83">
        <v>0</v>
      </c>
      <c r="G99" s="83">
        <v>0</v>
      </c>
      <c r="H99" s="84">
        <v>0</v>
      </c>
      <c r="I99" s="83">
        <v>0</v>
      </c>
      <c r="J99" s="83">
        <v>0</v>
      </c>
      <c r="K99" s="90"/>
      <c r="L99" s="90"/>
      <c r="M99" s="90"/>
      <c r="N99" s="90"/>
      <c r="O99" s="91"/>
    </row>
    <row r="100" spans="1:15">
      <c r="A100" s="77">
        <v>1</v>
      </c>
      <c r="B100" s="78" t="s">
        <v>85</v>
      </c>
      <c r="C100" s="78"/>
      <c r="D100" s="78"/>
      <c r="E100" s="78"/>
      <c r="F100" s="78"/>
      <c r="G100" s="78"/>
      <c r="H100" s="92"/>
      <c r="I100" s="78"/>
      <c r="J100" s="78"/>
      <c r="K100" s="93"/>
      <c r="L100" s="93"/>
      <c r="M100" s="93"/>
      <c r="N100" s="93"/>
      <c r="O100" s="78"/>
    </row>
    <row r="101" spans="1:15">
      <c r="A101" s="82">
        <v>1.1000000000000001</v>
      </c>
      <c r="B101" s="89" t="s">
        <v>79</v>
      </c>
      <c r="C101" s="83">
        <v>1469.52</v>
      </c>
      <c r="D101" s="83">
        <v>46.800000000000004</v>
      </c>
      <c r="E101" s="83"/>
      <c r="F101" s="83">
        <v>1142.96</v>
      </c>
      <c r="G101" s="83">
        <v>36.4</v>
      </c>
      <c r="H101" s="84">
        <v>456.86999999999995</v>
      </c>
      <c r="I101" s="83">
        <v>14.55</v>
      </c>
      <c r="J101" s="83">
        <v>16458625.142960001</v>
      </c>
      <c r="K101" s="85"/>
      <c r="L101" s="85"/>
      <c r="M101" s="85"/>
      <c r="N101" s="85"/>
      <c r="O101" s="86" t="s">
        <v>73</v>
      </c>
    </row>
    <row r="102" spans="1:15" ht="31">
      <c r="A102" s="82">
        <v>1.2</v>
      </c>
      <c r="B102" s="89" t="s">
        <v>80</v>
      </c>
      <c r="C102" s="83">
        <v>0</v>
      </c>
      <c r="D102" s="83">
        <v>0</v>
      </c>
      <c r="E102" s="83"/>
      <c r="F102" s="83">
        <v>0</v>
      </c>
      <c r="G102" s="83">
        <v>0</v>
      </c>
      <c r="H102" s="84">
        <v>0</v>
      </c>
      <c r="I102" s="83">
        <v>0</v>
      </c>
      <c r="J102" s="83">
        <v>0</v>
      </c>
      <c r="K102" s="87"/>
      <c r="L102" s="87"/>
      <c r="M102" s="87"/>
      <c r="N102" s="87"/>
      <c r="O102" s="88"/>
    </row>
    <row r="103" spans="1:15">
      <c r="A103" s="82">
        <v>1.3</v>
      </c>
      <c r="B103" s="89" t="s">
        <v>81</v>
      </c>
      <c r="C103" s="83">
        <v>0</v>
      </c>
      <c r="D103" s="83">
        <v>0</v>
      </c>
      <c r="E103" s="83"/>
      <c r="F103" s="83">
        <v>0</v>
      </c>
      <c r="G103" s="83">
        <v>0</v>
      </c>
      <c r="H103" s="84">
        <v>0</v>
      </c>
      <c r="I103" s="83">
        <v>0</v>
      </c>
      <c r="J103" s="83">
        <v>0</v>
      </c>
      <c r="K103" s="87"/>
      <c r="L103" s="87"/>
      <c r="M103" s="87"/>
      <c r="N103" s="87"/>
      <c r="O103" s="88"/>
    </row>
    <row r="104" spans="1:15">
      <c r="A104" s="82">
        <v>1.4</v>
      </c>
      <c r="B104" s="89" t="s">
        <v>82</v>
      </c>
      <c r="C104" s="83">
        <v>0</v>
      </c>
      <c r="D104" s="83">
        <v>0</v>
      </c>
      <c r="E104" s="83"/>
      <c r="F104" s="83">
        <v>0</v>
      </c>
      <c r="G104" s="83">
        <v>0</v>
      </c>
      <c r="H104" s="84">
        <v>0</v>
      </c>
      <c r="I104" s="83">
        <v>0</v>
      </c>
      <c r="J104" s="83">
        <v>0</v>
      </c>
      <c r="K104" s="87"/>
      <c r="L104" s="87"/>
      <c r="M104" s="87"/>
      <c r="N104" s="87"/>
      <c r="O104" s="88"/>
    </row>
    <row r="105" spans="1:15">
      <c r="A105" s="82">
        <v>1.5</v>
      </c>
      <c r="B105" s="89" t="s">
        <v>83</v>
      </c>
      <c r="C105" s="83">
        <v>0</v>
      </c>
      <c r="D105" s="83">
        <v>0</v>
      </c>
      <c r="E105" s="83"/>
      <c r="F105" s="83">
        <v>0</v>
      </c>
      <c r="G105" s="83">
        <v>0</v>
      </c>
      <c r="H105" s="84">
        <v>0</v>
      </c>
      <c r="I105" s="83">
        <v>0</v>
      </c>
      <c r="J105" s="83">
        <v>0</v>
      </c>
      <c r="K105" s="87"/>
      <c r="L105" s="87"/>
      <c r="M105" s="87"/>
      <c r="N105" s="87"/>
      <c r="O105" s="88"/>
    </row>
    <row r="106" spans="1:15">
      <c r="A106" s="82">
        <v>1.6</v>
      </c>
      <c r="B106" s="89" t="s">
        <v>84</v>
      </c>
      <c r="C106" s="83">
        <v>0</v>
      </c>
      <c r="D106" s="83">
        <v>0</v>
      </c>
      <c r="E106" s="83"/>
      <c r="F106" s="83">
        <v>0</v>
      </c>
      <c r="G106" s="83">
        <v>0</v>
      </c>
      <c r="H106" s="84">
        <v>0</v>
      </c>
      <c r="I106" s="83">
        <v>0</v>
      </c>
      <c r="J106" s="83">
        <v>0</v>
      </c>
      <c r="K106" s="90"/>
      <c r="L106" s="90"/>
      <c r="M106" s="90"/>
      <c r="N106" s="90"/>
      <c r="O106" s="91"/>
    </row>
    <row r="107" spans="1:15">
      <c r="A107" s="77">
        <v>1</v>
      </c>
      <c r="B107" s="78" t="s">
        <v>86</v>
      </c>
      <c r="C107" s="78"/>
      <c r="D107" s="78"/>
      <c r="E107" s="78"/>
      <c r="F107" s="78"/>
      <c r="G107" s="78"/>
      <c r="H107" s="92"/>
      <c r="I107" s="78"/>
      <c r="J107" s="78"/>
      <c r="K107" s="93"/>
      <c r="L107" s="93"/>
      <c r="M107" s="93"/>
      <c r="N107" s="93"/>
      <c r="O107" s="78"/>
    </row>
    <row r="108" spans="1:15" ht="31" customHeight="1">
      <c r="A108" s="82">
        <v>1.1000000000000001</v>
      </c>
      <c r="B108" s="89" t="s">
        <v>79</v>
      </c>
      <c r="C108" s="83">
        <v>20364.469999999998</v>
      </c>
      <c r="D108" s="83">
        <v>306.05</v>
      </c>
      <c r="E108" s="83"/>
      <c r="F108" s="83">
        <v>12321.36</v>
      </c>
      <c r="G108" s="83">
        <v>196.2</v>
      </c>
      <c r="H108" s="84">
        <v>9054.5040000000008</v>
      </c>
      <c r="I108" s="83">
        <v>125.955</v>
      </c>
      <c r="J108" s="83">
        <v>177427596.32136002</v>
      </c>
      <c r="K108" s="85"/>
      <c r="L108" s="85"/>
      <c r="M108" s="85"/>
      <c r="N108" s="85"/>
      <c r="O108" s="86" t="s">
        <v>73</v>
      </c>
    </row>
    <row r="109" spans="1:15" ht="31">
      <c r="A109" s="82">
        <v>1.2</v>
      </c>
      <c r="B109" s="89" t="s">
        <v>80</v>
      </c>
      <c r="C109" s="83">
        <v>0</v>
      </c>
      <c r="D109" s="83">
        <v>0</v>
      </c>
      <c r="E109" s="83"/>
      <c r="F109" s="83">
        <v>0</v>
      </c>
      <c r="G109" s="83">
        <v>0</v>
      </c>
      <c r="H109" s="84">
        <v>0</v>
      </c>
      <c r="I109" s="83">
        <v>0</v>
      </c>
      <c r="J109" s="83">
        <v>0</v>
      </c>
      <c r="K109" s="87"/>
      <c r="L109" s="87"/>
      <c r="M109" s="87"/>
      <c r="N109" s="87"/>
      <c r="O109" s="88"/>
    </row>
    <row r="110" spans="1:15">
      <c r="A110" s="82">
        <v>1.3</v>
      </c>
      <c r="B110" s="89" t="s">
        <v>81</v>
      </c>
      <c r="C110" s="83">
        <v>0</v>
      </c>
      <c r="D110" s="83">
        <v>0</v>
      </c>
      <c r="E110" s="83"/>
      <c r="F110" s="83">
        <v>0</v>
      </c>
      <c r="G110" s="83">
        <v>0</v>
      </c>
      <c r="H110" s="84">
        <v>0</v>
      </c>
      <c r="I110" s="83">
        <v>0</v>
      </c>
      <c r="J110" s="83">
        <v>0</v>
      </c>
      <c r="K110" s="87"/>
      <c r="L110" s="87"/>
      <c r="M110" s="87"/>
      <c r="N110" s="87"/>
      <c r="O110" s="88"/>
    </row>
    <row r="111" spans="1:15">
      <c r="A111" s="82">
        <v>1.4</v>
      </c>
      <c r="B111" s="89" t="s">
        <v>82</v>
      </c>
      <c r="C111" s="83">
        <v>0</v>
      </c>
      <c r="D111" s="83">
        <v>0</v>
      </c>
      <c r="E111" s="83"/>
      <c r="F111" s="83">
        <v>0</v>
      </c>
      <c r="G111" s="83">
        <v>0</v>
      </c>
      <c r="H111" s="84">
        <v>0</v>
      </c>
      <c r="I111" s="83">
        <v>0</v>
      </c>
      <c r="J111" s="83">
        <v>0</v>
      </c>
      <c r="K111" s="87"/>
      <c r="L111" s="87"/>
      <c r="M111" s="87"/>
      <c r="N111" s="87"/>
      <c r="O111" s="88"/>
    </row>
    <row r="112" spans="1:15">
      <c r="A112" s="82">
        <v>1.5</v>
      </c>
      <c r="B112" s="89" t="s">
        <v>83</v>
      </c>
      <c r="C112" s="83">
        <v>0</v>
      </c>
      <c r="D112" s="83">
        <v>610</v>
      </c>
      <c r="E112" s="83"/>
      <c r="F112" s="83">
        <v>0</v>
      </c>
      <c r="G112" s="83">
        <v>610</v>
      </c>
      <c r="H112" s="84">
        <v>0</v>
      </c>
      <c r="I112" s="83">
        <v>0</v>
      </c>
      <c r="J112" s="83">
        <v>9000420</v>
      </c>
      <c r="K112" s="87"/>
      <c r="L112" s="87"/>
      <c r="M112" s="87"/>
      <c r="N112" s="87"/>
      <c r="O112" s="88"/>
    </row>
    <row r="113" spans="1:15">
      <c r="A113" s="82">
        <v>1.6</v>
      </c>
      <c r="B113" s="89" t="s">
        <v>84</v>
      </c>
      <c r="C113" s="83">
        <v>0</v>
      </c>
      <c r="D113" s="83">
        <v>0</v>
      </c>
      <c r="E113" s="83"/>
      <c r="F113" s="83">
        <v>0</v>
      </c>
      <c r="G113" s="83">
        <v>0</v>
      </c>
      <c r="H113" s="84">
        <v>0</v>
      </c>
      <c r="I113" s="83">
        <v>0</v>
      </c>
      <c r="J113" s="83">
        <v>0</v>
      </c>
      <c r="K113" s="90"/>
      <c r="L113" s="90"/>
      <c r="M113" s="90"/>
      <c r="N113" s="90"/>
      <c r="O113" s="91"/>
    </row>
    <row r="114" spans="1:15">
      <c r="A114" s="77">
        <v>1</v>
      </c>
      <c r="B114" s="78" t="s">
        <v>92</v>
      </c>
      <c r="C114" s="78"/>
      <c r="D114" s="78"/>
      <c r="E114" s="78"/>
      <c r="F114" s="78"/>
      <c r="G114" s="78"/>
      <c r="H114" s="92"/>
      <c r="I114" s="78"/>
      <c r="J114" s="78"/>
      <c r="K114" s="93"/>
      <c r="L114" s="93"/>
      <c r="M114" s="93"/>
      <c r="N114" s="93"/>
      <c r="O114" s="78"/>
    </row>
    <row r="115" spans="1:15" ht="30" customHeight="1">
      <c r="A115" s="82">
        <v>1.1000000000000001</v>
      </c>
      <c r="B115" s="89" t="s">
        <v>79</v>
      </c>
      <c r="C115" s="83">
        <v>138548.32260000004</v>
      </c>
      <c r="D115" s="83">
        <v>3348.2892547770698</v>
      </c>
      <c r="E115" s="83"/>
      <c r="F115" s="83">
        <v>135194.58199999997</v>
      </c>
      <c r="G115" s="83">
        <v>3309.1402547770704</v>
      </c>
      <c r="H115" s="84">
        <v>3914.6075999999998</v>
      </c>
      <c r="I115" s="83">
        <v>78.898999999999987</v>
      </c>
      <c r="J115" s="83">
        <v>1972643121.6764777</v>
      </c>
      <c r="K115" s="85">
        <v>2628132926.2255702</v>
      </c>
      <c r="L115" s="85"/>
      <c r="M115" s="85">
        <v>636583440.91272891</v>
      </c>
      <c r="N115" s="95" t="str">
        <f t="shared" ref="N115:N120" si="6">IF(M115&lt;0,"VƯỢT DỰ TOÁN","ĐẢM BẢO")</f>
        <v>ĐẢM BẢO</v>
      </c>
      <c r="O115" s="86" t="s">
        <v>73</v>
      </c>
    </row>
    <row r="116" spans="1:15" ht="30" customHeight="1">
      <c r="A116" s="82">
        <v>1.2</v>
      </c>
      <c r="B116" s="89" t="s">
        <v>80</v>
      </c>
      <c r="C116" s="83">
        <v>322.07400000000001</v>
      </c>
      <c r="D116" s="83">
        <v>8.36</v>
      </c>
      <c r="E116" s="83"/>
      <c r="F116" s="83">
        <v>357</v>
      </c>
      <c r="G116" s="83">
        <v>8.9499999999999993</v>
      </c>
      <c r="H116" s="84">
        <v>0</v>
      </c>
      <c r="I116" s="83">
        <v>0</v>
      </c>
      <c r="J116" s="83">
        <v>18906363.636363637</v>
      </c>
      <c r="K116" s="87"/>
      <c r="L116" s="87"/>
      <c r="M116" s="87"/>
      <c r="N116" s="95" t="str">
        <f t="shared" si="6"/>
        <v>ĐẢM BẢO</v>
      </c>
      <c r="O116" s="88"/>
    </row>
    <row r="117" spans="1:15" ht="30" customHeight="1">
      <c r="A117" s="82">
        <v>1.3</v>
      </c>
      <c r="B117" s="89" t="s">
        <v>81</v>
      </c>
      <c r="C117" s="83">
        <v>20.2</v>
      </c>
      <c r="D117" s="83">
        <v>3.1425000000000001</v>
      </c>
      <c r="E117" s="83"/>
      <c r="F117" s="83">
        <v>0</v>
      </c>
      <c r="G117" s="83">
        <v>2</v>
      </c>
      <c r="H117" s="84">
        <v>0</v>
      </c>
      <c r="I117" s="83">
        <v>0</v>
      </c>
      <c r="J117" s="83">
        <v>7410000</v>
      </c>
      <c r="K117" s="87">
        <v>0</v>
      </c>
      <c r="L117" s="87"/>
      <c r="M117" s="87">
        <v>-7410000</v>
      </c>
      <c r="N117" s="95" t="str">
        <f t="shared" si="6"/>
        <v>VƯỢT DỰ TOÁN</v>
      </c>
      <c r="O117" s="88"/>
    </row>
    <row r="118" spans="1:15" ht="30" customHeight="1">
      <c r="A118" s="82">
        <v>1.4</v>
      </c>
      <c r="B118" s="89" t="s">
        <v>82</v>
      </c>
      <c r="C118" s="83">
        <v>0</v>
      </c>
      <c r="D118" s="83">
        <v>0</v>
      </c>
      <c r="E118" s="83"/>
      <c r="F118" s="83">
        <v>0</v>
      </c>
      <c r="G118" s="83">
        <v>0</v>
      </c>
      <c r="H118" s="84">
        <v>0</v>
      </c>
      <c r="I118" s="83">
        <v>0</v>
      </c>
      <c r="J118" s="83">
        <v>0</v>
      </c>
      <c r="K118" s="87"/>
      <c r="L118" s="87"/>
      <c r="M118" s="87">
        <v>0</v>
      </c>
      <c r="N118" s="95" t="str">
        <f t="shared" si="6"/>
        <v>ĐẢM BẢO</v>
      </c>
      <c r="O118" s="88"/>
    </row>
    <row r="119" spans="1:15" ht="30" customHeight="1">
      <c r="A119" s="82">
        <v>1.5</v>
      </c>
      <c r="B119" s="89" t="s">
        <v>83</v>
      </c>
      <c r="C119" s="83">
        <v>0</v>
      </c>
      <c r="D119" s="83">
        <v>29855</v>
      </c>
      <c r="E119" s="83"/>
      <c r="F119" s="83">
        <v>0</v>
      </c>
      <c r="G119" s="83">
        <v>29855</v>
      </c>
      <c r="H119" s="84">
        <v>0</v>
      </c>
      <c r="I119" s="83">
        <v>0</v>
      </c>
      <c r="J119" s="83">
        <v>179171680</v>
      </c>
      <c r="K119" s="87">
        <v>106864640</v>
      </c>
      <c r="L119" s="87"/>
      <c r="M119" s="87">
        <v>-72307040</v>
      </c>
      <c r="N119" s="95" t="str">
        <f t="shared" si="6"/>
        <v>VƯỢT DỰ TOÁN</v>
      </c>
      <c r="O119" s="88"/>
    </row>
    <row r="120" spans="1:15" ht="30" customHeight="1">
      <c r="A120" s="82">
        <v>1.6</v>
      </c>
      <c r="B120" s="89" t="s">
        <v>84</v>
      </c>
      <c r="C120" s="83">
        <v>21710.448468661274</v>
      </c>
      <c r="D120" s="83">
        <v>24024.954368612765</v>
      </c>
      <c r="E120" s="83"/>
      <c r="F120" s="83">
        <v>22867.856000000003</v>
      </c>
      <c r="G120" s="83">
        <v>43380.595000000001</v>
      </c>
      <c r="H120" s="84">
        <v>0</v>
      </c>
      <c r="I120" s="83">
        <v>3000</v>
      </c>
      <c r="J120" s="83">
        <v>722019196.72191989</v>
      </c>
      <c r="K120" s="90">
        <v>356183989.60000002</v>
      </c>
      <c r="L120" s="90"/>
      <c r="M120" s="90">
        <v>-365835207.12191987</v>
      </c>
      <c r="N120" s="95" t="str">
        <f t="shared" si="6"/>
        <v>VƯỢT DỰ TOÁN</v>
      </c>
      <c r="O120" s="91"/>
    </row>
    <row r="121" spans="1:15">
      <c r="A121" s="77">
        <v>1</v>
      </c>
      <c r="B121" s="78" t="s">
        <v>93</v>
      </c>
      <c r="C121" s="78"/>
      <c r="D121" s="78"/>
      <c r="E121" s="78"/>
      <c r="F121" s="78"/>
      <c r="G121" s="78"/>
      <c r="H121" s="92"/>
      <c r="I121" s="78"/>
      <c r="J121" s="78"/>
      <c r="K121" s="93"/>
      <c r="L121" s="93"/>
      <c r="M121" s="93"/>
      <c r="N121" s="93"/>
      <c r="O121" s="78"/>
    </row>
    <row r="122" spans="1:15" ht="30" customHeight="1">
      <c r="A122" s="82">
        <v>1.1000000000000001</v>
      </c>
      <c r="B122" s="89" t="s">
        <v>79</v>
      </c>
      <c r="C122" s="83">
        <v>21887.988000000001</v>
      </c>
      <c r="D122" s="83">
        <v>354.97</v>
      </c>
      <c r="E122" s="83"/>
      <c r="F122" s="83">
        <v>25205.85</v>
      </c>
      <c r="G122" s="83">
        <v>404.5</v>
      </c>
      <c r="H122" s="84">
        <v>1263.8500000000001</v>
      </c>
      <c r="I122" s="83">
        <v>8.4</v>
      </c>
      <c r="J122" s="83">
        <v>581150755.05949998</v>
      </c>
      <c r="K122" s="85">
        <v>569555448.00791097</v>
      </c>
      <c r="L122" s="85"/>
      <c r="M122" s="85">
        <v>-11595307.051589012</v>
      </c>
      <c r="N122" s="95" t="str">
        <f t="shared" ref="N122:N127" si="7">IF(M122&lt;0,"VƯỢT DỰ TOÁN","ĐẢM BẢO")</f>
        <v>VƯỢT DỰ TOÁN</v>
      </c>
      <c r="O122" s="86" t="s">
        <v>73</v>
      </c>
    </row>
    <row r="123" spans="1:15" ht="30" customHeight="1">
      <c r="A123" s="82">
        <v>1.2</v>
      </c>
      <c r="B123" s="89" t="s">
        <v>80</v>
      </c>
      <c r="C123" s="83">
        <v>0</v>
      </c>
      <c r="D123" s="83">
        <v>0</v>
      </c>
      <c r="E123" s="83"/>
      <c r="F123" s="83">
        <v>0</v>
      </c>
      <c r="G123" s="83">
        <v>0</v>
      </c>
      <c r="H123" s="84">
        <v>0</v>
      </c>
      <c r="I123" s="83">
        <v>0</v>
      </c>
      <c r="J123" s="83">
        <v>0</v>
      </c>
      <c r="K123" s="87"/>
      <c r="L123" s="87"/>
      <c r="M123" s="87">
        <v>0</v>
      </c>
      <c r="N123" s="95" t="str">
        <f t="shared" si="7"/>
        <v>ĐẢM BẢO</v>
      </c>
      <c r="O123" s="88"/>
    </row>
    <row r="124" spans="1:15" ht="30" customHeight="1">
      <c r="A124" s="82">
        <v>1.3</v>
      </c>
      <c r="B124" s="89" t="s">
        <v>81</v>
      </c>
      <c r="C124" s="83">
        <v>0</v>
      </c>
      <c r="D124" s="83">
        <v>0</v>
      </c>
      <c r="E124" s="83"/>
      <c r="F124" s="83">
        <v>0</v>
      </c>
      <c r="G124" s="83">
        <v>0</v>
      </c>
      <c r="H124" s="84">
        <v>0</v>
      </c>
      <c r="I124" s="83">
        <v>0</v>
      </c>
      <c r="J124" s="83">
        <v>0</v>
      </c>
      <c r="K124" s="87"/>
      <c r="L124" s="87"/>
      <c r="M124" s="87">
        <v>0</v>
      </c>
      <c r="N124" s="95" t="str">
        <f t="shared" si="7"/>
        <v>ĐẢM BẢO</v>
      </c>
      <c r="O124" s="88"/>
    </row>
    <row r="125" spans="1:15" ht="30" customHeight="1">
      <c r="A125" s="82">
        <v>1.4</v>
      </c>
      <c r="B125" s="89" t="s">
        <v>82</v>
      </c>
      <c r="C125" s="83">
        <v>0</v>
      </c>
      <c r="D125" s="83">
        <v>0</v>
      </c>
      <c r="E125" s="83"/>
      <c r="F125" s="83">
        <v>0</v>
      </c>
      <c r="G125" s="83">
        <v>0</v>
      </c>
      <c r="H125" s="84">
        <v>0</v>
      </c>
      <c r="I125" s="83">
        <v>0</v>
      </c>
      <c r="J125" s="83">
        <v>0</v>
      </c>
      <c r="K125" s="87"/>
      <c r="L125" s="87"/>
      <c r="M125" s="87">
        <v>0</v>
      </c>
      <c r="N125" s="95" t="str">
        <f t="shared" si="7"/>
        <v>ĐẢM BẢO</v>
      </c>
      <c r="O125" s="88"/>
    </row>
    <row r="126" spans="1:15" ht="30" customHeight="1">
      <c r="A126" s="82">
        <v>1.5</v>
      </c>
      <c r="B126" s="89" t="s">
        <v>83</v>
      </c>
      <c r="C126" s="83">
        <v>0</v>
      </c>
      <c r="D126" s="83">
        <v>593</v>
      </c>
      <c r="E126" s="83"/>
      <c r="F126" s="83">
        <v>0</v>
      </c>
      <c r="G126" s="83">
        <v>716</v>
      </c>
      <c r="H126" s="84">
        <v>0</v>
      </c>
      <c r="I126" s="83">
        <v>0</v>
      </c>
      <c r="J126" s="83">
        <v>13978150</v>
      </c>
      <c r="K126" s="87">
        <v>9830400</v>
      </c>
      <c r="L126" s="87"/>
      <c r="M126" s="87">
        <v>-4147750</v>
      </c>
      <c r="N126" s="95" t="str">
        <f t="shared" si="7"/>
        <v>VƯỢT DỰ TOÁN</v>
      </c>
      <c r="O126" s="88"/>
    </row>
    <row r="127" spans="1:15" ht="30" customHeight="1">
      <c r="A127" s="82">
        <v>1.6</v>
      </c>
      <c r="B127" s="89" t="s">
        <v>84</v>
      </c>
      <c r="C127" s="83">
        <v>847.05696599999999</v>
      </c>
      <c r="D127" s="83">
        <v>414.5924</v>
      </c>
      <c r="E127" s="83"/>
      <c r="F127" s="83">
        <v>976</v>
      </c>
      <c r="G127" s="83">
        <v>330</v>
      </c>
      <c r="H127" s="84">
        <v>63.570965999999999</v>
      </c>
      <c r="I127" s="83">
        <v>108.501</v>
      </c>
      <c r="J127" s="83">
        <v>23644816.200000003</v>
      </c>
      <c r="K127" s="90">
        <v>37496422.399999999</v>
      </c>
      <c r="L127" s="90"/>
      <c r="M127" s="90">
        <v>13851606.199999996</v>
      </c>
      <c r="N127" s="95" t="str">
        <f t="shared" si="7"/>
        <v>ĐẢM BẢO</v>
      </c>
      <c r="O127" s="91"/>
    </row>
    <row r="128" spans="1:15">
      <c r="A128" s="77">
        <v>1</v>
      </c>
      <c r="B128" s="78" t="s">
        <v>94</v>
      </c>
      <c r="C128" s="78"/>
      <c r="D128" s="78"/>
      <c r="E128" s="78"/>
      <c r="F128" s="78"/>
      <c r="G128" s="78"/>
      <c r="H128" s="92"/>
      <c r="I128" s="78"/>
      <c r="J128" s="78"/>
      <c r="K128" s="93"/>
      <c r="L128" s="93"/>
      <c r="M128" s="93"/>
      <c r="N128" s="93"/>
      <c r="O128" s="78"/>
    </row>
    <row r="129" spans="1:15" ht="30" customHeight="1">
      <c r="A129" s="82">
        <v>1.1000000000000001</v>
      </c>
      <c r="B129" s="89" t="s">
        <v>79</v>
      </c>
      <c r="C129" s="100">
        <v>15867.015230978141</v>
      </c>
      <c r="D129" s="100">
        <v>392.77192500000007</v>
      </c>
      <c r="E129" s="100"/>
      <c r="F129" s="100">
        <v>18316.952499999999</v>
      </c>
      <c r="G129" s="100">
        <v>417.04250000000002</v>
      </c>
      <c r="H129" s="100">
        <v>43.733143334940081</v>
      </c>
      <c r="I129" s="100">
        <v>5.9902250000000006</v>
      </c>
      <c r="J129" s="100">
        <v>256528258.33312729</v>
      </c>
      <c r="K129" s="104">
        <v>510132021.90000099</v>
      </c>
      <c r="L129" s="104"/>
      <c r="M129" s="104">
        <v>177848309.02141917</v>
      </c>
      <c r="N129" s="95" t="str">
        <f t="shared" ref="N129:N134" si="8">IF(M129&lt;0,"VƯỢT DỰ TOÁN","ĐẢM BẢO")</f>
        <v>ĐẢM BẢO</v>
      </c>
      <c r="O129" s="86" t="s">
        <v>73</v>
      </c>
    </row>
    <row r="130" spans="1:15" ht="30" customHeight="1">
      <c r="A130" s="82">
        <v>1.2</v>
      </c>
      <c r="B130" s="89" t="s">
        <v>80</v>
      </c>
      <c r="C130" s="100">
        <v>1424.4248734860605</v>
      </c>
      <c r="D130" s="100">
        <v>46.088000000000001</v>
      </c>
      <c r="E130" s="100"/>
      <c r="F130" s="100">
        <v>1366.2</v>
      </c>
      <c r="G130" s="100">
        <v>41.826000000000008</v>
      </c>
      <c r="H130" s="100">
        <v>65.044820425531924</v>
      </c>
      <c r="I130" s="100">
        <v>5.0220000000000002</v>
      </c>
      <c r="J130" s="100">
        <v>75755454.545454547</v>
      </c>
      <c r="K130" s="104"/>
      <c r="L130" s="104"/>
      <c r="M130" s="104"/>
      <c r="N130" s="95" t="str">
        <f t="shared" si="8"/>
        <v>ĐẢM BẢO</v>
      </c>
      <c r="O130" s="88"/>
    </row>
    <row r="131" spans="1:15" ht="30" customHeight="1">
      <c r="A131" s="82">
        <v>1.3</v>
      </c>
      <c r="B131" s="89" t="s">
        <v>81</v>
      </c>
      <c r="C131" s="100">
        <v>0</v>
      </c>
      <c r="D131" s="100">
        <v>0</v>
      </c>
      <c r="E131" s="100"/>
      <c r="F131" s="100">
        <v>0</v>
      </c>
      <c r="G131" s="100">
        <v>0</v>
      </c>
      <c r="H131" s="100">
        <v>0</v>
      </c>
      <c r="I131" s="100">
        <v>0</v>
      </c>
      <c r="J131" s="100">
        <v>0</v>
      </c>
      <c r="K131" s="100">
        <v>0</v>
      </c>
      <c r="L131" s="100"/>
      <c r="M131" s="100">
        <v>0</v>
      </c>
      <c r="N131" s="95" t="str">
        <f t="shared" si="8"/>
        <v>ĐẢM BẢO</v>
      </c>
      <c r="O131" s="88"/>
    </row>
    <row r="132" spans="1:15" ht="30" customHeight="1">
      <c r="A132" s="82">
        <v>1.4</v>
      </c>
      <c r="B132" s="89" t="s">
        <v>82</v>
      </c>
      <c r="C132" s="100">
        <v>0</v>
      </c>
      <c r="D132" s="100">
        <v>0</v>
      </c>
      <c r="E132" s="100"/>
      <c r="F132" s="100">
        <v>0</v>
      </c>
      <c r="G132" s="100">
        <v>0</v>
      </c>
      <c r="H132" s="100">
        <v>0</v>
      </c>
      <c r="I132" s="100">
        <v>0</v>
      </c>
      <c r="J132" s="100">
        <v>0</v>
      </c>
      <c r="K132" s="100">
        <v>0</v>
      </c>
      <c r="L132" s="100"/>
      <c r="M132" s="100">
        <v>0</v>
      </c>
      <c r="N132" s="95" t="str">
        <f t="shared" si="8"/>
        <v>ĐẢM BẢO</v>
      </c>
      <c r="O132" s="88"/>
    </row>
    <row r="133" spans="1:15" ht="30" customHeight="1">
      <c r="A133" s="82">
        <v>1.5</v>
      </c>
      <c r="B133" s="89" t="s">
        <v>83</v>
      </c>
      <c r="C133" s="100">
        <v>0</v>
      </c>
      <c r="D133" s="100">
        <v>2281</v>
      </c>
      <c r="E133" s="100"/>
      <c r="F133" s="100">
        <v>0</v>
      </c>
      <c r="G133" s="100">
        <v>2278</v>
      </c>
      <c r="H133" s="100">
        <v>0</v>
      </c>
      <c r="I133" s="100">
        <v>0</v>
      </c>
      <c r="J133" s="100">
        <v>33884130</v>
      </c>
      <c r="K133" s="100">
        <v>10761520</v>
      </c>
      <c r="L133" s="100">
        <v>35393730</v>
      </c>
      <c r="M133" s="100">
        <v>-58516340</v>
      </c>
      <c r="N133" s="95" t="str">
        <f t="shared" si="8"/>
        <v>VƯỢT DỰ TOÁN</v>
      </c>
      <c r="O133" s="88"/>
    </row>
    <row r="134" spans="1:15" ht="30" customHeight="1">
      <c r="A134" s="82">
        <v>1.6</v>
      </c>
      <c r="B134" s="89" t="s">
        <v>84</v>
      </c>
      <c r="C134" s="100">
        <v>2328.9131215100006</v>
      </c>
      <c r="D134" s="100">
        <v>1986.5468920000001</v>
      </c>
      <c r="E134" s="100"/>
      <c r="F134" s="100">
        <v>1810.6799999999998</v>
      </c>
      <c r="G134" s="100">
        <v>1870.9891749999999</v>
      </c>
      <c r="H134" s="100">
        <v>557.32746120000002</v>
      </c>
      <c r="I134" s="100">
        <v>101.529132</v>
      </c>
      <c r="J134" s="100">
        <v>68596099.196700007</v>
      </c>
      <c r="K134" s="100">
        <v>49260857.799999997</v>
      </c>
      <c r="L134" s="100"/>
      <c r="M134" s="100">
        <v>-19335241.39670001</v>
      </c>
      <c r="N134" s="95" t="str">
        <f t="shared" si="8"/>
        <v>VƯỢT DỰ TOÁN</v>
      </c>
      <c r="O134" s="91"/>
    </row>
    <row r="135" spans="1:15" ht="27.5" customHeight="1">
      <c r="A135" s="77">
        <v>1</v>
      </c>
      <c r="B135" s="78" t="s">
        <v>95</v>
      </c>
      <c r="C135" s="78"/>
      <c r="D135" s="78"/>
      <c r="E135" s="78"/>
      <c r="F135" s="78"/>
      <c r="G135" s="78"/>
      <c r="H135" s="92"/>
      <c r="I135" s="78"/>
      <c r="J135" s="78"/>
      <c r="K135" s="93"/>
      <c r="L135" s="93"/>
      <c r="M135" s="93"/>
      <c r="N135" s="93"/>
      <c r="O135" s="78"/>
    </row>
    <row r="136" spans="1:15" ht="30" customHeight="1">
      <c r="A136" s="82">
        <v>1.1000000000000001</v>
      </c>
      <c r="B136" s="89" t="s">
        <v>79</v>
      </c>
      <c r="C136" s="100">
        <v>771.04210000000012</v>
      </c>
      <c r="D136" s="100">
        <v>12.603799999999998</v>
      </c>
      <c r="E136" s="100"/>
      <c r="F136" s="100">
        <v>415</v>
      </c>
      <c r="G136" s="100">
        <v>32.5</v>
      </c>
      <c r="H136" s="100">
        <v>524.41159999999991</v>
      </c>
      <c r="I136" s="100">
        <v>3.1038000000000001</v>
      </c>
      <c r="J136" s="100">
        <v>10003272.678181816</v>
      </c>
      <c r="K136" s="100">
        <v>0</v>
      </c>
      <c r="L136" s="100"/>
      <c r="M136" s="100">
        <v>-10003272.678181816</v>
      </c>
      <c r="N136" s="95" t="str">
        <f t="shared" ref="N136:N141" si="9">IF(M136&lt;0,"VƯỢT DỰ TOÁN","ĐẢM BẢO")</f>
        <v>VƯỢT DỰ TOÁN</v>
      </c>
      <c r="O136" s="86" t="s">
        <v>73</v>
      </c>
    </row>
    <row r="137" spans="1:15" ht="30" customHeight="1">
      <c r="A137" s="82">
        <v>1.2</v>
      </c>
      <c r="B137" s="89" t="s">
        <v>80</v>
      </c>
      <c r="C137" s="100">
        <v>60.948975777777761</v>
      </c>
      <c r="D137" s="100">
        <v>2.3621999999999996</v>
      </c>
      <c r="E137" s="100"/>
      <c r="F137" s="100">
        <v>19.599999999999998</v>
      </c>
      <c r="G137" s="100">
        <v>1.5149999999999999</v>
      </c>
      <c r="H137" s="100">
        <v>41.502448000000001</v>
      </c>
      <c r="I137" s="100">
        <v>0.69719999999999993</v>
      </c>
      <c r="J137" s="100">
        <v>1336363.6363636362</v>
      </c>
      <c r="K137" s="100">
        <v>0</v>
      </c>
      <c r="L137" s="100"/>
      <c r="M137" s="100">
        <v>-1336363.6363636362</v>
      </c>
      <c r="N137" s="95" t="str">
        <f t="shared" si="9"/>
        <v>VƯỢT DỰ TOÁN</v>
      </c>
      <c r="O137" s="88"/>
    </row>
    <row r="138" spans="1:15" ht="30" customHeight="1">
      <c r="A138" s="82">
        <v>1.3</v>
      </c>
      <c r="B138" s="89" t="s">
        <v>81</v>
      </c>
      <c r="C138" s="100">
        <v>0</v>
      </c>
      <c r="D138" s="100">
        <v>0</v>
      </c>
      <c r="E138" s="100"/>
      <c r="F138" s="100">
        <v>0</v>
      </c>
      <c r="G138" s="100">
        <v>0</v>
      </c>
      <c r="H138" s="100">
        <v>0</v>
      </c>
      <c r="I138" s="100">
        <v>0</v>
      </c>
      <c r="J138" s="100">
        <v>0</v>
      </c>
      <c r="K138" s="100">
        <v>0</v>
      </c>
      <c r="L138" s="100"/>
      <c r="M138" s="100">
        <v>0</v>
      </c>
      <c r="N138" s="95" t="str">
        <f t="shared" si="9"/>
        <v>ĐẢM BẢO</v>
      </c>
      <c r="O138" s="88"/>
    </row>
    <row r="139" spans="1:15" ht="30" customHeight="1">
      <c r="A139" s="82">
        <v>1.4</v>
      </c>
      <c r="B139" s="89" t="s">
        <v>82</v>
      </c>
      <c r="C139" s="100">
        <v>0</v>
      </c>
      <c r="D139" s="100">
        <v>0</v>
      </c>
      <c r="E139" s="100"/>
      <c r="F139" s="100">
        <v>0</v>
      </c>
      <c r="G139" s="100">
        <v>0</v>
      </c>
      <c r="H139" s="100">
        <v>0</v>
      </c>
      <c r="I139" s="100">
        <v>0</v>
      </c>
      <c r="J139" s="100">
        <v>0</v>
      </c>
      <c r="K139" s="100">
        <v>0</v>
      </c>
      <c r="L139" s="100"/>
      <c r="M139" s="100">
        <v>0</v>
      </c>
      <c r="N139" s="95" t="str">
        <f t="shared" si="9"/>
        <v>ĐẢM BẢO</v>
      </c>
      <c r="O139" s="88"/>
    </row>
    <row r="140" spans="1:15" ht="30" customHeight="1">
      <c r="A140" s="82">
        <v>1.5</v>
      </c>
      <c r="B140" s="89" t="s">
        <v>83</v>
      </c>
      <c r="C140" s="100">
        <v>0</v>
      </c>
      <c r="D140" s="100">
        <v>141</v>
      </c>
      <c r="E140" s="100"/>
      <c r="F140" s="100">
        <v>0</v>
      </c>
      <c r="G140" s="100">
        <v>141</v>
      </c>
      <c r="H140" s="100">
        <v>0</v>
      </c>
      <c r="I140" s="100">
        <v>0</v>
      </c>
      <c r="J140" s="100">
        <v>14453170</v>
      </c>
      <c r="K140" s="100">
        <v>0</v>
      </c>
      <c r="L140" s="100">
        <v>16503170</v>
      </c>
      <c r="M140" s="100">
        <v>-30956340</v>
      </c>
      <c r="N140" s="95" t="str">
        <f t="shared" si="9"/>
        <v>VƯỢT DỰ TOÁN</v>
      </c>
      <c r="O140" s="88"/>
    </row>
    <row r="141" spans="1:15" ht="30" customHeight="1">
      <c r="A141" s="82">
        <v>1.6</v>
      </c>
      <c r="B141" s="89" t="s">
        <v>84</v>
      </c>
      <c r="C141" s="100">
        <v>0</v>
      </c>
      <c r="D141" s="100">
        <v>0</v>
      </c>
      <c r="E141" s="100"/>
      <c r="F141" s="100">
        <v>0</v>
      </c>
      <c r="G141" s="100">
        <v>0</v>
      </c>
      <c r="H141" s="100">
        <v>0</v>
      </c>
      <c r="I141" s="100">
        <v>0</v>
      </c>
      <c r="J141" s="100">
        <v>0</v>
      </c>
      <c r="K141" s="100">
        <v>0</v>
      </c>
      <c r="L141" s="100"/>
      <c r="M141" s="100">
        <v>0</v>
      </c>
      <c r="N141" s="95" t="str">
        <f t="shared" si="9"/>
        <v>ĐẢM BẢO</v>
      </c>
      <c r="O141" s="91"/>
    </row>
    <row r="142" spans="1:15" ht="27.5" customHeight="1">
      <c r="A142" s="77">
        <v>1</v>
      </c>
      <c r="B142" s="78" t="s">
        <v>99</v>
      </c>
      <c r="C142" s="78"/>
      <c r="D142" s="78"/>
      <c r="E142" s="78"/>
      <c r="F142" s="78"/>
      <c r="G142" s="78"/>
      <c r="H142" s="92"/>
      <c r="I142" s="78"/>
      <c r="J142" s="78"/>
      <c r="K142" s="93"/>
      <c r="L142" s="93"/>
      <c r="M142" s="93"/>
      <c r="N142" s="93"/>
      <c r="O142" s="78"/>
    </row>
    <row r="143" spans="1:15" ht="30" customHeight="1">
      <c r="A143" s="82">
        <v>1.1000000000000001</v>
      </c>
      <c r="B143" s="89" t="s">
        <v>79</v>
      </c>
      <c r="C143" s="100">
        <v>41.6325</v>
      </c>
      <c r="D143" s="100">
        <v>1.75</v>
      </c>
      <c r="E143" s="100"/>
      <c r="F143" s="100">
        <v>0</v>
      </c>
      <c r="G143" s="100">
        <v>0</v>
      </c>
      <c r="H143" s="100">
        <v>41.6325</v>
      </c>
      <c r="I143" s="100">
        <v>1.75</v>
      </c>
      <c r="J143" s="100">
        <v>0</v>
      </c>
      <c r="K143" s="100">
        <v>0</v>
      </c>
      <c r="L143" s="100">
        <v>0</v>
      </c>
      <c r="M143" s="100">
        <v>0</v>
      </c>
      <c r="N143" s="95" t="str">
        <f t="shared" ref="N143:N148" si="10">IF(M143&lt;0,"VƯỢT DỰ TOÁN","ĐẢM BẢO")</f>
        <v>ĐẢM BẢO</v>
      </c>
      <c r="O143" s="105" t="s">
        <v>100</v>
      </c>
    </row>
    <row r="144" spans="1:15" ht="30" customHeight="1">
      <c r="A144" s="82">
        <v>1.2</v>
      </c>
      <c r="B144" s="89" t="s">
        <v>80</v>
      </c>
      <c r="C144" s="100">
        <v>0</v>
      </c>
      <c r="D144" s="100">
        <v>0</v>
      </c>
      <c r="E144" s="100"/>
      <c r="F144" s="100">
        <v>0</v>
      </c>
      <c r="G144" s="100">
        <v>0</v>
      </c>
      <c r="H144" s="100">
        <v>0</v>
      </c>
      <c r="I144" s="100">
        <v>0</v>
      </c>
      <c r="J144" s="100">
        <v>0</v>
      </c>
      <c r="K144" s="100">
        <v>0</v>
      </c>
      <c r="L144" s="100">
        <v>0</v>
      </c>
      <c r="M144" s="100">
        <v>0</v>
      </c>
      <c r="N144" s="95" t="str">
        <f t="shared" si="10"/>
        <v>ĐẢM BẢO</v>
      </c>
      <c r="O144" s="106"/>
    </row>
    <row r="145" spans="1:15" ht="30" customHeight="1">
      <c r="A145" s="82">
        <v>1.3</v>
      </c>
      <c r="B145" s="89" t="s">
        <v>81</v>
      </c>
      <c r="C145" s="100">
        <v>0</v>
      </c>
      <c r="D145" s="100">
        <v>0</v>
      </c>
      <c r="E145" s="100"/>
      <c r="F145" s="100">
        <v>0</v>
      </c>
      <c r="G145" s="100">
        <v>0</v>
      </c>
      <c r="H145" s="100">
        <v>0</v>
      </c>
      <c r="I145" s="100">
        <v>0</v>
      </c>
      <c r="J145" s="100">
        <v>0</v>
      </c>
      <c r="K145" s="100">
        <v>0</v>
      </c>
      <c r="L145" s="100">
        <v>0</v>
      </c>
      <c r="M145" s="100">
        <v>0</v>
      </c>
      <c r="N145" s="95" t="str">
        <f t="shared" si="10"/>
        <v>ĐẢM BẢO</v>
      </c>
      <c r="O145" s="106"/>
    </row>
    <row r="146" spans="1:15" ht="30" customHeight="1">
      <c r="A146" s="82">
        <v>1.4</v>
      </c>
      <c r="B146" s="89" t="s">
        <v>82</v>
      </c>
      <c r="C146" s="100">
        <v>0</v>
      </c>
      <c r="D146" s="100">
        <v>0</v>
      </c>
      <c r="E146" s="100"/>
      <c r="F146" s="100">
        <v>0</v>
      </c>
      <c r="G146" s="100">
        <v>0</v>
      </c>
      <c r="H146" s="100">
        <v>0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95" t="str">
        <f t="shared" si="10"/>
        <v>ĐẢM BẢO</v>
      </c>
      <c r="O146" s="106"/>
    </row>
    <row r="147" spans="1:15" ht="30" customHeight="1">
      <c r="A147" s="82">
        <v>1.5</v>
      </c>
      <c r="B147" s="89" t="s">
        <v>83</v>
      </c>
      <c r="C147" s="100">
        <v>0</v>
      </c>
      <c r="D147" s="100">
        <v>0</v>
      </c>
      <c r="E147" s="100"/>
      <c r="F147" s="100">
        <v>0</v>
      </c>
      <c r="G147" s="100">
        <v>0</v>
      </c>
      <c r="H147" s="100">
        <v>0</v>
      </c>
      <c r="I147" s="100">
        <v>0</v>
      </c>
      <c r="J147" s="100">
        <v>0</v>
      </c>
      <c r="K147" s="100">
        <v>0</v>
      </c>
      <c r="L147" s="100">
        <v>0</v>
      </c>
      <c r="M147" s="100">
        <v>0</v>
      </c>
      <c r="N147" s="95" t="str">
        <f t="shared" si="10"/>
        <v>ĐẢM BẢO</v>
      </c>
      <c r="O147" s="106"/>
    </row>
    <row r="148" spans="1:15" ht="30" customHeight="1">
      <c r="A148" s="82">
        <v>1.6</v>
      </c>
      <c r="B148" s="89" t="s">
        <v>84</v>
      </c>
      <c r="C148" s="100">
        <v>0</v>
      </c>
      <c r="D148" s="100">
        <v>0</v>
      </c>
      <c r="E148" s="100"/>
      <c r="F148" s="100">
        <v>0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95" t="str">
        <f t="shared" si="10"/>
        <v>ĐẢM BẢO</v>
      </c>
      <c r="O148" s="107"/>
    </row>
    <row r="149" spans="1:15" ht="27.5" customHeight="1">
      <c r="A149" s="77">
        <v>1</v>
      </c>
      <c r="B149" s="78" t="s">
        <v>102</v>
      </c>
      <c r="C149" s="78"/>
      <c r="D149" s="78"/>
      <c r="E149" s="78"/>
      <c r="F149" s="78"/>
      <c r="G149" s="78"/>
      <c r="H149" s="92"/>
      <c r="I149" s="78"/>
      <c r="J149" s="78"/>
      <c r="K149" s="93"/>
      <c r="L149" s="93"/>
      <c r="M149" s="93"/>
      <c r="N149" s="93"/>
      <c r="O149" s="78"/>
    </row>
    <row r="150" spans="1:15" ht="30" customHeight="1">
      <c r="A150" s="82">
        <v>1.1000000000000001</v>
      </c>
      <c r="B150" s="89" t="s">
        <v>79</v>
      </c>
      <c r="C150" s="100">
        <v>31090.659499999994</v>
      </c>
      <c r="D150" s="100">
        <v>931.375</v>
      </c>
      <c r="E150" s="100"/>
      <c r="F150" s="100">
        <v>31415.1</v>
      </c>
      <c r="G150" s="100">
        <v>892.25</v>
      </c>
      <c r="H150" s="100">
        <v>1107.6395000000002</v>
      </c>
      <c r="I150" s="100">
        <v>40.375</v>
      </c>
      <c r="J150" s="100">
        <v>430199690.26099998</v>
      </c>
      <c r="K150" s="100">
        <v>0</v>
      </c>
      <c r="L150" s="100"/>
      <c r="M150" s="100">
        <v>-430199690.26099998</v>
      </c>
      <c r="N150" s="95" t="str">
        <f t="shared" ref="N150:N155" si="11">IF(M150&lt;0,"VƯỢT DỰ TOÁN","ĐẢM BẢO")</f>
        <v>VƯỢT DỰ TOÁN</v>
      </c>
      <c r="O150" s="99" t="s">
        <v>105</v>
      </c>
    </row>
    <row r="151" spans="1:15" ht="30" customHeight="1">
      <c r="A151" s="82">
        <v>1.2</v>
      </c>
      <c r="B151" s="89" t="s">
        <v>80</v>
      </c>
      <c r="C151" s="100">
        <v>0</v>
      </c>
      <c r="D151" s="100">
        <v>0</v>
      </c>
      <c r="E151" s="100"/>
      <c r="F151" s="100">
        <v>0</v>
      </c>
      <c r="G151" s="100">
        <v>0</v>
      </c>
      <c r="H151" s="100">
        <v>0</v>
      </c>
      <c r="I151" s="100">
        <v>0</v>
      </c>
      <c r="J151" s="100">
        <v>0</v>
      </c>
      <c r="K151" s="100">
        <v>0</v>
      </c>
      <c r="L151" s="100"/>
      <c r="M151" s="100">
        <v>0</v>
      </c>
      <c r="N151" s="95" t="str">
        <f t="shared" si="11"/>
        <v>ĐẢM BẢO</v>
      </c>
      <c r="O151" s="99"/>
    </row>
    <row r="152" spans="1:15" ht="30" customHeight="1">
      <c r="A152" s="82">
        <v>1.3</v>
      </c>
      <c r="B152" s="89" t="s">
        <v>81</v>
      </c>
      <c r="C152" s="100">
        <v>0</v>
      </c>
      <c r="D152" s="100">
        <v>0</v>
      </c>
      <c r="E152" s="100"/>
      <c r="F152" s="100">
        <v>0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/>
      <c r="M152" s="100">
        <v>0</v>
      </c>
      <c r="N152" s="95" t="str">
        <f t="shared" si="11"/>
        <v>ĐẢM BẢO</v>
      </c>
      <c r="O152" s="99"/>
    </row>
    <row r="153" spans="1:15" ht="30" customHeight="1">
      <c r="A153" s="82">
        <v>1.4</v>
      </c>
      <c r="B153" s="89" t="s">
        <v>82</v>
      </c>
      <c r="C153" s="100">
        <v>0</v>
      </c>
      <c r="D153" s="100">
        <v>0</v>
      </c>
      <c r="E153" s="100"/>
      <c r="F153" s="100">
        <v>0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/>
      <c r="M153" s="100">
        <v>0</v>
      </c>
      <c r="N153" s="95" t="str">
        <f t="shared" si="11"/>
        <v>ĐẢM BẢO</v>
      </c>
      <c r="O153" s="99"/>
    </row>
    <row r="154" spans="1:15" ht="30" customHeight="1">
      <c r="A154" s="82">
        <v>1.5</v>
      </c>
      <c r="B154" s="89" t="s">
        <v>83</v>
      </c>
      <c r="C154" s="100">
        <v>0</v>
      </c>
      <c r="D154" s="100">
        <v>3981</v>
      </c>
      <c r="E154" s="100"/>
      <c r="F154" s="100">
        <v>17.5</v>
      </c>
      <c r="G154" s="100">
        <v>3982</v>
      </c>
      <c r="H154" s="100">
        <v>0</v>
      </c>
      <c r="I154" s="100">
        <v>0</v>
      </c>
      <c r="J154" s="100">
        <v>49445437.399999999</v>
      </c>
      <c r="K154" s="100">
        <v>0</v>
      </c>
      <c r="L154" s="100"/>
      <c r="M154" s="100">
        <v>-49445437.399999999</v>
      </c>
      <c r="N154" s="95" t="str">
        <f t="shared" si="11"/>
        <v>VƯỢT DỰ TOÁN</v>
      </c>
      <c r="O154" s="99"/>
    </row>
    <row r="155" spans="1:15" ht="30" customHeight="1">
      <c r="A155" s="82">
        <v>1.6</v>
      </c>
      <c r="B155" s="89" t="s">
        <v>84</v>
      </c>
      <c r="C155" s="100">
        <v>0</v>
      </c>
      <c r="D155" s="100" t="s">
        <v>104</v>
      </c>
      <c r="E155" s="100"/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/>
      <c r="M155" s="100">
        <v>0</v>
      </c>
      <c r="N155" s="95" t="str">
        <f t="shared" si="11"/>
        <v>ĐẢM BẢO</v>
      </c>
      <c r="O155" s="99"/>
    </row>
    <row r="156" spans="1:15" ht="27.5" customHeight="1">
      <c r="A156" s="77">
        <v>1</v>
      </c>
      <c r="B156" s="78" t="s">
        <v>101</v>
      </c>
      <c r="C156" s="78"/>
      <c r="D156" s="78"/>
      <c r="E156" s="78"/>
      <c r="F156" s="78"/>
      <c r="G156" s="78"/>
      <c r="H156" s="92"/>
      <c r="I156" s="78"/>
      <c r="J156" s="78"/>
      <c r="K156" s="93"/>
      <c r="L156" s="93"/>
      <c r="M156" s="93"/>
      <c r="N156" s="93"/>
      <c r="O156" s="78"/>
    </row>
    <row r="157" spans="1:15" ht="30" customHeight="1">
      <c r="A157" s="82">
        <v>1.1000000000000001</v>
      </c>
      <c r="B157" s="89" t="s">
        <v>79</v>
      </c>
      <c r="C157" s="100">
        <v>5313.8219999999992</v>
      </c>
      <c r="D157" s="100">
        <v>112.82</v>
      </c>
      <c r="E157" s="100"/>
      <c r="F157" s="100">
        <v>0</v>
      </c>
      <c r="G157" s="100">
        <v>0</v>
      </c>
      <c r="H157" s="100">
        <v>5313.8219999999992</v>
      </c>
      <c r="I157" s="100">
        <v>112.82</v>
      </c>
      <c r="J157" s="100">
        <v>0</v>
      </c>
      <c r="K157" s="100">
        <v>0</v>
      </c>
      <c r="L157" s="101"/>
      <c r="M157" s="102">
        <v>0</v>
      </c>
      <c r="N157" s="95" t="str">
        <f t="shared" ref="N157:N162" si="12">IF(M157&lt;0,"VƯỢT DỰ TOÁN","ĐẢM BẢO")</f>
        <v>ĐẢM BẢO</v>
      </c>
      <c r="O157" s="105" t="s">
        <v>100</v>
      </c>
    </row>
    <row r="158" spans="1:15" ht="30" customHeight="1">
      <c r="A158" s="82">
        <v>1.2</v>
      </c>
      <c r="B158" s="89" t="s">
        <v>80</v>
      </c>
      <c r="C158" s="100">
        <v>0</v>
      </c>
      <c r="D158" s="100">
        <v>0</v>
      </c>
      <c r="E158" s="100"/>
      <c r="F158" s="100">
        <v>0</v>
      </c>
      <c r="G158" s="100">
        <v>0</v>
      </c>
      <c r="H158" s="100">
        <v>0</v>
      </c>
      <c r="I158" s="100">
        <v>0</v>
      </c>
      <c r="J158" s="100">
        <v>0</v>
      </c>
      <c r="K158" s="100">
        <v>0</v>
      </c>
      <c r="L158" s="101"/>
      <c r="M158" s="102">
        <v>0</v>
      </c>
      <c r="N158" s="95" t="str">
        <f t="shared" si="12"/>
        <v>ĐẢM BẢO</v>
      </c>
      <c r="O158" s="106"/>
    </row>
    <row r="159" spans="1:15" ht="30" customHeight="1">
      <c r="A159" s="82">
        <v>1.3</v>
      </c>
      <c r="B159" s="89" t="s">
        <v>81</v>
      </c>
      <c r="C159" s="100">
        <v>0</v>
      </c>
      <c r="D159" s="100">
        <v>0</v>
      </c>
      <c r="E159" s="100"/>
      <c r="F159" s="100">
        <v>0</v>
      </c>
      <c r="G159" s="100">
        <v>0</v>
      </c>
      <c r="H159" s="100">
        <v>0</v>
      </c>
      <c r="I159" s="100">
        <v>0</v>
      </c>
      <c r="J159" s="100">
        <v>0</v>
      </c>
      <c r="K159" s="100">
        <v>0</v>
      </c>
      <c r="L159" s="101"/>
      <c r="M159" s="102">
        <v>0</v>
      </c>
      <c r="N159" s="95" t="str">
        <f t="shared" si="12"/>
        <v>ĐẢM BẢO</v>
      </c>
      <c r="O159" s="106"/>
    </row>
    <row r="160" spans="1:15" ht="30" customHeight="1">
      <c r="A160" s="82">
        <v>1.4</v>
      </c>
      <c r="B160" s="89" t="s">
        <v>82</v>
      </c>
      <c r="C160" s="100">
        <v>0</v>
      </c>
      <c r="D160" s="100">
        <v>0</v>
      </c>
      <c r="E160" s="100"/>
      <c r="F160" s="100">
        <v>0</v>
      </c>
      <c r="G160" s="100">
        <v>0</v>
      </c>
      <c r="H160" s="100">
        <v>0</v>
      </c>
      <c r="I160" s="100">
        <v>0</v>
      </c>
      <c r="J160" s="100">
        <v>0</v>
      </c>
      <c r="K160" s="100">
        <v>0</v>
      </c>
      <c r="L160" s="101"/>
      <c r="M160" s="102">
        <v>0</v>
      </c>
      <c r="N160" s="95" t="str">
        <f t="shared" si="12"/>
        <v>ĐẢM BẢO</v>
      </c>
      <c r="O160" s="106"/>
    </row>
    <row r="161" spans="1:15" ht="30" customHeight="1">
      <c r="A161" s="82">
        <v>1.5</v>
      </c>
      <c r="B161" s="89" t="s">
        <v>83</v>
      </c>
      <c r="C161" s="100">
        <v>0</v>
      </c>
      <c r="D161" s="100">
        <v>0</v>
      </c>
      <c r="E161" s="100"/>
      <c r="F161" s="100">
        <v>0</v>
      </c>
      <c r="G161" s="100">
        <v>0</v>
      </c>
      <c r="H161" s="100">
        <v>0</v>
      </c>
      <c r="I161" s="100">
        <v>0</v>
      </c>
      <c r="J161" s="100">
        <v>0</v>
      </c>
      <c r="K161" s="100">
        <v>0</v>
      </c>
      <c r="L161" s="101"/>
      <c r="M161" s="102">
        <v>0</v>
      </c>
      <c r="N161" s="95" t="str">
        <f t="shared" si="12"/>
        <v>ĐẢM BẢO</v>
      </c>
      <c r="O161" s="106"/>
    </row>
    <row r="162" spans="1:15" ht="30" customHeight="1">
      <c r="A162" s="82">
        <v>1.6</v>
      </c>
      <c r="B162" s="89" t="s">
        <v>84</v>
      </c>
      <c r="C162" s="100">
        <v>0</v>
      </c>
      <c r="D162" s="100">
        <v>0</v>
      </c>
      <c r="E162" s="100"/>
      <c r="F162" s="100">
        <v>0</v>
      </c>
      <c r="G162" s="100">
        <v>0</v>
      </c>
      <c r="H162" s="100">
        <v>0</v>
      </c>
      <c r="I162" s="100">
        <v>0</v>
      </c>
      <c r="J162" s="100">
        <v>0</v>
      </c>
      <c r="K162" s="100">
        <v>0</v>
      </c>
      <c r="L162" s="101"/>
      <c r="M162" s="102">
        <v>0</v>
      </c>
      <c r="N162" s="95" t="str">
        <f t="shared" si="12"/>
        <v>ĐẢM BẢO</v>
      </c>
      <c r="O162" s="107"/>
    </row>
  </sheetData>
  <mergeCells count="36">
    <mergeCell ref="O150:O155"/>
    <mergeCell ref="O157:O162"/>
    <mergeCell ref="O143:O148"/>
    <mergeCell ref="O129:O134"/>
    <mergeCell ref="O136:O141"/>
    <mergeCell ref="O63:O65"/>
    <mergeCell ref="O85:O87"/>
    <mergeCell ref="O93:O95"/>
    <mergeCell ref="O81:O83"/>
    <mergeCell ref="O89:O91"/>
    <mergeCell ref="O74:O79"/>
    <mergeCell ref="O67:O72"/>
    <mergeCell ref="O115:O120"/>
    <mergeCell ref="O122:O127"/>
    <mergeCell ref="O101:O106"/>
    <mergeCell ref="O108:O113"/>
    <mergeCell ref="O97:O99"/>
    <mergeCell ref="F4:G4"/>
    <mergeCell ref="C3:E4"/>
    <mergeCell ref="O15:O17"/>
    <mergeCell ref="O19:O21"/>
    <mergeCell ref="O7:O9"/>
    <mergeCell ref="O11:O13"/>
    <mergeCell ref="H4:I4"/>
    <mergeCell ref="K3:N4"/>
    <mergeCell ref="O3:O5"/>
    <mergeCell ref="O23:O25"/>
    <mergeCell ref="O27:O29"/>
    <mergeCell ref="O31:O33"/>
    <mergeCell ref="O35:O37"/>
    <mergeCell ref="O39:O41"/>
    <mergeCell ref="O43:O45"/>
    <mergeCell ref="O47:O49"/>
    <mergeCell ref="O51:O53"/>
    <mergeCell ref="O55:O57"/>
    <mergeCell ref="O59:O61"/>
  </mergeCells>
  <conditionalFormatting sqref="L5">
    <cfRule type="cellIs" dxfId="15" priority="20" operator="equal">
      <formula>"vượt dự toán"</formula>
    </cfRule>
  </conditionalFormatting>
  <conditionalFormatting sqref="M74:N79">
    <cfRule type="cellIs" dxfId="14" priority="5" operator="equal">
      <formula>"vượt dự toán"</formula>
    </cfRule>
  </conditionalFormatting>
  <conditionalFormatting sqref="M157:N162">
    <cfRule type="cellIs" dxfId="13" priority="1" operator="equal">
      <formula>"vượt dự toán"</formula>
    </cfRule>
  </conditionalFormatting>
  <conditionalFormatting sqref="N1:N73 N80:N84 N88 N92 N96:N114 N121 N128 N135 N142 N149 N156 N163:N1048576">
    <cfRule type="cellIs" dxfId="12" priority="17" operator="equal">
      <formula>"VƯỢT DỰ toán"</formula>
    </cfRule>
  </conditionalFormatting>
  <conditionalFormatting sqref="N5">
    <cfRule type="cellIs" dxfId="11" priority="22" operator="equal">
      <formula>"vượt dự toán"</formula>
    </cfRule>
  </conditionalFormatting>
  <conditionalFormatting sqref="N51:N53">
    <cfRule type="cellIs" dxfId="10" priority="18" operator="equal">
      <formula>"vượt dự toán"</formula>
    </cfRule>
  </conditionalFormatting>
  <conditionalFormatting sqref="N67:N72">
    <cfRule type="cellIs" dxfId="9" priority="23" operator="equal">
      <formula>"vượt dự toán"</formula>
    </cfRule>
  </conditionalFormatting>
  <conditionalFormatting sqref="N85:N87">
    <cfRule type="cellIs" dxfId="8" priority="7" operator="equal">
      <formula>"vượt dự toán"</formula>
    </cfRule>
  </conditionalFormatting>
  <conditionalFormatting sqref="N89:N91">
    <cfRule type="cellIs" dxfId="7" priority="8" operator="equal">
      <formula>"vượt dự toán"</formula>
    </cfRule>
  </conditionalFormatting>
  <conditionalFormatting sqref="N93:N95">
    <cfRule type="cellIs" dxfId="6" priority="11" operator="equal">
      <formula>"vượt dự toán"</formula>
    </cfRule>
  </conditionalFormatting>
  <conditionalFormatting sqref="N115:N120">
    <cfRule type="cellIs" dxfId="5" priority="12" operator="equal">
      <formula>"vượt dự toán"</formula>
    </cfRule>
  </conditionalFormatting>
  <conditionalFormatting sqref="N122:N127">
    <cfRule type="cellIs" dxfId="4" priority="13" operator="equal">
      <formula>"vượt dự toán"</formula>
    </cfRule>
  </conditionalFormatting>
  <conditionalFormatting sqref="N129:N134">
    <cfRule type="cellIs" dxfId="3" priority="14" operator="equal">
      <formula>"vượt dự toán"</formula>
    </cfRule>
  </conditionalFormatting>
  <conditionalFormatting sqref="N136:N141">
    <cfRule type="cellIs" dxfId="2" priority="16" operator="equal">
      <formula>"vượt dự toán"</formula>
    </cfRule>
  </conditionalFormatting>
  <conditionalFormatting sqref="N143:N148">
    <cfRule type="cellIs" dxfId="1" priority="4" operator="equal">
      <formula>"vượt dự toán"</formula>
    </cfRule>
  </conditionalFormatting>
  <conditionalFormatting sqref="N150:N155">
    <cfRule type="cellIs" dxfId="0" priority="3" operator="equal">
      <formula>"vượt dự toán"</formula>
    </cfRule>
  </conditionalFormatting>
  <pageMargins left="0.7" right="0.7" top="0.75" bottom="0.75" header="0.3" footer="0.3"/>
  <pageSetup paperSize="9" scale="31" orientation="portrait" r:id="rId1"/>
  <rowBreaks count="1" manualBreakCount="1">
    <brk id="57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Sub contractor</vt:lpstr>
      <vt:lpstr>Tontai Vuongmac va Phuong an</vt:lpstr>
      <vt:lpstr>Purchase</vt:lpstr>
      <vt:lpstr>Purchase!Print_Area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Ibssg2</dc:creator>
  <cp:lastModifiedBy>Chu Đức</cp:lastModifiedBy>
  <dcterms:created xsi:type="dcterms:W3CDTF">2025-02-20T09:09:00Z</dcterms:created>
  <dcterms:modified xsi:type="dcterms:W3CDTF">2026-03-05T06:56:23Z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89AE67899D444A77BD19D21A85519F29_12</vt:lpwstr>
  </property>
  <property fmtid="{D5CDD505-2E9C-101B-9397-08002B2CF9AE}" pid="3" name="KSOProductBuildVer">
    <vt:lpwstr>1033-12.2.0.19805</vt:lpwstr>
  </property>
</Properties>
</file>