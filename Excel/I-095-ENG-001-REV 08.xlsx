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mc:AlternateContent xmlns:mc="http://schemas.openxmlformats.org/markup-compatibility/2006">
    <mc:Choice Requires="x15">
      <x15ac:absPath xmlns:x15ac="http://schemas.microsoft.com/office/spreadsheetml/2010/11/ac" url="/Users/trinhhuuhung/Desktop/IBSHI/01 IBSHI THƯƠNG MẠI/IBSHI THƯƠNG MẠI CÔNG NGHỆ/VẬT TƯ/Excel/"/>
    </mc:Choice>
  </mc:AlternateContent>
  <xr:revisionPtr revIDLastSave="0" documentId="13_ncr:1_{EE1BFC21-3D5B-4442-B1E5-CF5B60CB5E34}" xr6:coauthVersionLast="47" xr6:coauthVersionMax="47" xr10:uidLastSave="{00000000-0000-0000-0000-000000000000}"/>
  <bookViews>
    <workbookView xWindow="-120" yWindow="660" windowWidth="29040" windowHeight="15840" tabRatio="860" xr2:uid="{00000000-000D-0000-FFFF-FFFF00000000}"/>
  </bookViews>
  <sheets>
    <sheet name="PR" sheetId="28" r:id="rId1"/>
    <sheet name="I95-VTC01-007-PL6" sheetId="12" r:id="rId2"/>
    <sheet name="pl10-inlet" sheetId="13" state="hidden" r:id="rId3"/>
    <sheet name="I95-VTC01-050-PL10" sheetId="18" r:id="rId4"/>
    <sheet name="MESH 40" sheetId="26" r:id="rId5"/>
    <sheet name="stud" sheetId="25" state="hidden" r:id="rId6"/>
    <sheet name="CHIA TON PL6" sheetId="10" state="hidden" r:id="rId7"/>
    <sheet name="CHIA TON PL10" sheetId="23" state="hidden" r:id="rId8"/>
    <sheet name="VT ƯU TIÊN" sheetId="9" state="hidden" r:id="rId9"/>
  </sheets>
  <externalReferences>
    <externalReference r:id="rId10"/>
    <externalReference r:id="rId11"/>
  </externalReferences>
  <definedNames>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hidden="1">{"'Sheet1'!$L$16"}</definedName>
    <definedName name="________________Lan1" hidden="1">{"'Sheet1'!$L$16"}</definedName>
    <definedName name="________________LAN3" hidden="1">{"'Sheet1'!$L$16"}</definedName>
    <definedName name="______________PA3" hidden="1">{"'Sheet1'!$L$16"}</definedName>
    <definedName name="___________TM2" hidden="1">{"'Sheet1'!$L$16"}</definedName>
    <definedName name="___________tt3" hidden="1">{"'Sheet1'!$L$16"}</definedName>
    <definedName name="_________Goi8" hidden="1">{"'Sheet1'!$L$16"}</definedName>
    <definedName name="_________Lan1"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Goi8" hidden="1">{"'Sheet1'!$L$16"}</definedName>
    <definedName name="________hu1" hidden="1">{"'Sheet1'!$L$16"}</definedName>
    <definedName name="________hu2" hidden="1">{"'Sheet1'!$L$16"}</definedName>
    <definedName name="________hu5" hidden="1">{"'Sheet1'!$L$16"}</definedName>
    <definedName name="________hu6" hidden="1">{"'Sheet1'!$L$16"}</definedName>
    <definedName name="________Lan1" hidden="1">{"'Sheet1'!$L$16"}</definedName>
    <definedName name="________LAN3" hidden="1">{"'Sheet1'!$L$16"}</definedName>
    <definedName name="________TM2" hidden="1">{"'Sheet1'!$L$16"}</definedName>
    <definedName name="________tt3"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h1" hidden="1">{"'Sheet1'!$L$16"}</definedName>
    <definedName name="_______LAN3" hidden="1">{"'Sheet1'!$L$16"}</definedName>
    <definedName name="_______TM2" hidden="1">{"'Sheet1'!$L$16"}</definedName>
    <definedName name="_______tt3"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hidden="1">{"'Sheet1'!$L$16"}</definedName>
    <definedName name="______CP31" hidden="1">{"'Sheet1'!$L$16"}</definedName>
    <definedName name="______Goi8" hidden="1">{"'Sheet1'!$L$16"}</definedName>
    <definedName name="______Lan1" hidden="1">{"'Sheet1'!$L$16"}</definedName>
    <definedName name="______LAN3" hidden="1">{"'Sheet1'!$L$16"}</definedName>
    <definedName name="______NCN15" hidden="1">{"'Sheet1'!$L$16"}</definedName>
    <definedName name="______PA3" hidden="1">{"'Sheet1'!$L$16"}</definedName>
    <definedName name="______TH20004"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m2" hidden="1">{"'Sheet1'!$L$16"}</definedName>
    <definedName name="_____CP31" hidden="1">{"'Sheet1'!$L$16"}</definedName>
    <definedName name="_____d1500" hidden="1">{"'Sheet1'!$L$16"}</definedName>
    <definedName name="_____Goi8" hidden="1">{"'Sheet1'!$L$16"}</definedName>
    <definedName name="_____KM130" hidden="1">{"'Sheet1'!$L$16"}</definedName>
    <definedName name="_____Lan1" hidden="1">{"'Sheet1'!$L$16"}</definedName>
    <definedName name="_____LAN3" hidden="1">{"'Sheet1'!$L$16"}</definedName>
    <definedName name="_____PA3" hidden="1">{"'Sheet1'!$L$16"}</definedName>
    <definedName name="_____TH20004" hidden="1">{"'Sheet1'!$L$16"}</definedName>
    <definedName name="_____TM2" hidden="1">{"'Sheet1'!$L$16"}</definedName>
    <definedName name="_____tt3"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Goi8" hidden="1">{"'Sheet1'!$L$16"}</definedName>
    <definedName name="____hu1" hidden="1">{"'Sheet1'!$L$16"}</definedName>
    <definedName name="____hu2" hidden="1">{"'Sheet1'!$L$16"}</definedName>
    <definedName name="____hu5" hidden="1">{"'Sheet1'!$L$16"}</definedName>
    <definedName name="____hu6" hidden="1">{"'Sheet1'!$L$16"}</definedName>
    <definedName name="____Lan1" hidden="1">{"'Sheet1'!$L$16"}</definedName>
    <definedName name="____LAN3" hidden="1">{"'Sheet1'!$L$16"}</definedName>
    <definedName name="____NCN15" hidden="1">{"'Sheet1'!$L$16"}</definedName>
    <definedName name="____PA3" hidden="1">{"'Sheet1'!$L$16"}</definedName>
    <definedName name="____TM2" hidden="1">{"'Sheet1'!$L$16"}</definedName>
    <definedName name="____tt3" hidden="1">{"'Sheet1'!$L$16"}</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Goi8" hidden="1">{"'Sheet1'!$L$16"}</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___Lan1" hidden="1">{"'Sheet1'!$L$16"}</definedName>
    <definedName name="___LAN3" hidden="1">{"'Sheet1'!$L$16"}</definedName>
    <definedName name="___NCN15" hidden="1">{"'Sheet1'!$L$16"}</definedName>
    <definedName name="___PA3" hidden="1">{"'Sheet1'!$L$16"}</definedName>
    <definedName name="___SCL4" hidden="1">{"'Sheet1'!$L$16"}</definedName>
    <definedName name="___TM2" hidden="1">{"'Sheet1'!$L$16"}</definedName>
    <definedName name="___tt3"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8" hidden="1">{"'Sheet1'!$L$16"}</definedName>
    <definedName name="__a9" hidden="1">{"'Sheet1'!$L$16"}</definedName>
    <definedName name="__Goi8" hidden="1">{"'Sheet1'!$L$16"}</definedName>
    <definedName name="__h1"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KL3" hidden="1">{"'Sheet1'!$L$16"}</definedName>
    <definedName name="__Lan1" hidden="1">{"'Sheet1'!$L$16"}</definedName>
    <definedName name="__LAN3" hidden="1">{"'Sheet1'!$L$16"}</definedName>
    <definedName name="__NCN15" hidden="1">{"'Sheet1'!$L$16"}</definedName>
    <definedName name="__NK5" hidden="1">{"'Sheet1'!$L$16"}</definedName>
    <definedName name="__PA3" hidden="1">{"'Sheet1'!$L$16"}</definedName>
    <definedName name="__QLO7" hidden="1">#REF!</definedName>
    <definedName name="__T10" hidden="1">{"'Sheet1'!$L$16"}</definedName>
    <definedName name="__tb2" hidden="1">{"'Sheet1'!$L$16"}</definedName>
    <definedName name="__td1" hidden="1">{"'Sheet1'!$L$16"}</definedName>
    <definedName name="__TM2" hidden="1">{"'Sheet1'!$L$16"}</definedName>
    <definedName name="__tt3" hidden="1">{"'Sheet1'!$L$16"}</definedName>
    <definedName name="_a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hidden="1">{"'Sheet1'!$L$16"}</definedName>
    <definedName name="_A8" hidden="1">{"'Sheet1'!$L$16"}</definedName>
    <definedName name="_a9" hidden="1">{"'Sheet1'!$L$16"}</definedName>
    <definedName name="_Builtin155" hidden="1">#N/A</definedName>
    <definedName name="_Coc39" hidden="1">{"'Sheet1'!$L$16"}</definedName>
    <definedName name="_d1500" hidden="1">{"'Sheet1'!$L$16"}</definedName>
    <definedName name="_Fill" hidden="1">#REF!</definedName>
    <definedName name="_xlnm._FilterDatabase" localSheetId="0" hidden="1">PR!$A$11:$BS$261</definedName>
    <definedName name="_xlnm._FilterDatabase" localSheetId="8" hidden="1">'VT ƯU TIÊN'!$A$1:$E$38</definedName>
    <definedName name="_Goi8" hidden="1">{"'Sheet1'!$L$16"}</definedName>
    <definedName name="_h1"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Key1" hidden="1">#REF!</definedName>
    <definedName name="_Key2" hidden="1">#REF!</definedName>
    <definedName name="_KM130" hidden="1">{"'Sheet1'!$L$16"}</definedName>
    <definedName name="_Lan1" hidden="1">{"'Sheet1'!$L$16"}</definedName>
    <definedName name="_LAN3" hidden="1">{"'Sheet1'!$L$16"}</definedName>
    <definedName name="_ld2" hidden="1">{"'Sheet1'!$L$16"}</definedName>
    <definedName name="_lk2" hidden="1">{"'Sheet1'!$L$16"}</definedName>
    <definedName name="_NCN15" hidden="1">{"'Sheet1'!$L$16"}</definedName>
    <definedName name="_NK5" hidden="1">{"'Sheet1'!$L$16"}</definedName>
    <definedName name="_Order1" hidden="1">255</definedName>
    <definedName name="_Order2" hidden="1">255</definedName>
    <definedName name="_PA3" hidden="1">{"'Sheet1'!$L$16"}</definedName>
    <definedName name="_Parse_Out" hidden="1">[1]Quantity!#REF!</definedName>
    <definedName name="_QLO7" hidden="1">#REF!</definedName>
    <definedName name="_SCL4" hidden="1">{"'Sheet1'!$L$16"}</definedName>
    <definedName name="_Sort" hidden="1">#REF!</definedName>
    <definedName name="_Sortmoi" hidden="1">#REF!</definedName>
    <definedName name="_T10" hidden="1">{"'Sheet1'!$L$16"}</definedName>
    <definedName name="_tb2" hidden="1">{"'Sheet1'!$L$16"}</definedName>
    <definedName name="_td1" hidden="1">{"'Sheet1'!$L$16"}</definedName>
    <definedName name="_TM2" hidden="1">{"'Sheet1'!$L$16"}</definedName>
    <definedName name="_tt3" hidden="1">{"'Sheet1'!$L$16"}</definedName>
    <definedName name="â" hidden="1">{"'Sheet1'!$L$16"}</definedName>
    <definedName name="a1moi" hidden="1">{"'Sheet1'!$L$16"}</definedName>
    <definedName name="afasfsagfas" hidden="1">{#N/A,#N/A,FALSE,"Chi tiÆt"}</definedName>
    <definedName name="amoi" hidden="1">{"'Sheet1'!$L$16"}</definedName>
    <definedName name="anscount" hidden="1">1</definedName>
    <definedName name="Antoan" hidden="1">{"'Sheet1'!$L$16"}</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ffgggh" hidden="1">{"'Sheet1'!$L$16"}</definedName>
    <definedName name="asf" hidden="1">{"'Sheet1'!$L$16"}</definedName>
    <definedName name="ATGT" hidden="1">{"'Sheet1'!$L$16"}</definedName>
    <definedName name="banQL" hidden="1">{"'Sheet1'!$L$16"}</definedName>
    <definedName name="BCHC1" hidden="1">{"'Sheet1'!$L$16"}</definedName>
    <definedName name="BG_Del" hidden="1">15</definedName>
    <definedName name="BG_Ins" hidden="1">4</definedName>
    <definedName name="BG_Mod" hidden="1">6</definedName>
    <definedName name="BTH" hidden="1">{"'Sheet1'!$L$16"}</definedName>
    <definedName name="btl" hidden="1">{"'Sheet1'!$L$16"}</definedName>
    <definedName name="c.BaMuoi" hidden="1">{"'Sheet1'!$L$16"}</definedName>
    <definedName name="C.MocTom" hidden="1">{"'Sheet1'!$L$16"}</definedName>
    <definedName name="chietchai2" hidden="1">{"'Sheet1'!$L$16"}</definedName>
    <definedName name="chitietbgiang2" hidden="1">{"'Sheet1'!$L$16"}</definedName>
    <definedName name="chl" hidden="1">{"'Sheet1'!$L$16"}</definedName>
    <definedName name="chuyen" hidden="1">{"'Sheet1'!$L$16"}</definedName>
    <definedName name="Coc_60" hidden="1">{"'Sheet1'!$L$16"}</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290" hidden="1">#REF!</definedName>
    <definedName name="CPM" hidden="1">{#N/A,#N/A,FALSE,"Chi tiÆt"}</definedName>
    <definedName name="ctbbt" hidden="1">{"'Sheet1'!$L$16"}</definedName>
    <definedName name="CTCT1" hidden="1">{"'Sheet1'!$L$16"}</definedName>
    <definedName name="CTGS" hidden="1">{"'Sheet1'!$L$16"}</definedName>
    <definedName name="ctieu" hidden="1">{"'Sheet1'!$L$16"}</definedName>
    <definedName name="cung" hidden="1">{"'Sheet1'!$L$16"}</definedName>
    <definedName name="data1" hidden="1">#REF!</definedName>
    <definedName name="data2" hidden="1">#REF!</definedName>
    <definedName name="data3" hidden="1">#REF!</definedName>
    <definedName name="dfh" hidden="1">{"'Sheet1'!$L$16"}</definedName>
    <definedName name="DFSDF" hidden="1">{"'Sheet1'!$L$16"}</definedName>
    <definedName name="dfsfsd" hidden="1">{"'Sheet1'!$L$16"}</definedName>
    <definedName name="diengiai" hidden="1">{"'Sheet1'!$L$16"}</definedName>
    <definedName name="direct1" hidden="1">#REF!</definedName>
    <definedName name="Discount" hidden="1">#REF!</definedName>
    <definedName name="display_area_2" hidden="1">#REF!</definedName>
    <definedName name="dj" hidden="1">{"'Sheet1'!$L$16"}</definedName>
    <definedName name="dthft" hidden="1">{"'Sheet1'!$L$16"}</definedName>
    <definedName name="DTTVGM163" hidden="1">{"'Sheet1'!$L$16"}</definedName>
    <definedName name="Du" hidden="1">#REF!</definedName>
    <definedName name="Duongnaco" hidden="1">{"'Sheet1'!$L$16"}</definedName>
    <definedName name="DWPRICE" hidden="1">[2]Quantity!#REF!</definedName>
    <definedName name="Dy" hidden="1">#REF!</definedName>
    <definedName name="e" hidden="1">{"'Sheet1'!$L$16"}</definedName>
    <definedName name="egsf" hidden="1">{"'Sheet1'!$L$16"}</definedName>
    <definedName name="fáaafafaf" hidden="1">{"'Sheet1'!$L$16"}</definedName>
    <definedName name="fasfaga" hidden="1">{"'Sheet1'!$L$16"}</definedName>
    <definedName name="FCode" hidden="1">#REF!</definedName>
    <definedName name="fdfsf" hidden="1">{#N/A,#N/A,FALSE,"Chi tiÆt"}</definedName>
    <definedName name="fdg" hidden="1">{"'Sheet1'!$L$16"}</definedName>
    <definedName name="fdgfg" hidden="1">{"'Sheet1'!$L$16"}</definedName>
    <definedName name="fdsfsdfd" hidden="1">{"'Sheet1'!$L$16"}</definedName>
    <definedName name="ff" hidden="1">{"'Sheet1'!$L$16"}</definedName>
    <definedName name="ffas" hidden="1">{"'Sheet1'!$L$16"}</definedName>
    <definedName name="fffffffffffffff" hidden="1">{"'Sheet1'!$L$16"}</definedName>
    <definedName name="fsdfdsf" hidden="1">{"'Sheet1'!$L$16"}</definedName>
    <definedName name="ft" hidden="1">{"'Sheet1'!$L$16"}</definedName>
    <definedName name="gdfgdfgdf" hidden="1">{"'Sheet1'!$L$16"}</definedName>
    <definedName name="ggg" hidden="1">{"'Sheet1'!$L$16"}</definedName>
    <definedName name="gggg" hidden="1">{"'Sheet1'!$L$16"}</definedName>
    <definedName name="ggsf" hidden="1">#REF!</definedName>
    <definedName name="ghj" hidden="1">{"'Sheet1'!$L$16"}</definedName>
    <definedName name="GTOTAL" hidden="1">{"'Sheet1'!$L$16"}</definedName>
    <definedName name="h" hidden="1">{"'Sheet1'!$L$16"}</definedName>
    <definedName name="haq" hidden="1">{"'Sheet1'!$L$16"}</definedName>
    <definedName name="HCNA" hidden="1">{"'Sheet1'!$L$16"}</definedName>
    <definedName name="hethongthoatnuocngoainha" hidden="1">#REF!</definedName>
    <definedName name="HiddenRows" hidden="1">#REF!</definedName>
    <definedName name="hoa" hidden="1">{"'Sheet1'!$L$16"}</definedName>
    <definedName name="htlm" hidden="1">{"'Sheet1'!$L$16"}</definedName>
    <definedName name="HTML_CodePage" hidden="1">950</definedName>
    <definedName name="HTML_Control"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moi" hidden="1">{"'Sheet1'!$L$16"}</definedName>
    <definedName name="hu" hidden="1">{"'Sheet1'!$L$16"}</definedName>
    <definedName name="hui" hidden="1">{"'Sheet1'!$L$16"}</definedName>
    <definedName name="huy" hidden="1">{"'Sheet1'!$L$16"}</definedName>
    <definedName name="huy1moi" hidden="1">{"'Sheet1'!$L$16"}</definedName>
    <definedName name="huymoi" hidden="1">{"'Sheet1'!$L$16"}</definedName>
    <definedName name="Ìag" hidden="1">{"'Sheet1'!$L$16"}</definedName>
    <definedName name="INDIRECT_COST" hidden="1">#REF!</definedName>
    <definedName name="jkjk" hidden="1">{"'Sheet1'!$L$16"}</definedName>
    <definedName name="k" hidden="1">{"Offgrid",#N/A,FALSE,"OFFGRID";"Region",#N/A,FALSE,"REGION";"Offgrid -2",#N/A,FALSE,"OFFGRID";"WTP",#N/A,FALSE,"WTP";"WTP -2",#N/A,FALSE,"WTP";"Project",#N/A,FALSE,"PROJECT";"Summary -2",#N/A,FALSE,"SUMMARY"}</definedName>
    <definedName name="khongtruotgia" hidden="1">{"'Sheet1'!$L$16"}</definedName>
    <definedName name="kkkk" hidden="1">{"'Sheet1'!$L$16"}</definedName>
    <definedName name="KLduonggiaods" hidden="1">{"'Sheet1'!$L$16"}</definedName>
    <definedName name="ksbn" hidden="1">{"'Sheet1'!$L$16"}</definedName>
    <definedName name="KSDA" hidden="1">{"'Sheet1'!$L$16"}</definedName>
    <definedName name="kshn" hidden="1">{"'Sheet1'!$L$16"}</definedName>
    <definedName name="ksls" hidden="1">{"'Sheet1'!$L$16"}</definedName>
    <definedName name="lam" hidden="1">{"'Sheet1'!$L$16"}</definedName>
    <definedName name="langson" hidden="1">{"'Sheet1'!$L$16"}</definedName>
    <definedName name="mo" hidden="1">{"'Sheet1'!$L$16"}</definedName>
    <definedName name="moi" hidden="1">{"'Sheet1'!$L$16"}</definedName>
    <definedName name="nam" hidden="1">{"'Sheet1'!$L$16"}</definedName>
    <definedName name="Ne" hidden="1">{"'Sheet1'!$L$16"}</definedName>
    <definedName name="ngu" hidden="1">{"'Sheet1'!$L$16"}</definedName>
    <definedName name="nhappppppppp" hidden="1">{"'Sheet1'!$L$16"}</definedName>
    <definedName name="nnn" hidden="1">{"'Sheet1'!$L$16"}</definedName>
    <definedName name="NUOCHKHOAN" hidden="1">{"'Sheet1'!$L$16"}</definedName>
    <definedName name="NUOCHKHOANMOI" hidden="1">{"'Sheet1'!$L$16"}</definedName>
    <definedName name="OrderTable" hidden="1">#REF!</definedName>
    <definedName name="PAIII_" hidden="1">{"'Sheet1'!$L$16"}</definedName>
    <definedName name="phanchia" hidden="1">{#N/A,#N/A,FALSE,"Chi tiÆt"}</definedName>
    <definedName name="phongve12KmTN" hidden="1">{"'Sheet1'!$L$16"}</definedName>
    <definedName name="phongve12KmTN1" hidden="1">{"'Sheet1'!$L$16"}</definedName>
    <definedName name="PlucBcaoTD" hidden="1">{"'Sheet1'!$L$16"}</definedName>
    <definedName name="PMS" hidden="1">{"'Sheet1'!$L$16"}</definedName>
    <definedName name="_xlnm.Print_Area" localSheetId="0">PR!$A$1:$AE$277</definedName>
    <definedName name="_xlnm.Print_Titles" localSheetId="0">PR!$9:$10</definedName>
    <definedName name="ProdForm" hidden="1">#REF!</definedName>
    <definedName name="Product" hidden="1">#REF!</definedName>
    <definedName name="ptvtgiam" hidden="1">{"'Sheet1'!$L$16"}</definedName>
    <definedName name="q" hidden="1">{"'Sheet1'!$L$16"}</definedName>
    <definedName name="quan" hidden="1">{"'Sheet1'!$L$16"}</definedName>
    <definedName name="Ranhxay" hidden="1">{"'Sheet1'!$L$16"}</definedName>
    <definedName name="RCArea" hidden="1">#REF!</definedName>
    <definedName name="Result21" hidden="1">{"'Sheet1'!$L$16"}</definedName>
    <definedName name="rgdf" hidden="1">{"'Sheet1'!$L$16"}</definedName>
    <definedName name="RPLA" hidden="1">{"'Sheet1'!$L$16"}</definedName>
    <definedName name="sas" hidden="1">{"'Sheet1'!$L$16"}</definedName>
    <definedName name="sdcsd" hidden="1">{"'Sheet1'!$L$16"}</definedName>
    <definedName name="sdf" hidden="1">{"'Sheet1'!$L$16"}</definedName>
    <definedName name="sdfsdfsd" hidden="1">{"'Sheet1'!$L$16"}</definedName>
    <definedName name="sdfsf" hidden="1">{"'Sheet1'!$L$16"}</definedName>
    <definedName name="sencount" hidden="1">1</definedName>
    <definedName name="sfsd" hidden="1">{"'Sheet1'!$L$16"}</definedName>
    <definedName name="SITE_EXPENSE" hidden="1">#REF!</definedName>
    <definedName name="Sosanh2" hidden="1">{"'Sheet1'!$L$16"}</definedName>
    <definedName name="SpecialPrice" hidden="1">#REF!</definedName>
    <definedName name="T.3" hidden="1">{"'Sheet1'!$L$16"}</definedName>
    <definedName name="TamdanTB" hidden="1">{"'Sheet1'!$L$16"}</definedName>
    <definedName name="tbao" hidden="1">{"'Sheet1'!$L$16"}</definedName>
    <definedName name="tbl_ProdInfo" hidden="1">#REF!</definedName>
    <definedName name="tem" hidden="1">{"'Sheet1'!$L$16"}</definedName>
    <definedName name="tha" hidden="1">{"'Sheet1'!$L$16"}</definedName>
    <definedName name="Thang1" hidden="1">{"'Sheet1'!$L$16"}</definedName>
    <definedName name="thang10" hidden="1">{"'Sheet1'!$L$16"}</definedName>
    <definedName name="thanh" hidden="1">{"'Sheet1'!$L$16"}</definedName>
    <definedName name="thao" hidden="1">{"'Sheet1'!$L$16"}</definedName>
    <definedName name="THKP7YT" hidden="1">{"'Sheet1'!$L$16"}</definedName>
    <definedName name="thu" hidden="1">{"'Sheet1'!$L$16"}</definedName>
    <definedName name="thuy" hidden="1">{"'Sheet1'!$L$16"}</definedName>
    <definedName name="thvlmoi" hidden="1">{"'Sheet1'!$L$16"}</definedName>
    <definedName name="thvlmoimoi" hidden="1">{"'Sheet1'!$L$16"}</definedName>
    <definedName name="tuyennhanh" hidden="1">{"'Sheet1'!$L$16"}</definedName>
    <definedName name="Ud" hidden="1">#REF!</definedName>
    <definedName name="UNIT" hidden="1">#REF!</definedName>
    <definedName name="Uy" hidden="1">#REF!</definedName>
    <definedName name="VATM" hidden="1">{"'Sheet1'!$L$16"}</definedName>
    <definedName name="vcoto" hidden="1">{"'Sheet1'!$L$16"}</definedName>
    <definedName name="Viet" hidden="1">{"'Sheet1'!$L$16"}</definedName>
    <definedName name="vlct" hidden="1">{"'Sheet1'!$L$16"}</definedName>
    <definedName name="wrn.aaa." hidden="1">{#N/A,#N/A,FALSE,"Sheet1";#N/A,#N/A,FALSE,"Sheet1";#N/A,#N/A,FALSE,"Sheet1"}</definedName>
    <definedName name="wrn.chi._.tiÆt." hidden="1">{#N/A,#N/A,FALSE,"Chi tiÆt"}</definedName>
    <definedName name="wrn.cong." hidden="1">{#N/A,#N/A,FALSE,"Sheet1"}</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xlttbninh" hidden="1">{"'Sheet1'!$L$16"}</definedName>
    <definedName name="xvxcvxc" hidden="1">{"'Sheet1'!$L$16"}</definedName>
    <definedName name="Yd" hidden="1">#REF!</definedName>
    <definedName name="yttuki" hidden="1">{"'Sheet1'!$L$16"}</definedName>
    <definedName name="Yu" hidden="1">#REF!</definedName>
    <definedName name="Z_B6D82DE0_6701_11DA_9820_00304F1E4471_.wvu.Cols" hidden="1">#REF!</definedName>
    <definedName name="ZXzX" hidden="1">{"'Sheet1'!$L$16"}</definedName>
    <definedName name="ZZ" hidden="1">{"'Sheet1'!$L$16"}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P220" i="28" l="1"/>
  <c r="BQ220" i="28" s="1"/>
  <c r="BP221" i="28"/>
  <c r="BQ221" i="28" s="1"/>
  <c r="BP222" i="28"/>
  <c r="BQ222" i="28" s="1"/>
  <c r="AB126" i="28"/>
  <c r="AD126" i="28" s="1"/>
  <c r="AC126" i="28"/>
  <c r="G126" i="28"/>
  <c r="H126" i="28"/>
  <c r="AC220" i="28"/>
  <c r="AD220" i="28"/>
  <c r="AC221" i="28"/>
  <c r="AD221" i="28"/>
  <c r="AC222" i="28"/>
  <c r="AD222" i="28"/>
  <c r="AD171" i="28"/>
  <c r="AD172" i="28"/>
  <c r="AD173" i="28"/>
  <c r="AD174" i="28"/>
  <c r="AD175" i="28"/>
  <c r="AD176" i="28"/>
  <c r="AD177" i="28"/>
  <c r="AD178" i="28"/>
  <c r="AD179" i="28"/>
  <c r="AD180" i="28"/>
  <c r="AD181" i="28"/>
  <c r="AD182" i="28"/>
  <c r="AD183" i="28"/>
  <c r="AD184" i="28"/>
  <c r="AD185" i="28"/>
  <c r="AD186" i="28"/>
  <c r="AD187" i="28"/>
  <c r="AD188" i="28"/>
  <c r="AD189" i="28"/>
  <c r="AD190" i="28"/>
  <c r="AD191" i="28"/>
  <c r="AD192" i="28"/>
  <c r="AD193" i="28"/>
  <c r="AD194" i="28"/>
  <c r="AD195" i="28"/>
  <c r="AD196" i="28"/>
  <c r="AD197" i="28"/>
  <c r="AD198" i="28"/>
  <c r="AD199" i="28"/>
  <c r="AD200" i="28"/>
  <c r="AD201" i="28"/>
  <c r="AD202" i="28"/>
  <c r="AD203" i="28"/>
  <c r="AD204" i="28"/>
  <c r="AD205" i="28"/>
  <c r="AD206" i="28"/>
  <c r="AD207" i="28"/>
  <c r="AD208" i="28"/>
  <c r="AD209" i="28"/>
  <c r="AD210" i="28"/>
  <c r="AD211" i="28"/>
  <c r="AD212" i="28"/>
  <c r="AD213" i="28"/>
  <c r="AD214" i="28"/>
  <c r="AD215" i="28"/>
  <c r="AD216" i="28"/>
  <c r="AD217" i="28"/>
  <c r="AD218" i="28"/>
  <c r="AD219" i="28"/>
  <c r="AB170" i="28"/>
  <c r="H170" i="28"/>
  <c r="AD128" i="28"/>
  <c r="AD129" i="28"/>
  <c r="AB130" i="28"/>
  <c r="AD130" i="28" s="1"/>
  <c r="AD131" i="28"/>
  <c r="AB132" i="28"/>
  <c r="AD132" i="28" s="1"/>
  <c r="AD133" i="28"/>
  <c r="AB134" i="28"/>
  <c r="AD134" i="28" s="1"/>
  <c r="AB135" i="28"/>
  <c r="AD135" i="28" s="1"/>
  <c r="AD136" i="28"/>
  <c r="AD137" i="28"/>
  <c r="AB138" i="28"/>
  <c r="AD138" i="28" s="1"/>
  <c r="AB139" i="28"/>
  <c r="AD139" i="28" s="1"/>
  <c r="AB140" i="28"/>
  <c r="AD140" i="28" s="1"/>
  <c r="AB141" i="28"/>
  <c r="AD141" i="28" s="1"/>
  <c r="AB142" i="28"/>
  <c r="AD142" i="28" s="1"/>
  <c r="AB143" i="28"/>
  <c r="AD143" i="28" s="1"/>
  <c r="AB144" i="28"/>
  <c r="AD144" i="28" s="1"/>
  <c r="AD145" i="28"/>
  <c r="AD146" i="28"/>
  <c r="AD147" i="28"/>
  <c r="AB148" i="28"/>
  <c r="AD148" i="28" s="1"/>
  <c r="AD149" i="28"/>
  <c r="F150" i="28"/>
  <c r="AB150" i="28"/>
  <c r="AD150" i="28" s="1"/>
  <c r="AD151" i="28"/>
  <c r="AD152" i="28"/>
  <c r="AB153" i="28"/>
  <c r="AD153" i="28" s="1"/>
  <c r="AB154" i="28"/>
  <c r="AD154" i="28" s="1"/>
  <c r="AB155" i="28"/>
  <c r="AD155" i="28" s="1"/>
  <c r="AD156" i="28"/>
  <c r="AB157" i="28"/>
  <c r="AD157" i="28" s="1"/>
  <c r="AD158" i="28"/>
  <c r="AD159" i="28"/>
  <c r="AD160" i="28"/>
  <c r="AD161" i="28"/>
  <c r="AD162" i="28"/>
  <c r="AD163" i="28"/>
  <c r="AD164" i="28"/>
  <c r="AB165" i="28"/>
  <c r="AD165" i="28" s="1"/>
  <c r="F166" i="28"/>
  <c r="AB166" i="28"/>
  <c r="AD166" i="28" s="1"/>
  <c r="H149" i="28"/>
  <c r="H127" i="28"/>
  <c r="AB13" i="28"/>
  <c r="AD13" i="28" s="1"/>
  <c r="AD14" i="28"/>
  <c r="AD15" i="28"/>
  <c r="AB16" i="28"/>
  <c r="AD16" i="28" s="1"/>
  <c r="AD17" i="28"/>
  <c r="AB18" i="28"/>
  <c r="AD18" i="28" s="1"/>
  <c r="AB19" i="28"/>
  <c r="AD19" i="28" s="1"/>
  <c r="AB20" i="28"/>
  <c r="AD20" i="28" s="1"/>
  <c r="AB21" i="28"/>
  <c r="AD21" i="28" s="1"/>
  <c r="AB22" i="28"/>
  <c r="AD22" i="28" s="1"/>
  <c r="AD23" i="28"/>
  <c r="AD24" i="28"/>
  <c r="AD25" i="28"/>
  <c r="AD26" i="28"/>
  <c r="AD27" i="28"/>
  <c r="AD28" i="28"/>
  <c r="AB29" i="28"/>
  <c r="AD29" i="28" s="1"/>
  <c r="AB30" i="28"/>
  <c r="AD30" i="28" s="1"/>
  <c r="AD31" i="28"/>
  <c r="AB32" i="28"/>
  <c r="AD32" i="28" s="1"/>
  <c r="AB33" i="28"/>
  <c r="AD33" i="28" s="1"/>
  <c r="AB34" i="28"/>
  <c r="AD34" i="28" s="1"/>
  <c r="AD35" i="28"/>
  <c r="AB36" i="28"/>
  <c r="AD36" i="28" s="1"/>
  <c r="AB37" i="28"/>
  <c r="AD37" i="28" s="1"/>
  <c r="AD38" i="28"/>
  <c r="AD39" i="28"/>
  <c r="AD40" i="28"/>
  <c r="AB41" i="28"/>
  <c r="AD41" i="28" s="1"/>
  <c r="AB42" i="28"/>
  <c r="AD42" i="28" s="1"/>
  <c r="AB43" i="28"/>
  <c r="AD43" i="28" s="1"/>
  <c r="AD44" i="28"/>
  <c r="AB45" i="28"/>
  <c r="AD45" i="28" s="1"/>
  <c r="AB46" i="28"/>
  <c r="AD46" i="28" s="1"/>
  <c r="AD47" i="28"/>
  <c r="AB48" i="28"/>
  <c r="AD48" i="28" s="1"/>
  <c r="AD49" i="28"/>
  <c r="AD50" i="28"/>
  <c r="AD51" i="28"/>
  <c r="AD52" i="28"/>
  <c r="AD53" i="28"/>
  <c r="AD54" i="28"/>
  <c r="AD55" i="28"/>
  <c r="AD56" i="28"/>
  <c r="AD57" i="28"/>
  <c r="AD58" i="28"/>
  <c r="AB59" i="28"/>
  <c r="AD59" i="28" s="1"/>
  <c r="AB60" i="28"/>
  <c r="AD60" i="28" s="1"/>
  <c r="AD61" i="28"/>
  <c r="AD62" i="28"/>
  <c r="AB63" i="28"/>
  <c r="AD63" i="28" s="1"/>
  <c r="AB64" i="28"/>
  <c r="AD64" i="28" s="1"/>
  <c r="AB65" i="28"/>
  <c r="AD65" i="28" s="1"/>
  <c r="AB66" i="28"/>
  <c r="AD66" i="28" s="1"/>
  <c r="AB67" i="28"/>
  <c r="AD67" i="28" s="1"/>
  <c r="AB68" i="28"/>
  <c r="AD68" i="28" s="1"/>
  <c r="AD69" i="28"/>
  <c r="AD70" i="28"/>
  <c r="AD71" i="28"/>
  <c r="AD72" i="28"/>
  <c r="AB73" i="28"/>
  <c r="AD73" i="28" s="1"/>
  <c r="AD74" i="28"/>
  <c r="AD75" i="28"/>
  <c r="AD76" i="28"/>
  <c r="AD77" i="28"/>
  <c r="AB78" i="28"/>
  <c r="AD78" i="28" s="1"/>
  <c r="AB79" i="28"/>
  <c r="AD79" i="28" s="1"/>
  <c r="AB80" i="28"/>
  <c r="AD80" i="28" s="1"/>
  <c r="AB81" i="28"/>
  <c r="AD81" i="28" s="1"/>
  <c r="AD82" i="28"/>
  <c r="AD83" i="28"/>
  <c r="AD84" i="28"/>
  <c r="AB85" i="28"/>
  <c r="AD85" i="28" s="1"/>
  <c r="AD86" i="28"/>
  <c r="AD87" i="28"/>
  <c r="AB88" i="28"/>
  <c r="AD88" i="28" s="1"/>
  <c r="AD89" i="28"/>
  <c r="AD90" i="28"/>
  <c r="AB91" i="28"/>
  <c r="AD91" i="28" s="1"/>
  <c r="AB92" i="28"/>
  <c r="AD92" i="28" s="1"/>
  <c r="AB93" i="28"/>
  <c r="AD93" i="28" s="1"/>
  <c r="AD94" i="28"/>
  <c r="AB95" i="28"/>
  <c r="AD95" i="28" s="1"/>
  <c r="AB96" i="28"/>
  <c r="AD96" i="28"/>
  <c r="AB97" i="28"/>
  <c r="AD97" i="28" s="1"/>
  <c r="AD98" i="28"/>
  <c r="AB99" i="28"/>
  <c r="AD99" i="28" s="1"/>
  <c r="AD100" i="28"/>
  <c r="AD101" i="28"/>
  <c r="AD102" i="28"/>
  <c r="AD103" i="28"/>
  <c r="AD104" i="28"/>
  <c r="AB105" i="28"/>
  <c r="AD105" i="28" s="1"/>
  <c r="AB106" i="28"/>
  <c r="AD106" i="28" s="1"/>
  <c r="AD107" i="28"/>
  <c r="AD108" i="28"/>
  <c r="AD109" i="28"/>
  <c r="AD110" i="28"/>
  <c r="AD111" i="28"/>
  <c r="AD112" i="28"/>
  <c r="AD113" i="28"/>
  <c r="AA114" i="28"/>
  <c r="AB114" i="28" s="1"/>
  <c r="AD114" i="28" s="1"/>
  <c r="AA115" i="28"/>
  <c r="AB115" i="28" s="1"/>
  <c r="AD115" i="28" s="1"/>
  <c r="AA116" i="28"/>
  <c r="AB116" i="28" s="1"/>
  <c r="AD116" i="28" s="1"/>
  <c r="AB117" i="28"/>
  <c r="AD117" i="28" s="1"/>
  <c r="AA118" i="28"/>
  <c r="AB118" i="28" s="1"/>
  <c r="AD118" i="28" s="1"/>
  <c r="AB119" i="28"/>
  <c r="AD119" i="28" s="1"/>
  <c r="AB120" i="28"/>
  <c r="AD120" i="28" s="1"/>
  <c r="F121" i="28"/>
  <c r="AB121" i="28"/>
  <c r="AD121" i="28" s="1"/>
  <c r="F122" i="28"/>
  <c r="AB122" i="28"/>
  <c r="AD122" i="28" s="1"/>
  <c r="AB123" i="28"/>
  <c r="AD123" i="28" s="1"/>
  <c r="AB124" i="28"/>
  <c r="AD124" i="28" s="1"/>
  <c r="AB125" i="28"/>
  <c r="AD125" i="28" s="1"/>
  <c r="H12" i="28"/>
  <c r="AC236" i="28"/>
  <c r="AC237" i="28"/>
  <c r="AC238" i="28"/>
  <c r="AC239" i="28"/>
  <c r="AC240" i="28"/>
  <c r="AC242" i="28"/>
  <c r="AC166" i="28"/>
  <c r="AC157" i="28"/>
  <c r="AC154" i="28"/>
  <c r="AC153" i="28"/>
  <c r="AC150" i="28"/>
  <c r="AC148" i="28"/>
  <c r="AC144" i="28"/>
  <c r="AC143" i="28"/>
  <c r="AC142" i="28"/>
  <c r="AC141" i="28"/>
  <c r="AC140" i="28"/>
  <c r="AC139" i="28"/>
  <c r="AC138" i="28"/>
  <c r="AC135" i="28"/>
  <c r="AC134" i="28"/>
  <c r="AC132" i="28"/>
  <c r="AC130" i="28"/>
  <c r="AC125" i="28"/>
  <c r="AC124" i="28"/>
  <c r="AC123" i="28"/>
  <c r="AC122" i="28"/>
  <c r="AC121" i="28"/>
  <c r="AC119" i="28"/>
  <c r="AC120" i="28"/>
  <c r="AC106" i="28"/>
  <c r="AC105" i="28"/>
  <c r="AC97" i="28"/>
  <c r="AC96" i="28"/>
  <c r="AC95" i="28"/>
  <c r="AC92" i="28"/>
  <c r="AC93" i="28"/>
  <c r="AC91" i="28"/>
  <c r="AC88" i="28"/>
  <c r="AC85" i="28"/>
  <c r="AC81" i="28"/>
  <c r="AC80" i="28"/>
  <c r="AC78" i="28"/>
  <c r="AC79" i="28"/>
  <c r="AC73" i="28"/>
  <c r="AC68" i="28"/>
  <c r="AC67" i="28"/>
  <c r="AC66" i="28"/>
  <c r="AC65" i="28"/>
  <c r="AC64" i="28"/>
  <c r="AC63" i="28"/>
  <c r="AC60" i="28"/>
  <c r="AC59" i="28"/>
  <c r="AC48" i="28"/>
  <c r="AC46" i="28"/>
  <c r="AC43" i="28"/>
  <c r="AC42" i="28"/>
  <c r="AC41" i="28"/>
  <c r="AC37" i="28"/>
  <c r="AC36" i="28"/>
  <c r="AC34" i="28"/>
  <c r="AC33" i="28"/>
  <c r="AC32" i="28"/>
  <c r="AC30" i="28"/>
  <c r="AC29" i="28"/>
  <c r="AC24" i="28"/>
  <c r="AC22" i="28"/>
  <c r="AC21" i="28"/>
  <c r="AC20" i="28"/>
  <c r="AC19" i="28"/>
  <c r="AC18" i="28"/>
  <c r="AC16" i="28"/>
  <c r="AC13" i="28"/>
  <c r="BR124" i="28"/>
  <c r="BS124" i="28" s="1"/>
  <c r="BP124" i="28"/>
  <c r="BQ124" i="28" s="1"/>
  <c r="BR125" i="28"/>
  <c r="BS125" i="28" s="1"/>
  <c r="BP125" i="28"/>
  <c r="BQ125" i="28" s="1"/>
  <c r="F26" i="28"/>
  <c r="BR249" i="28"/>
  <c r="BS249" i="28" s="1"/>
  <c r="BP249" i="28"/>
  <c r="BQ249" i="28" s="1"/>
  <c r="BR248" i="28"/>
  <c r="BS248" i="28" s="1"/>
  <c r="BP248" i="28"/>
  <c r="BQ248" i="28" s="1"/>
  <c r="BR247" i="28"/>
  <c r="BS247" i="28" s="1"/>
  <c r="BP247" i="28"/>
  <c r="BQ247" i="28" s="1"/>
  <c r="BR246" i="28"/>
  <c r="BS246" i="28" s="1"/>
  <c r="BP246" i="28"/>
  <c r="BQ246" i="28" s="1"/>
  <c r="BR245" i="28"/>
  <c r="BS245" i="28" s="1"/>
  <c r="BP245" i="28"/>
  <c r="BQ245" i="28" s="1"/>
  <c r="BR244" i="28"/>
  <c r="BS244" i="28" s="1"/>
  <c r="BP244" i="28"/>
  <c r="BQ244" i="28" s="1"/>
  <c r="BR243" i="28"/>
  <c r="BS243" i="28" s="1"/>
  <c r="BP243" i="28"/>
  <c r="BQ243" i="28" s="1"/>
  <c r="BR242" i="28"/>
  <c r="BS242" i="28" s="1"/>
  <c r="BP242" i="28"/>
  <c r="BQ242" i="28" s="1"/>
  <c r="BR241" i="28"/>
  <c r="BS241" i="28" s="1"/>
  <c r="BP241" i="28"/>
  <c r="BQ241" i="28" s="1"/>
  <c r="BR240" i="28"/>
  <c r="BS240" i="28" s="1"/>
  <c r="BP240" i="28"/>
  <c r="BQ240" i="28" s="1"/>
  <c r="BR239" i="28"/>
  <c r="BS239" i="28" s="1"/>
  <c r="BP239" i="28"/>
  <c r="BQ239" i="28" s="1"/>
  <c r="BR238" i="28"/>
  <c r="BS238" i="28" s="1"/>
  <c r="BP238" i="28"/>
  <c r="BQ238" i="28" s="1"/>
  <c r="BR237" i="28"/>
  <c r="BS237" i="28" s="1"/>
  <c r="BP237" i="28"/>
  <c r="BQ237" i="28" s="1"/>
  <c r="BR236" i="28"/>
  <c r="BS236" i="28" s="1"/>
  <c r="BP236" i="28"/>
  <c r="BQ236" i="28" s="1"/>
  <c r="BR235" i="28"/>
  <c r="BS235" i="28" s="1"/>
  <c r="BP235" i="28"/>
  <c r="BQ235" i="28" s="1"/>
  <c r="BR234" i="28"/>
  <c r="BS234" i="28" s="1"/>
  <c r="BP234" i="28"/>
  <c r="BQ234" i="28" s="1"/>
  <c r="BR233" i="28"/>
  <c r="BS233" i="28" s="1"/>
  <c r="BP233" i="28"/>
  <c r="BQ233" i="28" s="1"/>
  <c r="BR232" i="28"/>
  <c r="BS232" i="28" s="1"/>
  <c r="BP232" i="28"/>
  <c r="BQ232" i="28" s="1"/>
  <c r="BR231" i="28"/>
  <c r="BS231" i="28" s="1"/>
  <c r="BP231" i="28"/>
  <c r="BQ231" i="28" s="1"/>
  <c r="BR230" i="28"/>
  <c r="BS230" i="28" s="1"/>
  <c r="BP230" i="28"/>
  <c r="BQ230" i="28" s="1"/>
  <c r="BR229" i="28"/>
  <c r="BS229" i="28" s="1"/>
  <c r="BP229" i="28"/>
  <c r="BQ229" i="28" s="1"/>
  <c r="BR228" i="28"/>
  <c r="BS228" i="28" s="1"/>
  <c r="BP228" i="28"/>
  <c r="BQ228" i="28" s="1"/>
  <c r="BR227" i="28"/>
  <c r="BS227" i="28" s="1"/>
  <c r="BP227" i="28"/>
  <c r="BQ227" i="28" s="1"/>
  <c r="BR226" i="28"/>
  <c r="BS226" i="28" s="1"/>
  <c r="BP226" i="28"/>
  <c r="BQ226" i="28" s="1"/>
  <c r="BR225" i="28"/>
  <c r="BS225" i="28" s="1"/>
  <c r="BP225" i="28"/>
  <c r="BQ225" i="28" s="1"/>
  <c r="BR224" i="28"/>
  <c r="BS224" i="28" s="1"/>
  <c r="BP224" i="28"/>
  <c r="BQ224" i="28" s="1"/>
  <c r="BR219" i="28"/>
  <c r="BS219" i="28" s="1"/>
  <c r="BP219" i="28"/>
  <c r="BQ219" i="28" s="1"/>
  <c r="BR218" i="28"/>
  <c r="BS218" i="28" s="1"/>
  <c r="BP218" i="28"/>
  <c r="BQ218" i="28" s="1"/>
  <c r="BR217" i="28"/>
  <c r="BS217" i="28" s="1"/>
  <c r="BP217" i="28"/>
  <c r="BQ217" i="28" s="1"/>
  <c r="BR216" i="28"/>
  <c r="BS216" i="28" s="1"/>
  <c r="BP216" i="28"/>
  <c r="BQ216" i="28" s="1"/>
  <c r="BR215" i="28"/>
  <c r="BS215" i="28" s="1"/>
  <c r="BP215" i="28"/>
  <c r="BQ215" i="28" s="1"/>
  <c r="BR214" i="28"/>
  <c r="BS214" i="28" s="1"/>
  <c r="BP214" i="28"/>
  <c r="BQ214" i="28" s="1"/>
  <c r="BR213" i="28"/>
  <c r="BS213" i="28" s="1"/>
  <c r="BP213" i="28"/>
  <c r="BQ213" i="28" s="1"/>
  <c r="BR212" i="28"/>
  <c r="BS212" i="28" s="1"/>
  <c r="BP212" i="28"/>
  <c r="BQ212" i="28" s="1"/>
  <c r="BR211" i="28"/>
  <c r="BS211" i="28" s="1"/>
  <c r="BP211" i="28"/>
  <c r="BQ211" i="28" s="1"/>
  <c r="BR210" i="28"/>
  <c r="BS210" i="28" s="1"/>
  <c r="BP210" i="28"/>
  <c r="BQ210" i="28" s="1"/>
  <c r="BR209" i="28"/>
  <c r="BS209" i="28" s="1"/>
  <c r="BP209" i="28"/>
  <c r="BQ209" i="28" s="1"/>
  <c r="BR208" i="28"/>
  <c r="BS208" i="28" s="1"/>
  <c r="BP208" i="28"/>
  <c r="BQ208" i="28" s="1"/>
  <c r="BR206" i="28"/>
  <c r="BS206" i="28" s="1"/>
  <c r="BP206" i="28"/>
  <c r="BQ206" i="28" s="1"/>
  <c r="BR205" i="28"/>
  <c r="BS205" i="28" s="1"/>
  <c r="BP205" i="28"/>
  <c r="BQ205" i="28" s="1"/>
  <c r="BR204" i="28"/>
  <c r="BS204" i="28" s="1"/>
  <c r="BP204" i="28"/>
  <c r="BQ204" i="28" s="1"/>
  <c r="BR203" i="28"/>
  <c r="BS203" i="28" s="1"/>
  <c r="BP203" i="28"/>
  <c r="BQ203" i="28" s="1"/>
  <c r="BR202" i="28"/>
  <c r="BS202" i="28" s="1"/>
  <c r="BP202" i="28"/>
  <c r="BQ202" i="28" s="1"/>
  <c r="BR201" i="28"/>
  <c r="BS201" i="28" s="1"/>
  <c r="BP201" i="28"/>
  <c r="BQ201" i="28" s="1"/>
  <c r="BR200" i="28"/>
  <c r="BS200" i="28" s="1"/>
  <c r="BP200" i="28"/>
  <c r="BQ200" i="28" s="1"/>
  <c r="BR199" i="28"/>
  <c r="BS199" i="28" s="1"/>
  <c r="BP199" i="28"/>
  <c r="BQ199" i="28" s="1"/>
  <c r="BR198" i="28"/>
  <c r="BS198" i="28" s="1"/>
  <c r="BP198" i="28"/>
  <c r="BQ198" i="28" s="1"/>
  <c r="BR197" i="28"/>
  <c r="BS197" i="28" s="1"/>
  <c r="BP197" i="28"/>
  <c r="BQ197" i="28" s="1"/>
  <c r="BR196" i="28"/>
  <c r="BS196" i="28" s="1"/>
  <c r="BP196" i="28"/>
  <c r="BQ196" i="28" s="1"/>
  <c r="BR195" i="28"/>
  <c r="BS195" i="28" s="1"/>
  <c r="BP195" i="28"/>
  <c r="BQ195" i="28" s="1"/>
  <c r="BR194" i="28"/>
  <c r="BS194" i="28" s="1"/>
  <c r="BP194" i="28"/>
  <c r="BQ194" i="28" s="1"/>
  <c r="BR193" i="28"/>
  <c r="BS193" i="28" s="1"/>
  <c r="BP193" i="28"/>
  <c r="BQ193" i="28" s="1"/>
  <c r="BR192" i="28"/>
  <c r="BS192" i="28" s="1"/>
  <c r="BP192" i="28"/>
  <c r="BQ192" i="28" s="1"/>
  <c r="BR191" i="28"/>
  <c r="BS191" i="28" s="1"/>
  <c r="BP191" i="28"/>
  <c r="BQ191" i="28" s="1"/>
  <c r="BR190" i="28"/>
  <c r="BS190" i="28" s="1"/>
  <c r="BP190" i="28"/>
  <c r="BQ190" i="28" s="1"/>
  <c r="BR189" i="28"/>
  <c r="BS189" i="28" s="1"/>
  <c r="BP189" i="28"/>
  <c r="BQ189" i="28" s="1"/>
  <c r="BR188" i="28"/>
  <c r="BS188" i="28" s="1"/>
  <c r="BP188" i="28"/>
  <c r="BQ188" i="28" s="1"/>
  <c r="BR187" i="28"/>
  <c r="BS187" i="28" s="1"/>
  <c r="BP187" i="28"/>
  <c r="BQ187" i="28" s="1"/>
  <c r="BR186" i="28"/>
  <c r="BS186" i="28" s="1"/>
  <c r="BP186" i="28"/>
  <c r="BQ186" i="28" s="1"/>
  <c r="BR185" i="28"/>
  <c r="BS185" i="28" s="1"/>
  <c r="BP185" i="28"/>
  <c r="BQ185" i="28" s="1"/>
  <c r="BR184" i="28"/>
  <c r="BS184" i="28" s="1"/>
  <c r="BP184" i="28"/>
  <c r="BQ184" i="28" s="1"/>
  <c r="BR183" i="28"/>
  <c r="BS183" i="28" s="1"/>
  <c r="BP183" i="28"/>
  <c r="BQ183" i="28" s="1"/>
  <c r="BR182" i="28"/>
  <c r="BS182" i="28" s="1"/>
  <c r="BP182" i="28"/>
  <c r="BQ182" i="28" s="1"/>
  <c r="BR181" i="28"/>
  <c r="BS181" i="28" s="1"/>
  <c r="AF181" i="28"/>
  <c r="BP181" i="28"/>
  <c r="BQ181" i="28" s="1"/>
  <c r="BR180" i="28"/>
  <c r="BS180" i="28" s="1"/>
  <c r="BP180" i="28"/>
  <c r="BQ180" i="28" s="1"/>
  <c r="BR179" i="28"/>
  <c r="BS179" i="28" s="1"/>
  <c r="BP179" i="28"/>
  <c r="BQ179" i="28" s="1"/>
  <c r="BR178" i="28"/>
  <c r="BS178" i="28" s="1"/>
  <c r="BP178" i="28"/>
  <c r="BQ178" i="28" s="1"/>
  <c r="BR177" i="28"/>
  <c r="BS177" i="28" s="1"/>
  <c r="AJ177" i="28"/>
  <c r="AT177" i="28"/>
  <c r="BP177" i="28"/>
  <c r="BQ177" i="28" s="1"/>
  <c r="BR176" i="28"/>
  <c r="BS176" i="28" s="1"/>
  <c r="AF176" i="28"/>
  <c r="BP176" i="28"/>
  <c r="BQ176" i="28" s="1"/>
  <c r="BR175" i="28"/>
  <c r="BS175" i="28" s="1"/>
  <c r="AH175" i="28"/>
  <c r="AV175" i="28"/>
  <c r="AX175" i="28"/>
  <c r="AZ175" i="28"/>
  <c r="BP175" i="28"/>
  <c r="BQ175" i="28" s="1"/>
  <c r="BR174" i="28"/>
  <c r="BS174" i="28" s="1"/>
  <c r="BP174" i="28"/>
  <c r="BQ174" i="28" s="1"/>
  <c r="BR173" i="28"/>
  <c r="BS173" i="28" s="1"/>
  <c r="AZ173" i="28"/>
  <c r="BP173" i="28" s="1"/>
  <c r="BQ173" i="28" s="1"/>
  <c r="BR172" i="28"/>
  <c r="BS172" i="28" s="1"/>
  <c r="BP172" i="28"/>
  <c r="BQ172" i="28" s="1"/>
  <c r="BR171" i="28"/>
  <c r="BS171" i="28" s="1"/>
  <c r="BP171" i="28"/>
  <c r="BQ171" i="28" s="1"/>
  <c r="BR166" i="28"/>
  <c r="BS166" i="28" s="1"/>
  <c r="BP166" i="28"/>
  <c r="BQ166" i="28" s="1"/>
  <c r="BR165" i="28"/>
  <c r="BS165" i="28" s="1"/>
  <c r="BP165" i="28"/>
  <c r="BQ165" i="28" s="1"/>
  <c r="BR164" i="28"/>
  <c r="BS164" i="28" s="1"/>
  <c r="BP164" i="28"/>
  <c r="BQ164" i="28" s="1"/>
  <c r="BR163" i="28"/>
  <c r="BS163" i="28" s="1"/>
  <c r="BP163" i="28"/>
  <c r="BQ163" i="28" s="1"/>
  <c r="BR162" i="28"/>
  <c r="BS162" i="28" s="1"/>
  <c r="BP162" i="28"/>
  <c r="BQ162" i="28" s="1"/>
  <c r="BR161" i="28"/>
  <c r="BS161" i="28" s="1"/>
  <c r="BP161" i="28"/>
  <c r="BQ161" i="28" s="1"/>
  <c r="BR160" i="28"/>
  <c r="BS160" i="28" s="1"/>
  <c r="BP160" i="28"/>
  <c r="BQ160" i="28" s="1"/>
  <c r="BR159" i="28"/>
  <c r="BS159" i="28" s="1"/>
  <c r="BP159" i="28"/>
  <c r="BQ159" i="28" s="1"/>
  <c r="BR158" i="28"/>
  <c r="BS158" i="28"/>
  <c r="BP158" i="28"/>
  <c r="BQ158" i="28" s="1"/>
  <c r="BR157" i="28"/>
  <c r="BS157" i="28" s="1"/>
  <c r="BP157" i="28"/>
  <c r="BQ157" i="28" s="1"/>
  <c r="BR156" i="28"/>
  <c r="BS156" i="28" s="1"/>
  <c r="BP156" i="28"/>
  <c r="BQ156" i="28" s="1"/>
  <c r="BR155" i="28"/>
  <c r="BS155" i="28" s="1"/>
  <c r="BP155" i="28"/>
  <c r="BQ155" i="28" s="1"/>
  <c r="BR154" i="28"/>
  <c r="BS154" i="28" s="1"/>
  <c r="BP154" i="28"/>
  <c r="BQ154" i="28" s="1"/>
  <c r="BR153" i="28"/>
  <c r="BS153" i="28" s="1"/>
  <c r="BP153" i="28"/>
  <c r="BQ153" i="28" s="1"/>
  <c r="BR152" i="28"/>
  <c r="BS152" i="28" s="1"/>
  <c r="BP152" i="28"/>
  <c r="BQ152" i="28" s="1"/>
  <c r="BR151" i="28"/>
  <c r="BS151" i="28" s="1"/>
  <c r="BP151" i="28"/>
  <c r="BQ151" i="28" s="1"/>
  <c r="BR150" i="28"/>
  <c r="BS150" i="28" s="1"/>
  <c r="BP150" i="28"/>
  <c r="BQ150" i="28" s="1"/>
  <c r="BR149" i="28"/>
  <c r="BS149" i="28" s="1"/>
  <c r="BP149" i="28"/>
  <c r="BQ149" i="28" s="1"/>
  <c r="BR148" i="28"/>
  <c r="BS148" i="28" s="1"/>
  <c r="BP148" i="28"/>
  <c r="BQ148" i="28" s="1"/>
  <c r="BR147" i="28"/>
  <c r="BS147" i="28" s="1"/>
  <c r="BP147" i="28"/>
  <c r="BQ147" i="28" s="1"/>
  <c r="BR146" i="28"/>
  <c r="BS146" i="28" s="1"/>
  <c r="BP146" i="28"/>
  <c r="BQ146" i="28" s="1"/>
  <c r="BR145" i="28"/>
  <c r="BS145" i="28" s="1"/>
  <c r="BP145" i="28"/>
  <c r="BQ145" i="28" s="1"/>
  <c r="BR144" i="28"/>
  <c r="BS144" i="28" s="1"/>
  <c r="BP144" i="28"/>
  <c r="BQ144" i="28" s="1"/>
  <c r="BR143" i="28"/>
  <c r="BS143" i="28" s="1"/>
  <c r="BP143" i="28"/>
  <c r="BQ143" i="28" s="1"/>
  <c r="BR142" i="28"/>
  <c r="BS142" i="28" s="1"/>
  <c r="BP142" i="28"/>
  <c r="BQ142" i="28" s="1"/>
  <c r="BR141" i="28"/>
  <c r="BS141" i="28" s="1"/>
  <c r="BP141" i="28"/>
  <c r="BQ141" i="28" s="1"/>
  <c r="BR140" i="28"/>
  <c r="BS140" i="28" s="1"/>
  <c r="BP140" i="28"/>
  <c r="BQ140" i="28" s="1"/>
  <c r="BR139" i="28"/>
  <c r="BS139" i="28" s="1"/>
  <c r="BP139" i="28"/>
  <c r="BQ139" i="28" s="1"/>
  <c r="BR138" i="28"/>
  <c r="BS138" i="28" s="1"/>
  <c r="BP138" i="28"/>
  <c r="BQ138" i="28" s="1"/>
  <c r="BR137" i="28"/>
  <c r="BS137" i="28" s="1"/>
  <c r="BP137" i="28"/>
  <c r="BQ137" i="28" s="1"/>
  <c r="BR136" i="28"/>
  <c r="BS136" i="28" s="1"/>
  <c r="BP136" i="28"/>
  <c r="BQ136" i="28" s="1"/>
  <c r="BR135" i="28"/>
  <c r="BS135" i="28" s="1"/>
  <c r="BP135" i="28"/>
  <c r="BQ135" i="28" s="1"/>
  <c r="BR134" i="28"/>
  <c r="BS134" i="28" s="1"/>
  <c r="BP134" i="28"/>
  <c r="BQ134" i="28" s="1"/>
  <c r="BR133" i="28"/>
  <c r="BS133" i="28" s="1"/>
  <c r="BP133" i="28"/>
  <c r="BQ133" i="28" s="1"/>
  <c r="BR132" i="28"/>
  <c r="BS132" i="28" s="1"/>
  <c r="BP132" i="28"/>
  <c r="BQ132" i="28" s="1"/>
  <c r="BR131" i="28"/>
  <c r="BS131" i="28" s="1"/>
  <c r="BP131" i="28"/>
  <c r="BQ131" i="28" s="1"/>
  <c r="BR130" i="28"/>
  <c r="BS130" i="28" s="1"/>
  <c r="BP130" i="28"/>
  <c r="BQ130" i="28" s="1"/>
  <c r="BR129" i="28"/>
  <c r="BS129" i="28" s="1"/>
  <c r="BP129" i="28"/>
  <c r="BQ129" i="28" s="1"/>
  <c r="BR128" i="28"/>
  <c r="BS128" i="28"/>
  <c r="BP128" i="28"/>
  <c r="BQ128" i="28" s="1"/>
  <c r="BR123" i="28"/>
  <c r="BS123" i="28" s="1"/>
  <c r="BP123" i="28"/>
  <c r="BQ123" i="28" s="1"/>
  <c r="BR122" i="28"/>
  <c r="BS122" i="28" s="1"/>
  <c r="BP122" i="28"/>
  <c r="BQ122" i="28" s="1"/>
  <c r="BR121" i="28"/>
  <c r="BS121" i="28" s="1"/>
  <c r="BP121" i="28"/>
  <c r="BQ121" i="28" s="1"/>
  <c r="BR120" i="28"/>
  <c r="BS120" i="28" s="1"/>
  <c r="BP120" i="28"/>
  <c r="BQ120" i="28" s="1"/>
  <c r="BR119" i="28"/>
  <c r="BS119" i="28"/>
  <c r="BP119" i="28"/>
  <c r="BQ119" i="28" s="1"/>
  <c r="BR118" i="28"/>
  <c r="BS118" i="28" s="1"/>
  <c r="BP118" i="28"/>
  <c r="BQ118" i="28" s="1"/>
  <c r="BR117" i="28"/>
  <c r="BS117" i="28" s="1"/>
  <c r="BP117" i="28"/>
  <c r="BQ117" i="28" s="1"/>
  <c r="BR116" i="28"/>
  <c r="BS116" i="28" s="1"/>
  <c r="BP116" i="28"/>
  <c r="BQ116" i="28" s="1"/>
  <c r="BR115" i="28"/>
  <c r="BS115" i="28"/>
  <c r="BP115" i="28"/>
  <c r="BQ115" i="28" s="1"/>
  <c r="BR114" i="28"/>
  <c r="BS114" i="28" s="1"/>
  <c r="BP114" i="28"/>
  <c r="BQ114" i="28" s="1"/>
  <c r="BR113" i="28"/>
  <c r="BS113" i="28" s="1"/>
  <c r="BP113" i="28"/>
  <c r="BQ113" i="28" s="1"/>
  <c r="BR112" i="28"/>
  <c r="BS112" i="28" s="1"/>
  <c r="BP112" i="28"/>
  <c r="BQ112" i="28" s="1"/>
  <c r="BR111" i="28"/>
  <c r="BS111" i="28" s="1"/>
  <c r="BP111" i="28"/>
  <c r="BQ111" i="28" s="1"/>
  <c r="BR110" i="28"/>
  <c r="BS110" i="28" s="1"/>
  <c r="BP110" i="28"/>
  <c r="BQ110" i="28" s="1"/>
  <c r="BR109" i="28"/>
  <c r="BS109" i="28" s="1"/>
  <c r="BP109" i="28"/>
  <c r="BQ109" i="28" s="1"/>
  <c r="BR108" i="28"/>
  <c r="BS108" i="28" s="1"/>
  <c r="BP108" i="28"/>
  <c r="BQ108" i="28" s="1"/>
  <c r="BR107" i="28"/>
  <c r="BS107" i="28" s="1"/>
  <c r="BP107" i="28"/>
  <c r="BQ107" i="28" s="1"/>
  <c r="BR106" i="28"/>
  <c r="BS106" i="28" s="1"/>
  <c r="BP106" i="28"/>
  <c r="BQ106" i="28" s="1"/>
  <c r="BR105" i="28"/>
  <c r="BS105" i="28" s="1"/>
  <c r="BP105" i="28"/>
  <c r="BQ105" i="28" s="1"/>
  <c r="BR104" i="28"/>
  <c r="BS104" i="28" s="1"/>
  <c r="BP104" i="28"/>
  <c r="BQ104" i="28" s="1"/>
  <c r="BR103" i="28"/>
  <c r="BS103" i="28" s="1"/>
  <c r="BP103" i="28"/>
  <c r="BQ103" i="28" s="1"/>
  <c r="BR102" i="28"/>
  <c r="BS102" i="28" s="1"/>
  <c r="BP102" i="28"/>
  <c r="BQ102" i="28" s="1"/>
  <c r="BR101" i="28"/>
  <c r="BS101" i="28" s="1"/>
  <c r="BP101" i="28"/>
  <c r="BQ101" i="28" s="1"/>
  <c r="BR100" i="28"/>
  <c r="BS100" i="28" s="1"/>
  <c r="BP100" i="28"/>
  <c r="BQ100" i="28" s="1"/>
  <c r="BR99" i="28"/>
  <c r="BS99" i="28" s="1"/>
  <c r="BP99" i="28"/>
  <c r="BQ99" i="28" s="1"/>
  <c r="BR98" i="28"/>
  <c r="BS98" i="28" s="1"/>
  <c r="BP98" i="28"/>
  <c r="BQ98" i="28" s="1"/>
  <c r="BR97" i="28"/>
  <c r="BS97" i="28" s="1"/>
  <c r="BP97" i="28"/>
  <c r="BQ97" i="28" s="1"/>
  <c r="BR96" i="28"/>
  <c r="BS96" i="28" s="1"/>
  <c r="BP96" i="28"/>
  <c r="BQ96" i="28" s="1"/>
  <c r="BR95" i="28"/>
  <c r="BS95" i="28" s="1"/>
  <c r="BP95" i="28"/>
  <c r="BQ95" i="28" s="1"/>
  <c r="BR94" i="28"/>
  <c r="BS94" i="28" s="1"/>
  <c r="BP94" i="28"/>
  <c r="BQ94" i="28" s="1"/>
  <c r="BR93" i="28"/>
  <c r="BS93" i="28" s="1"/>
  <c r="BP93" i="28"/>
  <c r="BQ93" i="28" s="1"/>
  <c r="BR92" i="28"/>
  <c r="BS92" i="28" s="1"/>
  <c r="BP92" i="28"/>
  <c r="BQ92" i="28" s="1"/>
  <c r="BR91" i="28"/>
  <c r="BS91" i="28" s="1"/>
  <c r="BP91" i="28"/>
  <c r="BQ91" i="28" s="1"/>
  <c r="BR90" i="28"/>
  <c r="BS90" i="28" s="1"/>
  <c r="BP90" i="28"/>
  <c r="BQ90" i="28" s="1"/>
  <c r="BR89" i="28"/>
  <c r="BS89" i="28" s="1"/>
  <c r="BP89" i="28"/>
  <c r="BQ89" i="28" s="1"/>
  <c r="BR88" i="28"/>
  <c r="BS88" i="28" s="1"/>
  <c r="BP88" i="28"/>
  <c r="BQ88" i="28" s="1"/>
  <c r="BR87" i="28"/>
  <c r="BS87" i="28" s="1"/>
  <c r="BP87" i="28"/>
  <c r="BQ87" i="28" s="1"/>
  <c r="BR86" i="28"/>
  <c r="BS86" i="28" s="1"/>
  <c r="BP86" i="28"/>
  <c r="BQ86" i="28" s="1"/>
  <c r="BR85" i="28"/>
  <c r="BS85" i="28" s="1"/>
  <c r="BP85" i="28"/>
  <c r="BQ85" i="28" s="1"/>
  <c r="BR84" i="28"/>
  <c r="BS84" i="28" s="1"/>
  <c r="BP84" i="28"/>
  <c r="BQ84" i="28" s="1"/>
  <c r="BR83" i="28"/>
  <c r="BS83" i="28" s="1"/>
  <c r="BP83" i="28"/>
  <c r="BQ83" i="28" s="1"/>
  <c r="BR82" i="28"/>
  <c r="BS82" i="28" s="1"/>
  <c r="BP82" i="28"/>
  <c r="BQ82" i="28" s="1"/>
  <c r="BR81" i="28"/>
  <c r="BS81" i="28" s="1"/>
  <c r="BP81" i="28"/>
  <c r="BQ81" i="28" s="1"/>
  <c r="BR80" i="28"/>
  <c r="BS80" i="28"/>
  <c r="BP80" i="28"/>
  <c r="BQ80" i="28" s="1"/>
  <c r="BR79" i="28"/>
  <c r="BS79" i="28" s="1"/>
  <c r="BP79" i="28"/>
  <c r="BQ79" i="28" s="1"/>
  <c r="BR78" i="28"/>
  <c r="BS78" i="28" s="1"/>
  <c r="BP78" i="28"/>
  <c r="BQ78" i="28" s="1"/>
  <c r="BR77" i="28"/>
  <c r="BS77" i="28" s="1"/>
  <c r="BP77" i="28"/>
  <c r="BQ77" i="28" s="1"/>
  <c r="BR76" i="28"/>
  <c r="BS76" i="28" s="1"/>
  <c r="BP76" i="28"/>
  <c r="BQ76" i="28" s="1"/>
  <c r="BR75" i="28"/>
  <c r="BS75" i="28" s="1"/>
  <c r="BP75" i="28"/>
  <c r="BQ75" i="28" s="1"/>
  <c r="BR74" i="28"/>
  <c r="BS74" i="28" s="1"/>
  <c r="BP74" i="28"/>
  <c r="BQ74" i="28" s="1"/>
  <c r="BR73" i="28"/>
  <c r="BS73" i="28" s="1"/>
  <c r="BP73" i="28"/>
  <c r="BQ73" i="28" s="1"/>
  <c r="BR72" i="28"/>
  <c r="BS72" i="28" s="1"/>
  <c r="BP72" i="28"/>
  <c r="BQ72" i="28" s="1"/>
  <c r="BR71" i="28"/>
  <c r="BS71" i="28" s="1"/>
  <c r="BP71" i="28"/>
  <c r="BQ71" i="28" s="1"/>
  <c r="BR70" i="28"/>
  <c r="BS70" i="28" s="1"/>
  <c r="BP70" i="28"/>
  <c r="BQ70" i="28" s="1"/>
  <c r="BR69" i="28"/>
  <c r="BS69" i="28" s="1"/>
  <c r="BP69" i="28"/>
  <c r="BQ69" i="28" s="1"/>
  <c r="BR68" i="28"/>
  <c r="BS68" i="28" s="1"/>
  <c r="BP68" i="28"/>
  <c r="BQ68" i="28" s="1"/>
  <c r="BR67" i="28"/>
  <c r="BS67" i="28" s="1"/>
  <c r="BP67" i="28"/>
  <c r="BQ67" i="28" s="1"/>
  <c r="BR66" i="28"/>
  <c r="BS66" i="28" s="1"/>
  <c r="BP66" i="28"/>
  <c r="BQ66" i="28" s="1"/>
  <c r="BR65" i="28"/>
  <c r="BS65" i="28" s="1"/>
  <c r="BP65" i="28"/>
  <c r="BQ65" i="28" s="1"/>
  <c r="BR64" i="28"/>
  <c r="BS64" i="28" s="1"/>
  <c r="BP64" i="28"/>
  <c r="BQ64" i="28" s="1"/>
  <c r="BR63" i="28"/>
  <c r="BS63" i="28" s="1"/>
  <c r="BP63" i="28"/>
  <c r="BQ63" i="28" s="1"/>
  <c r="BR62" i="28"/>
  <c r="BS62" i="28" s="1"/>
  <c r="BP62" i="28"/>
  <c r="BQ62" i="28" s="1"/>
  <c r="BR61" i="28"/>
  <c r="BS61" i="28" s="1"/>
  <c r="BP61" i="28"/>
  <c r="BQ61" i="28" s="1"/>
  <c r="BR60" i="28"/>
  <c r="BS60" i="28" s="1"/>
  <c r="BP60" i="28"/>
  <c r="BQ60" i="28" s="1"/>
  <c r="BR59" i="28"/>
  <c r="BS59" i="28" s="1"/>
  <c r="BP59" i="28"/>
  <c r="BQ59" i="28" s="1"/>
  <c r="BR56" i="28"/>
  <c r="BS56" i="28" s="1"/>
  <c r="BP56" i="28"/>
  <c r="BQ56" i="28" s="1"/>
  <c r="BR53" i="28"/>
  <c r="BS53" i="28" s="1"/>
  <c r="BP53" i="28"/>
  <c r="BQ53" i="28" s="1"/>
  <c r="BR52" i="28"/>
  <c r="BS52" i="28" s="1"/>
  <c r="BP52" i="28"/>
  <c r="BQ52" i="28" s="1"/>
  <c r="BR50" i="28"/>
  <c r="BS50" i="28" s="1"/>
  <c r="BP50" i="28"/>
  <c r="BQ50" i="28" s="1"/>
  <c r="BR49" i="28"/>
  <c r="BS49" i="28" s="1"/>
  <c r="BP49" i="28"/>
  <c r="BQ49" i="28" s="1"/>
  <c r="BR48" i="28"/>
  <c r="BS48" i="28" s="1"/>
  <c r="BP48" i="28"/>
  <c r="BQ48" i="28" s="1"/>
  <c r="BR47" i="28"/>
  <c r="BS47" i="28" s="1"/>
  <c r="BP47" i="28"/>
  <c r="BQ47" i="28" s="1"/>
  <c r="BR46" i="28"/>
  <c r="BS46" i="28" s="1"/>
  <c r="BP46" i="28"/>
  <c r="BQ46" i="28" s="1"/>
  <c r="BR44" i="28"/>
  <c r="BS44" i="28" s="1"/>
  <c r="BP44" i="28"/>
  <c r="BQ44" i="28" s="1"/>
  <c r="BR43" i="28"/>
  <c r="BS43" i="28" s="1"/>
  <c r="BP43" i="28"/>
  <c r="BQ43" i="28" s="1"/>
  <c r="BR42" i="28"/>
  <c r="BS42" i="28" s="1"/>
  <c r="BP42" i="28"/>
  <c r="BQ42" i="28" s="1"/>
  <c r="BR41" i="28"/>
  <c r="BS41" i="28" s="1"/>
  <c r="BP41" i="28"/>
  <c r="BQ41" i="28" s="1"/>
  <c r="BR40" i="28"/>
  <c r="BS40" i="28" s="1"/>
  <c r="BP40" i="28"/>
  <c r="BQ40" i="28" s="1"/>
  <c r="BR39" i="28"/>
  <c r="BS39" i="28" s="1"/>
  <c r="BP39" i="28"/>
  <c r="BQ39" i="28" s="1"/>
  <c r="BR38" i="28"/>
  <c r="BS38" i="28" s="1"/>
  <c r="BP38" i="28"/>
  <c r="BQ38" i="28" s="1"/>
  <c r="BR37" i="28"/>
  <c r="BS37" i="28" s="1"/>
  <c r="BP37" i="28"/>
  <c r="BQ37" i="28" s="1"/>
  <c r="BR36" i="28"/>
  <c r="BS36" i="28" s="1"/>
  <c r="BP36" i="28"/>
  <c r="BQ36" i="28" s="1"/>
  <c r="BR35" i="28"/>
  <c r="BS35" i="28" s="1"/>
  <c r="BP35" i="28"/>
  <c r="BQ35" i="28" s="1"/>
  <c r="BR34" i="28"/>
  <c r="BS34" i="28" s="1"/>
  <c r="BP34" i="28"/>
  <c r="BQ34" i="28" s="1"/>
  <c r="BR33" i="28"/>
  <c r="BS33" i="28" s="1"/>
  <c r="BP33" i="28"/>
  <c r="BQ33" i="28" s="1"/>
  <c r="BR32" i="28"/>
  <c r="BS32" i="28" s="1"/>
  <c r="BP32" i="28"/>
  <c r="BQ32" i="28" s="1"/>
  <c r="BR31" i="28"/>
  <c r="BS31" i="28" s="1"/>
  <c r="BP31" i="28"/>
  <c r="BQ31" i="28" s="1"/>
  <c r="BR30" i="28"/>
  <c r="BS30" i="28" s="1"/>
  <c r="BP30" i="28"/>
  <c r="BQ30" i="28" s="1"/>
  <c r="BR29" i="28"/>
  <c r="BS29" i="28" s="1"/>
  <c r="BP29" i="28"/>
  <c r="BQ29" i="28" s="1"/>
  <c r="BR28" i="28"/>
  <c r="BS28" i="28" s="1"/>
  <c r="BP28" i="28"/>
  <c r="BQ28" i="28" s="1"/>
  <c r="BR27" i="28"/>
  <c r="BS27" i="28" s="1"/>
  <c r="BP27" i="28"/>
  <c r="BQ27" i="28" s="1"/>
  <c r="BR26" i="28"/>
  <c r="BS26" i="28" s="1"/>
  <c r="BP26" i="28"/>
  <c r="BQ26" i="28" s="1"/>
  <c r="BR25" i="28"/>
  <c r="BS25" i="28" s="1"/>
  <c r="BP25" i="28"/>
  <c r="BQ25" i="28" s="1"/>
  <c r="BR24" i="28"/>
  <c r="BS24" i="28" s="1"/>
  <c r="BP24" i="28"/>
  <c r="BQ24" i="28" s="1"/>
  <c r="BR23" i="28"/>
  <c r="BS23" i="28" s="1"/>
  <c r="BP23" i="28"/>
  <c r="BQ23" i="28" s="1"/>
  <c r="BR22" i="28"/>
  <c r="BS22" i="28"/>
  <c r="BP22" i="28"/>
  <c r="BQ22" i="28" s="1"/>
  <c r="BR21" i="28"/>
  <c r="BS21" i="28" s="1"/>
  <c r="BP21" i="28"/>
  <c r="BQ21" i="28" s="1"/>
  <c r="BR20" i="28"/>
  <c r="BS20" i="28" s="1"/>
  <c r="BP20" i="28"/>
  <c r="BQ20" i="28" s="1"/>
  <c r="BR19" i="28"/>
  <c r="BS19" i="28" s="1"/>
  <c r="BP19" i="28"/>
  <c r="BQ19" i="28" s="1"/>
  <c r="BR18" i="28"/>
  <c r="BS18" i="28" s="1"/>
  <c r="BP18" i="28"/>
  <c r="BQ18" i="28" s="1"/>
  <c r="AM17" i="28"/>
  <c r="BR17" i="28"/>
  <c r="BS17" i="28" s="1"/>
  <c r="BP17" i="28"/>
  <c r="BQ17" i="28" s="1"/>
  <c r="BR16" i="28"/>
  <c r="BS16" i="28" s="1"/>
  <c r="BP16" i="28"/>
  <c r="BQ16" i="28" s="1"/>
  <c r="BR15" i="28"/>
  <c r="BS15" i="28" s="1"/>
  <c r="BP15" i="28"/>
  <c r="BQ15" i="28" s="1"/>
  <c r="BR14" i="28"/>
  <c r="BS14" i="28" s="1"/>
  <c r="BP14" i="28"/>
  <c r="BQ14" i="28" s="1"/>
  <c r="AM13" i="28"/>
  <c r="BR13" i="28"/>
  <c r="BS13" i="28" s="1"/>
  <c r="AL13" i="28"/>
  <c r="BP13" i="28" s="1"/>
  <c r="BQ13" i="28" s="1"/>
  <c r="BR250" i="28"/>
  <c r="BS250" i="28" s="1"/>
  <c r="BP250" i="28"/>
  <c r="BQ250" i="28" s="1"/>
  <c r="BR223" i="28"/>
  <c r="BS223" i="28" s="1"/>
  <c r="BP223" i="28"/>
  <c r="BQ223" i="28" s="1"/>
  <c r="BR207" i="28"/>
  <c r="BS207" i="28" s="1"/>
  <c r="BP207" i="28"/>
  <c r="BQ207" i="28" s="1"/>
  <c r="BR169" i="28"/>
  <c r="BS169" i="28" s="1"/>
  <c r="BP169" i="28"/>
  <c r="BQ169" i="28" s="1"/>
  <c r="BR168" i="28"/>
  <c r="BS168" i="28" s="1"/>
  <c r="BP168" i="28"/>
  <c r="BQ168" i="28" s="1"/>
  <c r="BR58" i="28"/>
  <c r="BS58" i="28" s="1"/>
  <c r="BP58" i="28"/>
  <c r="BQ58" i="28" s="1"/>
  <c r="BR57" i="28"/>
  <c r="BS57" i="28" s="1"/>
  <c r="BP57" i="28"/>
  <c r="BQ57" i="28" s="1"/>
  <c r="BR55" i="28"/>
  <c r="BS55" i="28" s="1"/>
  <c r="BP55" i="28"/>
  <c r="BQ55" i="28" s="1"/>
  <c r="BR54" i="28"/>
  <c r="BS54" i="28" s="1"/>
  <c r="BP54" i="28"/>
  <c r="BQ54" i="28" s="1"/>
  <c r="BR51" i="28"/>
  <c r="BS51" i="28" s="1"/>
  <c r="BP51" i="28"/>
  <c r="BQ51" i="28" s="1"/>
  <c r="BR45" i="28"/>
  <c r="BS45" i="28" s="1"/>
  <c r="BP45" i="28"/>
  <c r="BQ45" i="28" s="1"/>
  <c r="BO11" i="28"/>
  <c r="BP254" i="28"/>
  <c r="BQ254" i="28" s="1"/>
  <c r="BP253" i="28"/>
  <c r="BQ253" i="28" s="1"/>
  <c r="BP252" i="28"/>
  <c r="BQ252" i="28" s="1"/>
  <c r="BP251" i="28"/>
  <c r="BQ251" i="28" s="1"/>
  <c r="BP170" i="28"/>
  <c r="BQ170" i="28" s="1"/>
  <c r="BP167" i="28"/>
  <c r="BQ167" i="28" s="1"/>
  <c r="BP127" i="28"/>
  <c r="BQ127" i="28" s="1"/>
  <c r="BR254" i="28"/>
  <c r="BS254" i="28" s="1"/>
  <c r="BR253" i="28"/>
  <c r="BS253" i="28" s="1"/>
  <c r="BR252" i="28"/>
  <c r="BS252" i="28" s="1"/>
  <c r="BR251" i="28"/>
  <c r="BS251" i="28" s="1"/>
  <c r="BR170" i="28"/>
  <c r="BS170" i="28" s="1"/>
  <c r="BR167" i="28"/>
  <c r="BS167" i="28" s="1"/>
  <c r="BR127" i="28"/>
  <c r="BS127" i="28" s="1"/>
  <c r="G242" i="28"/>
  <c r="G235" i="28"/>
  <c r="G232" i="28"/>
  <c r="G231" i="28"/>
  <c r="G228" i="28"/>
  <c r="G227" i="28"/>
  <c r="G226" i="28"/>
  <c r="G225" i="28"/>
  <c r="G216" i="28"/>
  <c r="G210" i="28"/>
  <c r="G202" i="28"/>
  <c r="G190" i="28"/>
  <c r="G187" i="28"/>
  <c r="G186" i="28"/>
  <c r="G181" i="28"/>
  <c r="H167" i="28"/>
  <c r="G149" i="28"/>
  <c r="G145" i="28"/>
  <c r="G137" i="28"/>
  <c r="U137" i="28" s="1"/>
  <c r="V137" i="28" s="1"/>
  <c r="G53" i="28"/>
  <c r="AD254" i="28"/>
  <c r="AC254" i="28"/>
  <c r="R254" i="28"/>
  <c r="H254" i="28"/>
  <c r="AD253" i="28"/>
  <c r="AC253" i="28"/>
  <c r="R253" i="28"/>
  <c r="G253" i="28"/>
  <c r="H253" i="28"/>
  <c r="AD252" i="28"/>
  <c r="AC252" i="28"/>
  <c r="R252" i="28"/>
  <c r="H252" i="28"/>
  <c r="AD250" i="28"/>
  <c r="AC250" i="28"/>
  <c r="AD249" i="28"/>
  <c r="AC249" i="28"/>
  <c r="AD248" i="28"/>
  <c r="AC248" i="28"/>
  <c r="AD247" i="28"/>
  <c r="AC247" i="28"/>
  <c r="AD246" i="28"/>
  <c r="AC246" i="28"/>
  <c r="AD245" i="28"/>
  <c r="AC245" i="28"/>
  <c r="AD244" i="28"/>
  <c r="AC244" i="28"/>
  <c r="AD243" i="28"/>
  <c r="AC243" i="28"/>
  <c r="AD242" i="28"/>
  <c r="AD241" i="28"/>
  <c r="AC241" i="28"/>
  <c r="AD240" i="28"/>
  <c r="AD239" i="28"/>
  <c r="AD238" i="28"/>
  <c r="AD237" i="28"/>
  <c r="AD236" i="28"/>
  <c r="AD235" i="28"/>
  <c r="AC235" i="28"/>
  <c r="AD234" i="28"/>
  <c r="AC234" i="28"/>
  <c r="AD233" i="28"/>
  <c r="AC233" i="28"/>
  <c r="AD232" i="28"/>
  <c r="AC232" i="28"/>
  <c r="AD231" i="28"/>
  <c r="AC231" i="28"/>
  <c r="AD230" i="28"/>
  <c r="AC230" i="28"/>
  <c r="AD229" i="28"/>
  <c r="AC229" i="28"/>
  <c r="AD228" i="28"/>
  <c r="AC228" i="28"/>
  <c r="AD227" i="28"/>
  <c r="AC227" i="28"/>
  <c r="AD226" i="28"/>
  <c r="AC226" i="28"/>
  <c r="AD225" i="28"/>
  <c r="AC225" i="28"/>
  <c r="AD224" i="28"/>
  <c r="AC224" i="28"/>
  <c r="AC219" i="28"/>
  <c r="AC218" i="28"/>
  <c r="AC217" i="28"/>
  <c r="AC216" i="28"/>
  <c r="AC215" i="28"/>
  <c r="AC214" i="28"/>
  <c r="AC213" i="28"/>
  <c r="AC212" i="28"/>
  <c r="AC211" i="28"/>
  <c r="AC210" i="28"/>
  <c r="AC209" i="28"/>
  <c r="U209" i="28"/>
  <c r="AC208" i="28"/>
  <c r="U208" i="28"/>
  <c r="AC207" i="28"/>
  <c r="U207" i="28"/>
  <c r="AC206" i="28"/>
  <c r="U206" i="28"/>
  <c r="AC205" i="28"/>
  <c r="U205" i="28"/>
  <c r="AC204" i="28"/>
  <c r="U204" i="28"/>
  <c r="AC203" i="28"/>
  <c r="U203" i="28"/>
  <c r="AC202" i="28"/>
  <c r="U202" i="28"/>
  <c r="AC201" i="28"/>
  <c r="U201" i="28"/>
  <c r="AC200" i="28"/>
  <c r="U200" i="28"/>
  <c r="AC199" i="28"/>
  <c r="U199" i="28"/>
  <c r="AC198" i="28"/>
  <c r="U198" i="28"/>
  <c r="AC197" i="28"/>
  <c r="U197" i="28"/>
  <c r="AC196" i="28"/>
  <c r="U196" i="28"/>
  <c r="AC195" i="28"/>
  <c r="U195" i="28"/>
  <c r="AC194" i="28"/>
  <c r="U194" i="28"/>
  <c r="AC193" i="28"/>
  <c r="U193" i="28"/>
  <c r="AC192" i="28"/>
  <c r="U192" i="28"/>
  <c r="AC191" i="28"/>
  <c r="U191" i="28"/>
  <c r="AC190" i="28"/>
  <c r="U190" i="28"/>
  <c r="AC189" i="28"/>
  <c r="U189" i="28"/>
  <c r="AC188" i="28"/>
  <c r="U188" i="28"/>
  <c r="AC187" i="28"/>
  <c r="U187" i="28"/>
  <c r="AC186" i="28"/>
  <c r="U186" i="28"/>
  <c r="AC185" i="28"/>
  <c r="U185" i="28"/>
  <c r="AC184" i="28"/>
  <c r="U184" i="28"/>
  <c r="AC183" i="28"/>
  <c r="U183" i="28"/>
  <c r="AC182" i="28"/>
  <c r="U182" i="28"/>
  <c r="AC181" i="28"/>
  <c r="U181" i="28"/>
  <c r="AC180" i="28"/>
  <c r="U180" i="28"/>
  <c r="AC179" i="28"/>
  <c r="U179" i="28"/>
  <c r="AC178" i="28"/>
  <c r="U178" i="28"/>
  <c r="AC177" i="28"/>
  <c r="U177" i="28"/>
  <c r="AC176" i="28"/>
  <c r="U176" i="28"/>
  <c r="AC175" i="28"/>
  <c r="U175" i="28"/>
  <c r="AC174" i="28"/>
  <c r="Y174" i="28"/>
  <c r="V174" i="28"/>
  <c r="AC173" i="28"/>
  <c r="Z173" i="28"/>
  <c r="Z170" i="28" s="1"/>
  <c r="V173" i="28"/>
  <c r="AC172" i="28"/>
  <c r="V172" i="28"/>
  <c r="AC171" i="28"/>
  <c r="V171" i="28"/>
  <c r="J170" i="28"/>
  <c r="AD169" i="28"/>
  <c r="AC169" i="28"/>
  <c r="AD168" i="28"/>
  <c r="AC168" i="28"/>
  <c r="AB167" i="28"/>
  <c r="AC165" i="28"/>
  <c r="AC164" i="28"/>
  <c r="Z164" i="28"/>
  <c r="AC163" i="28"/>
  <c r="Z163" i="28"/>
  <c r="AC162" i="28"/>
  <c r="Z162" i="28"/>
  <c r="AC161" i="28"/>
  <c r="Z161" i="28"/>
  <c r="AC160" i="28"/>
  <c r="Z160" i="28"/>
  <c r="AC159" i="28"/>
  <c r="Z159" i="28"/>
  <c r="AC158" i="28"/>
  <c r="Z158" i="28"/>
  <c r="Z157" i="28"/>
  <c r="AC156" i="28"/>
  <c r="Z156" i="28"/>
  <c r="AC155" i="28"/>
  <c r="Z154" i="28"/>
  <c r="Z153" i="28"/>
  <c r="AC152" i="28"/>
  <c r="X152" i="28"/>
  <c r="AC151" i="28"/>
  <c r="X151" i="28"/>
  <c r="W150" i="28"/>
  <c r="X150" i="28" s="1"/>
  <c r="AC149" i="28"/>
  <c r="X149" i="28"/>
  <c r="V148" i="28"/>
  <c r="AC147" i="28"/>
  <c r="V147" i="28"/>
  <c r="AC146" i="28"/>
  <c r="V146" i="28"/>
  <c r="AC145" i="28"/>
  <c r="U145" i="28"/>
  <c r="V145" i="28" s="1"/>
  <c r="V144" i="28"/>
  <c r="V143" i="28"/>
  <c r="U142" i="28"/>
  <c r="V142" i="28"/>
  <c r="U141" i="28"/>
  <c r="V141" i="28" s="1"/>
  <c r="Z140" i="28"/>
  <c r="U140" i="28"/>
  <c r="V140" i="28" s="1"/>
  <c r="Z139" i="28"/>
  <c r="U139" i="28"/>
  <c r="V139" i="28" s="1"/>
  <c r="U138" i="28"/>
  <c r="V138" i="28" s="1"/>
  <c r="AC137" i="28"/>
  <c r="AC136" i="28"/>
  <c r="Z136" i="28"/>
  <c r="V136" i="28"/>
  <c r="Z135" i="28"/>
  <c r="U135" i="28"/>
  <c r="V135" i="28" s="1"/>
  <c r="U134" i="28"/>
  <c r="V134" i="28" s="1"/>
  <c r="AC133" i="28"/>
  <c r="Z133" i="28"/>
  <c r="U133" i="28"/>
  <c r="V133" i="28" s="1"/>
  <c r="U132" i="28"/>
  <c r="V132" i="28" s="1"/>
  <c r="AC131" i="28"/>
  <c r="Z131" i="28"/>
  <c r="U131" i="28"/>
  <c r="V131" i="28" s="1"/>
  <c r="U130" i="28"/>
  <c r="V130" i="28" s="1"/>
  <c r="AC129" i="28"/>
  <c r="U129" i="28"/>
  <c r="V129" i="28" s="1"/>
  <c r="AC128" i="28"/>
  <c r="Z128" i="28"/>
  <c r="U128" i="28"/>
  <c r="V128" i="28" s="1"/>
  <c r="J127" i="28"/>
  <c r="AC117" i="28"/>
  <c r="AC116" i="28"/>
  <c r="AC114" i="28"/>
  <c r="AC113" i="28"/>
  <c r="Z113" i="28"/>
  <c r="AC112" i="28"/>
  <c r="Z112" i="28"/>
  <c r="AC111" i="28"/>
  <c r="Z111" i="28"/>
  <c r="AC110" i="28"/>
  <c r="Z110" i="28"/>
  <c r="AC109" i="28"/>
  <c r="Z109" i="28"/>
  <c r="AC108" i="28"/>
  <c r="Z108" i="28"/>
  <c r="AC107" i="28"/>
  <c r="Z107" i="28"/>
  <c r="Z106" i="28"/>
  <c r="Z105" i="28"/>
  <c r="AC104" i="28"/>
  <c r="Z104" i="28"/>
  <c r="AC103" i="28"/>
  <c r="Z103" i="28"/>
  <c r="AC102" i="28"/>
  <c r="Z102" i="28"/>
  <c r="AC101" i="28"/>
  <c r="Z101" i="28"/>
  <c r="AC100" i="28"/>
  <c r="Z100" i="28"/>
  <c r="AC99" i="28"/>
  <c r="Z99" i="28"/>
  <c r="AC98" i="28"/>
  <c r="Z98" i="28"/>
  <c r="Z97" i="28"/>
  <c r="Z96" i="28"/>
  <c r="Z95" i="28"/>
  <c r="AC94" i="28"/>
  <c r="X94" i="28"/>
  <c r="Z93" i="28"/>
  <c r="U93" i="28"/>
  <c r="V93" i="28" s="1"/>
  <c r="Z92" i="28"/>
  <c r="U92" i="28"/>
  <c r="V92" i="28" s="1"/>
  <c r="Z91" i="28"/>
  <c r="U91" i="28"/>
  <c r="V91" i="28" s="1"/>
  <c r="AC90" i="28"/>
  <c r="V90" i="28"/>
  <c r="AC89" i="28"/>
  <c r="V89" i="28"/>
  <c r="V88" i="28"/>
  <c r="AC87" i="28"/>
  <c r="U87" i="28"/>
  <c r="V87" i="28" s="1"/>
  <c r="AC86" i="28"/>
  <c r="V86" i="28"/>
  <c r="Z85" i="28"/>
  <c r="U85" i="28"/>
  <c r="V85" i="28" s="1"/>
  <c r="AC84" i="28"/>
  <c r="Z84" i="28"/>
  <c r="V84" i="28"/>
  <c r="AC83" i="28"/>
  <c r="U83" i="28"/>
  <c r="V83" i="28" s="1"/>
  <c r="AC82" i="28"/>
  <c r="V82" i="28"/>
  <c r="U81" i="28"/>
  <c r="V81" i="28" s="1"/>
  <c r="U80" i="28"/>
  <c r="V80" i="28" s="1"/>
  <c r="T79" i="28"/>
  <c r="Z78" i="28"/>
  <c r="S78" i="28"/>
  <c r="T78" i="28" s="1"/>
  <c r="AC77" i="28"/>
  <c r="X77" i="28"/>
  <c r="S77" i="28"/>
  <c r="T77" i="28" s="1"/>
  <c r="AC76" i="28"/>
  <c r="Z76" i="28"/>
  <c r="S76" i="28"/>
  <c r="T76" i="28" s="1"/>
  <c r="AC75" i="28"/>
  <c r="S75" i="28"/>
  <c r="T75" i="28" s="1"/>
  <c r="AC74" i="28"/>
  <c r="Z74" i="28"/>
  <c r="S74" i="28"/>
  <c r="T74" i="28" s="1"/>
  <c r="Z73" i="28"/>
  <c r="V73" i="28"/>
  <c r="T73" i="28"/>
  <c r="AC72" i="28"/>
  <c r="T72" i="28"/>
  <c r="AC71" i="28"/>
  <c r="Z71" i="28"/>
  <c r="T71" i="28"/>
  <c r="AC70" i="28"/>
  <c r="T70" i="28"/>
  <c r="AC69" i="28"/>
  <c r="Z69" i="28"/>
  <c r="T69" i="28"/>
  <c r="T68" i="28"/>
  <c r="T67" i="28"/>
  <c r="T66" i="28"/>
  <c r="T65" i="28"/>
  <c r="Z64" i="28"/>
  <c r="V64" i="28"/>
  <c r="S64" i="28"/>
  <c r="T64" i="28" s="1"/>
  <c r="T63" i="28"/>
  <c r="AC62" i="28"/>
  <c r="Q62" i="28"/>
  <c r="R62" i="28" s="1"/>
  <c r="AC61" i="28"/>
  <c r="Q61" i="28"/>
  <c r="R61" i="28"/>
  <c r="Z60" i="28"/>
  <c r="Q60" i="28"/>
  <c r="R60" i="28" s="1"/>
  <c r="Q59" i="28"/>
  <c r="R59" i="28"/>
  <c r="AC58" i="28"/>
  <c r="Q58" i="28"/>
  <c r="R58" i="28"/>
  <c r="AC57" i="28"/>
  <c r="Q57" i="28"/>
  <c r="R57" i="28"/>
  <c r="AC56" i="28"/>
  <c r="Q56" i="28"/>
  <c r="R56" i="28"/>
  <c r="AC55" i="28"/>
  <c r="Q55" i="28"/>
  <c r="R55" i="28"/>
  <c r="AC54" i="28"/>
  <c r="Q54" i="28"/>
  <c r="R54" i="28"/>
  <c r="AC53" i="28"/>
  <c r="Q53" i="28"/>
  <c r="R53" i="28"/>
  <c r="AC52" i="28"/>
  <c r="Q52" i="28"/>
  <c r="R52" i="28"/>
  <c r="AC51" i="28"/>
  <c r="Q51" i="28"/>
  <c r="R51" i="28"/>
  <c r="AC50" i="28"/>
  <c r="Q50" i="28"/>
  <c r="R50" i="28"/>
  <c r="AC49" i="28"/>
  <c r="Q49" i="28"/>
  <c r="R49" i="28"/>
  <c r="Q48" i="28"/>
  <c r="R48" i="28" s="1"/>
  <c r="AC47" i="28"/>
  <c r="Q47" i="28"/>
  <c r="R47" i="28"/>
  <c r="Z46" i="28"/>
  <c r="S46" i="28"/>
  <c r="T46" i="28"/>
  <c r="Q46" i="28"/>
  <c r="R46" i="28" s="1"/>
  <c r="AC45" i="28"/>
  <c r="R45" i="28"/>
  <c r="AC44" i="28"/>
  <c r="Q44" i="28"/>
  <c r="R44" i="28" s="1"/>
  <c r="Z43" i="28"/>
  <c r="Q43" i="28"/>
  <c r="R43" i="28" s="1"/>
  <c r="Z42" i="28"/>
  <c r="P42" i="28"/>
  <c r="P41" i="28"/>
  <c r="AC40" i="28"/>
  <c r="Z40" i="28"/>
  <c r="P40" i="28"/>
  <c r="AC39" i="28"/>
  <c r="S39" i="28"/>
  <c r="T39" i="28"/>
  <c r="P39" i="28"/>
  <c r="AC38" i="28"/>
  <c r="P38" i="28"/>
  <c r="Z37" i="28"/>
  <c r="P37" i="28"/>
  <c r="P36" i="28"/>
  <c r="AC35" i="28"/>
  <c r="P35" i="28"/>
  <c r="Z34" i="28"/>
  <c r="S34" i="28"/>
  <c r="T34" i="28"/>
  <c r="P34" i="28"/>
  <c r="T33" i="28"/>
  <c r="P33" i="28"/>
  <c r="P32" i="28"/>
  <c r="AC31" i="28"/>
  <c r="O31" i="28"/>
  <c r="P31" i="28" s="1"/>
  <c r="P30" i="28"/>
  <c r="O29" i="28"/>
  <c r="P29" i="28" s="1"/>
  <c r="AC28" i="28"/>
  <c r="O28" i="28"/>
  <c r="P28" i="28" s="1"/>
  <c r="AC27" i="28"/>
  <c r="P27" i="28"/>
  <c r="AC26" i="28"/>
  <c r="O26" i="28"/>
  <c r="P26" i="28" s="1"/>
  <c r="AC25" i="28"/>
  <c r="O25" i="28"/>
  <c r="P25" i="28" s="1"/>
  <c r="P24" i="28"/>
  <c r="AC23" i="28"/>
  <c r="P23" i="28"/>
  <c r="P22" i="28"/>
  <c r="O21" i="28"/>
  <c r="P21" i="28" s="1"/>
  <c r="Z20" i="28"/>
  <c r="T20" i="28"/>
  <c r="O20" i="28"/>
  <c r="P20" i="28" s="1"/>
  <c r="O19" i="28"/>
  <c r="P19" i="28" s="1"/>
  <c r="M18" i="28"/>
  <c r="N18" i="28"/>
  <c r="AC17" i="28"/>
  <c r="M17" i="28"/>
  <c r="N17" i="28"/>
  <c r="O16" i="28"/>
  <c r="P16" i="28"/>
  <c r="N16" i="28"/>
  <c r="AC15" i="28"/>
  <c r="R15" i="28"/>
  <c r="N15" i="28"/>
  <c r="AC14" i="28"/>
  <c r="R14" i="28"/>
  <c r="M14" i="28"/>
  <c r="N14" i="28"/>
  <c r="Z13" i="28"/>
  <c r="T13" i="28"/>
  <c r="Q13" i="28"/>
  <c r="R13" i="28"/>
  <c r="L13" i="28"/>
  <c r="L12" i="28" s="1"/>
  <c r="J12" i="28"/>
  <c r="BM11" i="28"/>
  <c r="BK11" i="28"/>
  <c r="BI11" i="28"/>
  <c r="BG11" i="28"/>
  <c r="BE11" i="28"/>
  <c r="BC11" i="28"/>
  <c r="BA11" i="28"/>
  <c r="AY11" i="28"/>
  <c r="AW11" i="28"/>
  <c r="AU11" i="28"/>
  <c r="AS11" i="28"/>
  <c r="AQ11" i="28"/>
  <c r="AO11" i="28"/>
  <c r="AM11" i="28"/>
  <c r="AK11" i="28"/>
  <c r="AI11" i="28"/>
  <c r="AG11" i="28"/>
  <c r="I5" i="23"/>
  <c r="K5" i="23"/>
  <c r="I6" i="23"/>
  <c r="K6" i="23"/>
  <c r="I7" i="23"/>
  <c r="K7" i="23"/>
  <c r="I8" i="23"/>
  <c r="K8" i="23"/>
  <c r="I9" i="23"/>
  <c r="K9" i="23"/>
  <c r="I10" i="23"/>
  <c r="K10" i="23"/>
  <c r="I11" i="23"/>
  <c r="K11" i="23"/>
  <c r="I12" i="23"/>
  <c r="K12" i="23"/>
  <c r="I13" i="23"/>
  <c r="K13" i="23"/>
  <c r="I14" i="23"/>
  <c r="K14" i="23"/>
  <c r="I15" i="23"/>
  <c r="K15" i="23"/>
  <c r="I16" i="23"/>
  <c r="K16" i="23"/>
  <c r="I18" i="23"/>
  <c r="K18" i="23"/>
  <c r="I4" i="23"/>
  <c r="K4" i="23"/>
  <c r="L4" i="23"/>
  <c r="L5" i="23"/>
  <c r="L6" i="23"/>
  <c r="L7" i="23"/>
  <c r="L8" i="23"/>
  <c r="L9" i="23"/>
  <c r="L10" i="23"/>
  <c r="L11" i="23"/>
  <c r="L12" i="23"/>
  <c r="L13" i="23"/>
  <c r="L14" i="23"/>
  <c r="L15" i="23"/>
  <c r="L16" i="23"/>
  <c r="L17" i="23"/>
  <c r="L18" i="23"/>
  <c r="L2" i="23"/>
  <c r="J4" i="23"/>
  <c r="J5" i="23"/>
  <c r="J6" i="23"/>
  <c r="J7" i="23"/>
  <c r="J8" i="23"/>
  <c r="J9" i="23"/>
  <c r="J10" i="23"/>
  <c r="J11" i="23"/>
  <c r="J12" i="23"/>
  <c r="J13" i="23"/>
  <c r="J14" i="23"/>
  <c r="J15" i="23"/>
  <c r="J16" i="23"/>
  <c r="I17" i="23"/>
  <c r="J17" i="23"/>
  <c r="J18" i="23"/>
  <c r="J2" i="23"/>
  <c r="H4" i="23"/>
  <c r="H5" i="23"/>
  <c r="H6" i="23"/>
  <c r="H7" i="23"/>
  <c r="H8" i="23"/>
  <c r="H9" i="23"/>
  <c r="H10" i="23"/>
  <c r="H11" i="23"/>
  <c r="H12" i="23"/>
  <c r="H13" i="23"/>
  <c r="H14" i="23"/>
  <c r="H15" i="23"/>
  <c r="H16" i="23"/>
  <c r="H17" i="23"/>
  <c r="H18" i="23"/>
  <c r="H2" i="23"/>
  <c r="G3" i="12"/>
  <c r="H5" i="12"/>
  <c r="H6" i="12"/>
  <c r="H7" i="12"/>
  <c r="H8" i="12"/>
  <c r="H9" i="12"/>
  <c r="H10" i="12"/>
  <c r="H3" i="12"/>
  <c r="H5" i="10"/>
  <c r="L5" i="10"/>
  <c r="M5" i="10"/>
  <c r="H6" i="10"/>
  <c r="L6" i="10"/>
  <c r="M6" i="10"/>
  <c r="H7" i="10"/>
  <c r="L7" i="10"/>
  <c r="M7" i="10"/>
  <c r="H8" i="10"/>
  <c r="L8" i="10"/>
  <c r="M8" i="10"/>
  <c r="H9" i="10"/>
  <c r="L9" i="10"/>
  <c r="M9" i="10"/>
  <c r="H4" i="10"/>
  <c r="L4" i="10"/>
  <c r="M4" i="10"/>
  <c r="K4" i="10"/>
  <c r="K5" i="10"/>
  <c r="K6" i="10"/>
  <c r="K7" i="10"/>
  <c r="K8" i="10"/>
  <c r="K9" i="10"/>
  <c r="K2" i="10"/>
  <c r="M2" i="10"/>
  <c r="I4" i="10"/>
  <c r="I5" i="10"/>
  <c r="I6" i="10"/>
  <c r="I7" i="10"/>
  <c r="I8" i="10"/>
  <c r="I9" i="10"/>
  <c r="I2" i="10"/>
  <c r="G4" i="10"/>
  <c r="G5" i="10"/>
  <c r="G6" i="10"/>
  <c r="G7" i="10"/>
  <c r="G8" i="10"/>
  <c r="G9" i="10"/>
  <c r="G2" i="10"/>
  <c r="H5" i="18"/>
  <c r="H6" i="18"/>
  <c r="H7" i="18"/>
  <c r="H8" i="18"/>
  <c r="H9" i="18"/>
  <c r="H10" i="18"/>
  <c r="H11" i="18"/>
  <c r="H12" i="18"/>
  <c r="H13" i="18"/>
  <c r="H14" i="18"/>
  <c r="H15" i="18"/>
  <c r="H16" i="18"/>
  <c r="H17" i="18"/>
  <c r="H18" i="18"/>
  <c r="H19" i="18"/>
  <c r="H3" i="18"/>
  <c r="G3" i="18"/>
  <c r="G38" i="9"/>
  <c r="I38" i="9"/>
  <c r="G32" i="9"/>
  <c r="I32" i="9"/>
  <c r="G11" i="9"/>
  <c r="I11" i="9"/>
  <c r="G10" i="9"/>
  <c r="I10" i="9"/>
  <c r="G9" i="9"/>
  <c r="I9" i="9"/>
  <c r="G8" i="9"/>
  <c r="I8" i="9"/>
  <c r="G7" i="9"/>
  <c r="I7" i="9"/>
  <c r="G6" i="9"/>
  <c r="I6" i="9"/>
  <c r="G5" i="9"/>
  <c r="I5" i="9"/>
  <c r="G4" i="9"/>
  <c r="I4" i="9"/>
  <c r="G3" i="9"/>
  <c r="I3" i="9"/>
  <c r="G2" i="9"/>
  <c r="I2" i="9"/>
  <c r="F38" i="9"/>
  <c r="H38" i="9"/>
  <c r="F32" i="9"/>
  <c r="H32" i="9"/>
  <c r="F11" i="9"/>
  <c r="H11" i="9"/>
  <c r="F10" i="9"/>
  <c r="H10" i="9"/>
  <c r="F9" i="9"/>
  <c r="H9" i="9"/>
  <c r="F8" i="9"/>
  <c r="H8" i="9"/>
  <c r="F7" i="9"/>
  <c r="H7" i="9"/>
  <c r="F6" i="9"/>
  <c r="H6" i="9"/>
  <c r="F5" i="9"/>
  <c r="H5" i="9"/>
  <c r="F4" i="9"/>
  <c r="H4" i="9"/>
  <c r="F3" i="9"/>
  <c r="H3" i="9"/>
  <c r="F2" i="9"/>
  <c r="H2" i="9"/>
  <c r="G12" i="9"/>
  <c r="G13" i="9"/>
  <c r="G14" i="9"/>
  <c r="G15" i="9"/>
  <c r="G16" i="9"/>
  <c r="G17" i="9"/>
  <c r="G18" i="9"/>
  <c r="G19" i="9"/>
  <c r="G20" i="9"/>
  <c r="G21" i="9"/>
  <c r="G22" i="9"/>
  <c r="G23" i="9"/>
  <c r="G24" i="9"/>
  <c r="G25" i="9"/>
  <c r="G26" i="9"/>
  <c r="G27" i="9"/>
  <c r="G28" i="9"/>
  <c r="G29" i="9"/>
  <c r="G30" i="9"/>
  <c r="G31" i="9"/>
  <c r="G33" i="9"/>
  <c r="G34" i="9"/>
  <c r="G35" i="9"/>
  <c r="G36" i="9"/>
  <c r="G37" i="9"/>
  <c r="F12" i="9"/>
  <c r="F13" i="9"/>
  <c r="F14" i="9"/>
  <c r="F15" i="9"/>
  <c r="F16" i="9"/>
  <c r="F17" i="9"/>
  <c r="F18" i="9"/>
  <c r="F19" i="9"/>
  <c r="F20" i="9"/>
  <c r="F21" i="9"/>
  <c r="F22" i="9"/>
  <c r="F23" i="9"/>
  <c r="F24" i="9"/>
  <c r="F25" i="9"/>
  <c r="F26" i="9"/>
  <c r="F27" i="9"/>
  <c r="F28" i="9"/>
  <c r="F29" i="9"/>
  <c r="F30" i="9"/>
  <c r="F31" i="9"/>
  <c r="F33" i="9"/>
  <c r="F34" i="9"/>
  <c r="F35" i="9"/>
  <c r="F36" i="9"/>
  <c r="F37" i="9"/>
  <c r="AC118" i="28" l="1"/>
  <c r="H251" i="28"/>
  <c r="AC115" i="28"/>
  <c r="X127" i="28"/>
  <c r="AD167" i="28"/>
  <c r="N12" i="28"/>
  <c r="R251" i="28"/>
  <c r="AD251" i="28"/>
  <c r="Z127" i="28"/>
  <c r="R12" i="28"/>
  <c r="V12" i="28"/>
  <c r="AD170" i="28"/>
  <c r="V170" i="28"/>
  <c r="Z12" i="28"/>
  <c r="P12" i="28"/>
  <c r="T12" i="28"/>
  <c r="AD127" i="28"/>
  <c r="G127" i="28" s="1"/>
  <c r="AD12" i="28"/>
  <c r="G12" i="28" s="1"/>
  <c r="V127" i="28"/>
  <c r="AB127" i="28"/>
  <c r="AB12" i="28"/>
</calcChain>
</file>

<file path=xl/sharedStrings.xml><?xml version="1.0" encoding="utf-8"?>
<sst xmlns="http://schemas.openxmlformats.org/spreadsheetml/2006/main" count="2201" uniqueCount="802">
  <si>
    <t>Unit/ Đơn vị</t>
  </si>
  <si>
    <t>Weight/Khối lượng (Kg)</t>
  </si>
  <si>
    <t>Profile/ Vật tư</t>
  </si>
  <si>
    <t>Grade/ Mác vật liệu</t>
  </si>
  <si>
    <t>U.Weight/ Đ.Trọng (Kg/m2,m,pcs)</t>
  </si>
  <si>
    <t>REF. DOC. NO.: ILS-PRC-F06A Rev. 0 (For Engineering only)</t>
  </si>
  <si>
    <t>Q.Ty/Số lượng</t>
  </si>
  <si>
    <t>PRIORITY/  THỜI GIAN CẤP:</t>
  </si>
  <si>
    <t xml:space="preserve">              CRITICAL (within 3 days) / NGAY LẬP TỨC (Dưới 3 ngày)                         </t>
  </si>
  <si>
    <t>URGENT / KHẨN CẤP</t>
  </si>
  <si>
    <t xml:space="preserve">    1 WEEK/ 1 TUẦN</t>
  </si>
  <si>
    <r>
      <rPr>
        <b/>
        <u/>
        <sz val="10"/>
        <rFont val="Cambria"/>
        <family val="1"/>
        <scheme val="major"/>
      </rPr>
      <t xml:space="preserve">REMARKS /  CHÚ Ý </t>
    </r>
    <r>
      <rPr>
        <b/>
        <sz val="10"/>
        <rFont val="Cambria"/>
        <family val="1"/>
        <scheme val="major"/>
      </rPr>
      <t>:</t>
    </r>
  </si>
  <si>
    <t>ASSIGN COST TO/ NGUỒN CHI PHÍ:</t>
  </si>
  <si>
    <r>
      <rPr>
        <b/>
        <u/>
        <sz val="10"/>
        <rFont val="Cambria"/>
        <family val="1"/>
        <scheme val="major"/>
      </rPr>
      <t>REMARKS/  CHÚ Ý</t>
    </r>
    <r>
      <rPr>
        <b/>
        <sz val="10"/>
        <rFont val="Cambria"/>
        <family val="1"/>
        <scheme val="major"/>
      </rPr>
      <t>:</t>
    </r>
  </si>
  <si>
    <t>PURPOSE / MỤC DÍCH:</t>
  </si>
  <si>
    <r>
      <t xml:space="preserve">Department/ Phòng: </t>
    </r>
    <r>
      <rPr>
        <b/>
        <sz val="11"/>
        <color rgb="FFFF0000"/>
        <rFont val="Cambria"/>
        <family val="1"/>
        <scheme val="major"/>
      </rPr>
      <t>ENGINEERING/ Thiết kế</t>
    </r>
  </si>
  <si>
    <r>
      <t xml:space="preserve">Job Title/ Hạng mục: </t>
    </r>
    <r>
      <rPr>
        <b/>
        <sz val="11"/>
        <color rgb="FFFF0000"/>
        <rFont val="Cambria"/>
        <family val="1"/>
        <scheme val="major"/>
      </rPr>
      <t>Main and Accessory Material/ Vật tư chính,phụ</t>
    </r>
  </si>
  <si>
    <t>PURCHASE REQUISITION / ĐỀ NGHỊ MUA VẬT TƯ</t>
  </si>
  <si>
    <t>Remarks/ Ghi chú</t>
  </si>
  <si>
    <t xml:space="preserve">               PROJECT BUDGET/ NGÂN SÁCH DỰ ÁN</t>
  </si>
  <si>
    <t>Requested by/ Yêu cầu:</t>
  </si>
  <si>
    <t>Reviewed by/ Kiểm tra:</t>
  </si>
  <si>
    <t>Approved by/ Phê duyệt</t>
  </si>
  <si>
    <t>Project Manager/ Giám đốc dự án</t>
  </si>
  <si>
    <t xml:space="preserve">    Other/ Khác:</t>
  </si>
  <si>
    <t>Name/ Tên:</t>
  </si>
  <si>
    <t>Position/ Vị trí:</t>
  </si>
  <si>
    <t>Signature/ Chữ ký:</t>
  </si>
  <si>
    <t>Date/ Ngày:</t>
  </si>
  <si>
    <t>FOR PROJECT/ DỰ ÁN</t>
  </si>
  <si>
    <t>TRADING &amp; SUPPLY / MMUA VÀ CUNG CẤP</t>
  </si>
  <si>
    <t>AS DELIVERY (Date: ……………)/ CẦN VÀO NGÀY :……………</t>
  </si>
  <si>
    <t>FOR IN-HOUSE/ CHO SỬ DỤNG</t>
  </si>
  <si>
    <t xml:space="preserve">         Lost/Damaged/ Mất mát, hỏng hóc</t>
  </si>
  <si>
    <t xml:space="preserve">          Req'd as Spares,Stock/ Dự phòng</t>
  </si>
  <si>
    <t xml:space="preserve">          Consumables/ Vật tư tiêu hao</t>
  </si>
  <si>
    <t xml:space="preserve">         Shortage from previous ordered/Cấp thêm cho lần trước</t>
  </si>
  <si>
    <t xml:space="preserve">        Balance from previous ordered/ Phần còn lại chưa cấp</t>
  </si>
  <si>
    <t xml:space="preserve">         Replace wrong part/ Thay thế chi tiết sai</t>
  </si>
  <si>
    <t xml:space="preserve">    Lost,Damaged/Mất mát,hỏng hóc</t>
  </si>
  <si>
    <t xml:space="preserve">    Req'd as Spares/ Dự phòng</t>
  </si>
  <si>
    <t>PROJECT within IBS / DỰ ÁN NỘI BỘ</t>
  </si>
  <si>
    <t>PRODUCTION,MAINTENANCE/ SẢN XUẤT,BẢO DƯỠNG</t>
  </si>
  <si>
    <t>OTHER/ Khác</t>
  </si>
  <si>
    <t xml:space="preserve">    Consumables/Vật tư tiêu hao</t>
  </si>
  <si>
    <t>Q.Ty/ 
Số lượng</t>
  </si>
  <si>
    <t>Weight/
Khối lượng (Kg)</t>
  </si>
  <si>
    <t>Q.Ty/
Số lượng</t>
  </si>
  <si>
    <t>Item/ 
STT</t>
  </si>
  <si>
    <t>Description/ 
Chi tiết</t>
  </si>
  <si>
    <r>
      <t xml:space="preserve">Client/ Khách hàng: </t>
    </r>
    <r>
      <rPr>
        <b/>
        <sz val="11"/>
        <color rgb="FFFF0000"/>
        <rFont val="Cambria"/>
        <family val="1"/>
        <scheme val="major"/>
      </rPr>
      <t>VOGT POWER INTERNATIONER</t>
    </r>
  </si>
  <si>
    <t>m2</t>
  </si>
  <si>
    <r>
      <rPr>
        <sz val="14"/>
        <color rgb="FF0070C0"/>
        <rFont val="Cambria"/>
        <family val="1"/>
        <scheme val="major"/>
      </rPr>
      <t>IBS HI JOINT STOCK COMPANY</t>
    </r>
    <r>
      <rPr>
        <sz val="11"/>
        <color rgb="FF0070C0"/>
        <rFont val="Cambria"/>
        <family val="1"/>
        <scheme val="major"/>
      </rPr>
      <t xml:space="preserve">
Address: Km 6 Freeway No. 05 Hung Vuong, Hong Bang District, Hai Phong City, Viet Nam.</t>
    </r>
  </si>
  <si>
    <t>Previous Ordered/
Đã dự trù</t>
  </si>
  <si>
    <t>Total Ordered/
Tổng dự trù</t>
  </si>
  <si>
    <t>Net Quantity/
Số lượng tinh</t>
  </si>
  <si>
    <r>
      <t xml:space="preserve">Project Code/ Mã dự án: </t>
    </r>
    <r>
      <rPr>
        <b/>
        <sz val="11"/>
        <color rgb="FFFF0000"/>
        <rFont val="Cambria"/>
        <family val="1"/>
        <scheme val="major"/>
      </rPr>
      <t>25-VPI-I-095</t>
    </r>
  </si>
  <si>
    <r>
      <t xml:space="preserve">Project ID/ Mã nhận diện dự án: </t>
    </r>
    <r>
      <rPr>
        <b/>
        <sz val="11"/>
        <color rgb="FFFF0000"/>
        <rFont val="Cambria"/>
        <family val="1"/>
        <scheme val="major"/>
      </rPr>
      <t>VOGT-V17565</t>
    </r>
  </si>
  <si>
    <t>Project Name / Tên dự án :BISON</t>
  </si>
  <si>
    <r>
      <t xml:space="preserve">Job No/ Số dự án: </t>
    </r>
    <r>
      <rPr>
        <b/>
        <sz val="11"/>
        <color rgb="FFFF0000"/>
        <rFont val="Cambria"/>
        <family val="1"/>
        <scheme val="major"/>
      </rPr>
      <t>VOGT POWER PROJECT, 25-VPI-I-095/V17565</t>
    </r>
  </si>
  <si>
    <t>Tôn tấm</t>
  </si>
  <si>
    <t>PL10x2000X12000</t>
  </si>
  <si>
    <t>SS400</t>
  </si>
  <si>
    <t>Current Ordered/
Dự trù lần 0</t>
  </si>
  <si>
    <t>I95-VTC01-001</t>
  </si>
  <si>
    <t>VTC01</t>
  </si>
  <si>
    <t>Main-Material /  Vật tư chính thép đen</t>
  </si>
  <si>
    <t>VTC02</t>
  </si>
  <si>
    <t>Main-Material /  Vật tư chính thép trắng</t>
  </si>
  <si>
    <t>VTC03</t>
  </si>
  <si>
    <t>Gratting-Material /  Vật tư gratting</t>
  </si>
  <si>
    <t>VTC04</t>
  </si>
  <si>
    <t>Insulation-Material /  Vật tư bảo ôn</t>
  </si>
  <si>
    <t>VPK</t>
  </si>
  <si>
    <t>Bolt-Material /  Vật tư bulong, phụ kiện</t>
  </si>
  <si>
    <t>I95-VTC01-002</t>
  </si>
  <si>
    <t>I95-VTC01-003</t>
  </si>
  <si>
    <t>I95-VTC01-004</t>
  </si>
  <si>
    <t>I95-VTC01-005</t>
  </si>
  <si>
    <t>I95-VTC01-006</t>
  </si>
  <si>
    <t>gasket</t>
  </si>
  <si>
    <t>A572-GR50</t>
  </si>
  <si>
    <t>GARLOCK-GYLON 3510</t>
  </si>
  <si>
    <t>cái</t>
  </si>
  <si>
    <t>Current Ordered/
Dự trù lần 1</t>
  </si>
  <si>
    <t>GASKET-PL2-MUA THEO BẢN VẼ</t>
  </si>
  <si>
    <t>I95-VPK-001</t>
  </si>
  <si>
    <t>PL1.5x1250X2500</t>
  </si>
  <si>
    <t>REV1-IBS REV</t>
  </si>
  <si>
    <t>PL3X1500X6000</t>
  </si>
  <si>
    <t>PL25x2000x12000</t>
  </si>
  <si>
    <t>PL55x2000x12000</t>
  </si>
  <si>
    <t>PL42x2000x7500</t>
  </si>
  <si>
    <t>Current Ordered/
Dự trù lần 2</t>
  </si>
  <si>
    <t>I95-VTC01-007</t>
  </si>
  <si>
    <t>I95-VTC01-008</t>
  </si>
  <si>
    <t>I95-VTC01-009</t>
  </si>
  <si>
    <t>I95-VTC01-010</t>
  </si>
  <si>
    <t>I95-VTC01-011</t>
  </si>
  <si>
    <t>I95-VTC01-012</t>
  </si>
  <si>
    <t>I95-VTC01-013</t>
  </si>
  <si>
    <t>I95-VTC01-014</t>
  </si>
  <si>
    <t>I95-VTC01-015</t>
  </si>
  <si>
    <t>I95-VTC01-016</t>
  </si>
  <si>
    <t>I95-VTC01-017</t>
  </si>
  <si>
    <t>I95-VTC01-018</t>
  </si>
  <si>
    <t>I95-VTC01-019</t>
  </si>
  <si>
    <t>I95-VTC01-020</t>
  </si>
  <si>
    <t>I95-VTC01-021</t>
  </si>
  <si>
    <t>I95-VTC01-022</t>
  </si>
  <si>
    <t>I95-VTC01-023</t>
  </si>
  <si>
    <t>I95-VTC01-024</t>
  </si>
  <si>
    <t>I95-VTC01-025</t>
  </si>
  <si>
    <t>I95-VTC01-026</t>
  </si>
  <si>
    <t>I95-VTC01-027</t>
  </si>
  <si>
    <t>I95-VTC01-028</t>
  </si>
  <si>
    <t>I95-VTC01-029</t>
  </si>
  <si>
    <t>I95-VTC01-030</t>
  </si>
  <si>
    <t>Thép hình C</t>
  </si>
  <si>
    <t>Thép hình H</t>
  </si>
  <si>
    <t>Thép hình L</t>
  </si>
  <si>
    <t>m</t>
  </si>
  <si>
    <t>REV2-IBS REV</t>
  </si>
  <si>
    <t>C150X75X6.5X10-12000L</t>
  </si>
  <si>
    <t>C200X80X7.5X11-12000L</t>
  </si>
  <si>
    <t>H200X200X8X12-12000L</t>
  </si>
  <si>
    <t>H294X200X8X12-12000L</t>
  </si>
  <si>
    <t>H300X150X6.5X9-12000L</t>
  </si>
  <si>
    <t>H340X250X9X14-12000L</t>
  </si>
  <si>
    <t>H600X200X11X17-12000L</t>
  </si>
  <si>
    <t>L100X100X7-12000L</t>
  </si>
  <si>
    <t>L120X120X8-12000L</t>
  </si>
  <si>
    <t>L90X90X6-12000L</t>
  </si>
  <si>
    <t>PL6X2000X CUỘN</t>
  </si>
  <si>
    <t>PL12X2000X12000</t>
  </si>
  <si>
    <t>PL16X2000X12000</t>
  </si>
  <si>
    <t>PL20X2000X12000</t>
  </si>
  <si>
    <t>PL28X2000X6000</t>
  </si>
  <si>
    <t>PL50X2000X9000</t>
  </si>
  <si>
    <t>PL32X2000X12000</t>
  </si>
  <si>
    <t>PL38X2000X12000</t>
  </si>
  <si>
    <t>PL50X2000X3000</t>
  </si>
  <si>
    <t>PL60X2000X12000</t>
  </si>
  <si>
    <t>PL65X2000X6000</t>
  </si>
  <si>
    <t>Current Ordered/
Dự trù lần 3</t>
  </si>
  <si>
    <t>Packing-Material /  Vật tư đóng kiện</t>
  </si>
  <si>
    <t>VDK</t>
  </si>
  <si>
    <t>I95-VDK-001</t>
  </si>
  <si>
    <t>I95-VDK-002</t>
  </si>
  <si>
    <t>I95-VDK-003</t>
  </si>
  <si>
    <t xml:space="preserve">thép tròn </t>
  </si>
  <si>
    <t>L75X75X6</t>
  </si>
  <si>
    <t>RB10</t>
  </si>
  <si>
    <t>REV3-KHÁCH HÀNG REV</t>
  </si>
  <si>
    <t>I95-VTC01-031</t>
  </si>
  <si>
    <t>I95-VTC01-032</t>
  </si>
  <si>
    <t>I95-VTC01-033</t>
  </si>
  <si>
    <t>I95-VTC01-034</t>
  </si>
  <si>
    <t>I95-VTC01-035</t>
  </si>
  <si>
    <t>I95-VTC01-036</t>
  </si>
  <si>
    <t>I95-VTC01-037</t>
  </si>
  <si>
    <t>I95-VTC01-038</t>
  </si>
  <si>
    <t>I95-VTC01-039</t>
  </si>
  <si>
    <t>I95-VTC01-040</t>
  </si>
  <si>
    <t>I95-VTC01-041</t>
  </si>
  <si>
    <t>I95-VTC01-042</t>
  </si>
  <si>
    <t>I95-VTC01-043</t>
  </si>
  <si>
    <t>L150X150X12-12000L</t>
  </si>
  <si>
    <t>REV3-IBS REV</t>
  </si>
  <si>
    <t>L100X100X12-12000L</t>
  </si>
  <si>
    <t>L200X200X25-12000L</t>
  </si>
  <si>
    <t>C200X90X8X13.5-12000L</t>
  </si>
  <si>
    <t>PL6X2000X11450</t>
  </si>
  <si>
    <t>I95-VTC01-044</t>
  </si>
  <si>
    <t>PL6X2000X12000</t>
  </si>
  <si>
    <t>PL8X2000X11450</t>
  </si>
  <si>
    <t>REV3-IBS REV( 44 tờ PL6X2000X11450)</t>
  </si>
  <si>
    <t>Tôn tấm-cửa stack</t>
  </si>
  <si>
    <t>Tôn tấm cắt bước-stack</t>
  </si>
  <si>
    <t>Tôn tấm cắt bước-đáy stack</t>
  </si>
  <si>
    <t>PL8X2000X7400</t>
  </si>
  <si>
    <t>PL8X2000X10400</t>
  </si>
  <si>
    <t>REV3-IBS REV( 4 tờ PL8X2000X7400)</t>
  </si>
  <si>
    <t>REV3-IBS REV( 25 tờ PL8X2000X11450)</t>
  </si>
  <si>
    <t>REV3-IBS REV( 2 tờ PL8X2000X10400)</t>
  </si>
  <si>
    <t>PL10X2000X11450</t>
  </si>
  <si>
    <t>REV3-IBS REV( 25 tờ PL10X2000X11450)</t>
  </si>
  <si>
    <t>PL12X2000X11450</t>
  </si>
  <si>
    <t>REV3-IBS REV( 04 tờ PL12X2000X11450)</t>
  </si>
  <si>
    <t>PL12X2000X9820</t>
  </si>
  <si>
    <t>PL12X2000X7820</t>
  </si>
  <si>
    <t>REV3-IBS REV( 10 tờ PL12X2000X7820)</t>
  </si>
  <si>
    <t>REV3-IBS REV( 11 tờ PL12X2000X9820)</t>
  </si>
  <si>
    <t>I95-VTC01-045</t>
  </si>
  <si>
    <t>I95-VTC01-046</t>
  </si>
  <si>
    <t>I95-VTC01-047</t>
  </si>
  <si>
    <t>I95-VTC01-048</t>
  </si>
  <si>
    <t>I95-VTC01-049</t>
  </si>
  <si>
    <t>PL16X2000X11450</t>
  </si>
  <si>
    <t>REV3-IBS REV( 12 tờ PL16X2000X11450)</t>
  </si>
  <si>
    <t>PL16X2000X9820</t>
  </si>
  <si>
    <t>PL16X2000X7820</t>
  </si>
  <si>
    <t>REV3-IBS REV( 13 tờ PL16X2000X9820)</t>
  </si>
  <si>
    <t>REV3-IBS REV( 12 tờ PL16X2000X7820)</t>
  </si>
  <si>
    <t>PL38x2000x12000</t>
  </si>
  <si>
    <t>Tôn tấm-bích đáy stack</t>
  </si>
  <si>
    <t>Tôn tấm-stack</t>
  </si>
  <si>
    <t>I95-VTC01-050</t>
  </si>
  <si>
    <t>Tôn tấm-inlet</t>
  </si>
  <si>
    <t>PL10XCUỘN</t>
  </si>
  <si>
    <t>REV3-IBS REV-KHỔ TÔN CẮT SAU</t>
  </si>
  <si>
    <t>ITEM</t>
  </si>
  <si>
    <t>Row Labels</t>
  </si>
  <si>
    <t>MATERIAL</t>
  </si>
  <si>
    <t>BOX 3+BOX 5</t>
  </si>
  <si>
    <t>C150X75X6.5X10</t>
  </si>
  <si>
    <t>C200X80X7.5X11</t>
  </si>
  <si>
    <t>H200X200X8X12</t>
  </si>
  <si>
    <t>SM490</t>
  </si>
  <si>
    <t>H294X200X8X12</t>
  </si>
  <si>
    <t>H300X150X6.5X9</t>
  </si>
  <si>
    <t>H600X200X11X17</t>
  </si>
  <si>
    <t>L100X100X10</t>
  </si>
  <si>
    <t>L120X120X8</t>
  </si>
  <si>
    <t>L50X50X6</t>
  </si>
  <si>
    <t>L90X90X6</t>
  </si>
  <si>
    <t>PL10</t>
  </si>
  <si>
    <t>PL12</t>
  </si>
  <si>
    <t>PL16</t>
  </si>
  <si>
    <t>PL19</t>
  </si>
  <si>
    <t>PL20</t>
  </si>
  <si>
    <t>PL25</t>
  </si>
  <si>
    <t>PL28</t>
  </si>
  <si>
    <t>PL32</t>
  </si>
  <si>
    <t>PL38</t>
  </si>
  <si>
    <t>PL5</t>
  </si>
  <si>
    <t>PL50</t>
  </si>
  <si>
    <t>PL55</t>
  </si>
  <si>
    <t>PL6</t>
  </si>
  <si>
    <t>PL60</t>
  </si>
  <si>
    <t>PL65</t>
  </si>
  <si>
    <t>T170X250X9X14</t>
  </si>
  <si>
    <t>TOP BEAM</t>
  </si>
  <si>
    <t>A572GR50</t>
  </si>
  <si>
    <t>T170x250x9x14</t>
  </si>
  <si>
    <t>Sum of    T.Weight(kg-1 UNIT</t>
  </si>
  <si>
    <t>Sum of T.L(1 UNIT)</t>
  </si>
  <si>
    <t>Sum of    T.Weight(kg-2 UNIT</t>
  </si>
  <si>
    <t>Sum of T.L(2 UNIT)</t>
  </si>
  <si>
    <t>Current Ordered/
Dự trù lần 4</t>
  </si>
  <si>
    <t>I95-VTC01-051</t>
  </si>
  <si>
    <t>I95-VTC01-052</t>
  </si>
  <si>
    <t>I95-VTC01-053</t>
  </si>
  <si>
    <t>REV4-IBS REV</t>
  </si>
  <si>
    <t>L100X100X10-12000L</t>
  </si>
  <si>
    <t>L50X50X6-6000L</t>
  </si>
  <si>
    <t>PL5X1500X6000</t>
  </si>
  <si>
    <t>I95-VTC01-054</t>
  </si>
  <si>
    <t>I95-VTC01-055</t>
  </si>
  <si>
    <t>PL38X2000X3000</t>
  </si>
  <si>
    <t>PL12X2000X1000</t>
  </si>
  <si>
    <r>
      <t xml:space="preserve">Các vật liệu mác  SS400, A106 chỉ số CE lớn nhất cho phép là 0.45%, vật liệu type 304 % cacbon nhỏ nhất yêu cầu là 0.04%, </t>
    </r>
    <r>
      <rPr>
        <b/>
        <i/>
        <strike/>
        <sz val="16"/>
        <rFont val="Cambria"/>
        <family val="1"/>
        <scheme val="major"/>
      </rPr>
      <t>vật liệu thép ống không được có nguồn gốc từ trung quốc và ấn độ.</t>
    </r>
    <r>
      <rPr>
        <b/>
        <i/>
        <sz val="16"/>
        <rFont val="Cambria"/>
        <family val="1"/>
        <scheme val="major"/>
      </rPr>
      <t xml:space="preserve">
Nếu vật tư trong danh sách này không thể đặt mua, hoặc tồn kho không đáp ứng yêu cầu hoặc cần chuyển đổi, đề nghị đơn vị phụ trách thông báo lại,
- Vật tư từ mục I95-VTC01-031 đến I95-VTC01-049 vật liệu yêu cầu có báo cáo test va chạm không nhỏ hơn 27J tại  10 độ F (-12 độ C)</t>
    </r>
  </si>
  <si>
    <t>I95-VTC01-056</t>
  </si>
  <si>
    <t>PL14X2000X12000</t>
  </si>
  <si>
    <t>I95-VTC01-057</t>
  </si>
  <si>
    <t>PL25X2000X2000</t>
  </si>
  <si>
    <t>I95-VTC01-058</t>
  </si>
  <si>
    <t>I95-VTC01-059</t>
  </si>
  <si>
    <t>PL42X2000x4500</t>
  </si>
  <si>
    <t>PL30X2000X6000</t>
  </si>
  <si>
    <t>I95-VTC01-060</t>
  </si>
  <si>
    <t>I95-VTC01-061</t>
  </si>
  <si>
    <t>I95-VTC01-062</t>
  </si>
  <si>
    <t>PL6X1500X2000</t>
  </si>
  <si>
    <t>L75x75x6-12000L</t>
  </si>
  <si>
    <t>L90x90x10-12000L</t>
  </si>
  <si>
    <t>I95-VTC01-063</t>
  </si>
  <si>
    <t>I95-VTC01-064</t>
  </si>
  <si>
    <t>I95-VTC01-065</t>
  </si>
  <si>
    <t>H400X200X8X13-12000L</t>
  </si>
  <si>
    <t>H250X125X6X9-12000L</t>
  </si>
  <si>
    <t>H500X200X10X16-12000L</t>
  </si>
  <si>
    <t>I95-VTC01-066</t>
  </si>
  <si>
    <t>C300X90X9X13-12000L</t>
  </si>
  <si>
    <t>I95-VTC01-067</t>
  </si>
  <si>
    <t>Thép ống</t>
  </si>
  <si>
    <t>VẬT TƯ OUTLET DUCT-U1</t>
  </si>
  <si>
    <t>DÀY(mm)</t>
  </si>
  <si>
    <t>RỘNG(mm)</t>
  </si>
  <si>
    <t>DÀI(mm)</t>
  </si>
  <si>
    <t>SỐ TỜ</t>
  </si>
  <si>
    <t>KHỐI LƯỢNG</t>
  </si>
  <si>
    <t>số lượng cần cho 1 unit</t>
  </si>
  <si>
    <t>KHỐI LƯỢNG(kg)</t>
  </si>
  <si>
    <t>dài(mm)</t>
  </si>
  <si>
    <t>rộng(mm)</t>
  </si>
  <si>
    <t>dày(mm)</t>
  </si>
  <si>
    <t>Số tờ</t>
  </si>
  <si>
    <t>Mác vật liệu</t>
  </si>
  <si>
    <t>Profile</t>
  </si>
  <si>
    <t>No.</t>
  </si>
  <si>
    <t xml:space="preserve">NO. </t>
  </si>
  <si>
    <t xml:space="preserve">DESCRIPTION </t>
  </si>
  <si>
    <t xml:space="preserve">PART NO. </t>
  </si>
  <si>
    <t xml:space="preserve">PROFILE </t>
  </si>
  <si>
    <t>WIDTH(mm)</t>
  </si>
  <si>
    <t xml:space="preserve">LENGTH
(mm) </t>
  </si>
  <si>
    <t xml:space="preserve">MATERIAL </t>
  </si>
  <si>
    <t xml:space="preserve">T.Q'TY </t>
  </si>
  <si>
    <t xml:space="preserve">U.WEIGHT
(Kg) </t>
  </si>
  <si>
    <t xml:space="preserve">T.WEIGHT
(Kg) </t>
  </si>
  <si>
    <t xml:space="preserve">REMARK 2 
(PHASE) </t>
  </si>
  <si>
    <t>CASING</t>
  </si>
  <si>
    <t>IFR163</t>
  </si>
  <si>
    <t>INLET DUCT</t>
  </si>
  <si>
    <t>IFR165</t>
  </si>
  <si>
    <t>IFR166</t>
  </si>
  <si>
    <t>IFR167</t>
  </si>
  <si>
    <t>IFR168</t>
  </si>
  <si>
    <t>IFR169</t>
  </si>
  <si>
    <t>IFR170</t>
  </si>
  <si>
    <t>IFR171</t>
  </si>
  <si>
    <t>IFR172</t>
  </si>
  <si>
    <t>IFR173</t>
  </si>
  <si>
    <t>IFR174</t>
  </si>
  <si>
    <t>IFR175</t>
  </si>
  <si>
    <t>IFR176</t>
  </si>
  <si>
    <t>IFR177</t>
  </si>
  <si>
    <t>IFR178</t>
  </si>
  <si>
    <t>IFR179</t>
  </si>
  <si>
    <t>IFR180</t>
  </si>
  <si>
    <t>IFR181</t>
  </si>
  <si>
    <t>IFR182</t>
  </si>
  <si>
    <t>IFR183</t>
  </si>
  <si>
    <t>IFR184</t>
  </si>
  <si>
    <t>IFR185</t>
  </si>
  <si>
    <t>IFR186</t>
  </si>
  <si>
    <t>IFR187</t>
  </si>
  <si>
    <t>IFR188</t>
  </si>
  <si>
    <t>IFR189</t>
  </si>
  <si>
    <t>IFR190</t>
  </si>
  <si>
    <t>IFR191</t>
  </si>
  <si>
    <t>IFR192</t>
  </si>
  <si>
    <t>IFR193</t>
  </si>
  <si>
    <t>IFR194</t>
  </si>
  <si>
    <t>IFR195</t>
  </si>
  <si>
    <t>IFR196</t>
  </si>
  <si>
    <t>IFR197</t>
  </si>
  <si>
    <t>IFR198</t>
  </si>
  <si>
    <t>IP354</t>
  </si>
  <si>
    <t>INLET</t>
  </si>
  <si>
    <t>Phòng kĩ thuật IBSHI</t>
  </si>
  <si>
    <t>đã spare 1 tờ</t>
  </si>
  <si>
    <t>profile</t>
  </si>
  <si>
    <t>SL TỔNG 2 UNIT</t>
  </si>
  <si>
    <t>UPDATE:2025.09.25</t>
  </si>
  <si>
    <t>mua lần 1-ĐÃ DỰ TRÙ VTC-007</t>
  </si>
  <si>
    <t>mua lần 2-Chưa ra PR</t>
  </si>
  <si>
    <t>LIST CẮT TÔN CUỘN I95-VTC01-007-PL6-SS400</t>
  </si>
  <si>
    <t>SL TỔNG CẦN 2 UNIT</t>
  </si>
  <si>
    <t>ĐẶT MUA mua lần 1-VTC01-050</t>
  </si>
  <si>
    <t>SPARE 02 TỜ</t>
  </si>
  <si>
    <t>LIST CẮT TÔN CUỘN I95-VTC01-050-PL10-SS400</t>
  </si>
  <si>
    <t>REV:00</t>
  </si>
  <si>
    <t>Current Ordered/
Dự trù lần 5</t>
  </si>
  <si>
    <t>REV5-IBS REV</t>
  </si>
  <si>
    <t>I95-VPK-002</t>
  </si>
  <si>
    <t>I95-VPK-003</t>
  </si>
  <si>
    <t>I95-VPK-004</t>
  </si>
  <si>
    <t>I95-VPK-005</t>
  </si>
  <si>
    <t>I95-VPK-006</t>
  </si>
  <si>
    <t>I95-VPK-007</t>
  </si>
  <si>
    <t>I95-VPK-008</t>
  </si>
  <si>
    <t>I95-VPK-009</t>
  </si>
  <si>
    <t>I95-VPK-010</t>
  </si>
  <si>
    <t>I95-VPK-011</t>
  </si>
  <si>
    <t>I95-VPK-012</t>
  </si>
  <si>
    <t>I95-VPK-013</t>
  </si>
  <si>
    <t>I95-VPK-014</t>
  </si>
  <si>
    <t>I95-VPK-015</t>
  </si>
  <si>
    <t>I95-VPK-016</t>
  </si>
  <si>
    <t>3/4"X1/2"-3000#REDUCING_COUPING_SW</t>
  </si>
  <si>
    <t>SQUARE_HEAD_PLUG_2"_3000#</t>
  </si>
  <si>
    <t>ZINC</t>
  </si>
  <si>
    <t>ELBOW90-CHS88.9X5.5-BW</t>
  </si>
  <si>
    <t>SA403-WP304</t>
  </si>
  <si>
    <t>A-563 HEX NUT</t>
  </si>
  <si>
    <t>I95-VPK-017</t>
  </si>
  <si>
    <t>I95-VPK-018</t>
  </si>
  <si>
    <t>I95-VPK-019</t>
  </si>
  <si>
    <t>COUPLING</t>
  </si>
  <si>
    <t>BÍCH MÙ</t>
  </si>
  <si>
    <t>BÍCH</t>
  </si>
  <si>
    <t>BỊT ĐẦU ỐNG</t>
  </si>
  <si>
    <t>NÚT BỊT</t>
  </si>
  <si>
    <t>ĐỆM</t>
  </si>
  <si>
    <t>CÚT 90 ĐỘ( %C MIN 0.04%)</t>
  </si>
  <si>
    <t>NUT-3/4"-A563-BLACK</t>
  </si>
  <si>
    <t>NUT-KHÔNG MẠ</t>
  </si>
  <si>
    <t>CLEVIS PIN Ø12x52-DIN 1444-MẠ ĐIỆN PHÂN</t>
  </si>
  <si>
    <t>JIS G3101-SS400-MG</t>
  </si>
  <si>
    <t>COTTER PIN Ø3.2x25L-DIN 94- MẠ ĐIỆN PHÂN</t>
  </si>
  <si>
    <t>CHỐT-MUA THEO BV</t>
  </si>
  <si>
    <t>GIỮ CHỐT-MUA THEO BV</t>
  </si>
  <si>
    <t>ASTM-A105</t>
  </si>
  <si>
    <t>ASTM-A182-F304</t>
  </si>
  <si>
    <t>EYE BOLT M14+2NUT+1WASHER-xEM BẢN VẼ</t>
  </si>
  <si>
    <t>EYE BOLT M16x137(1 EYE BOLT+01 WASHER+
01 HANDLE NUT)
-xEM BẢN VẼ</t>
  </si>
  <si>
    <t>eye bolt-MẠ XEM BV</t>
  </si>
  <si>
    <t>CHS114.3x6-6000L</t>
  </si>
  <si>
    <t>A106-GRB</t>
  </si>
  <si>
    <t>CHS114.3x8.6-6000L</t>
  </si>
  <si>
    <t>CHS168.3X7.1-6000L</t>
  </si>
  <si>
    <t>H150X150X7X10-12000L</t>
  </si>
  <si>
    <t>L65X65X8-6000L</t>
  </si>
  <si>
    <t>PL8X1500X2000</t>
  </si>
  <si>
    <t>RB12-2000L</t>
  </si>
  <si>
    <t>RB13-6000L</t>
  </si>
  <si>
    <t>RB19-6000L</t>
  </si>
  <si>
    <t>RB38-6000L</t>
  </si>
  <si>
    <t>thép tấm</t>
  </si>
  <si>
    <t>thép tròn</t>
  </si>
  <si>
    <t>I95-VTC01-068</t>
  </si>
  <si>
    <t>I95-VTC01-069</t>
  </si>
  <si>
    <t>I95-VTC01-070</t>
  </si>
  <si>
    <t>I95-VTC01-071</t>
  </si>
  <si>
    <t>I95-VTC01-072</t>
  </si>
  <si>
    <t>I95-VTC01-073</t>
  </si>
  <si>
    <t>I95-VTC01-074</t>
  </si>
  <si>
    <t>I95-VTC01-075</t>
  </si>
  <si>
    <t>I95-VTC01-076</t>
  </si>
  <si>
    <t>I95-VTC01-077</t>
  </si>
  <si>
    <t>I95-VTC01-078</t>
  </si>
  <si>
    <t>I95-VTC01-079</t>
  </si>
  <si>
    <t>I95-VTC01-080</t>
  </si>
  <si>
    <t>I95-VTC01-081</t>
  </si>
  <si>
    <t>L50x50x10-3000L</t>
  </si>
  <si>
    <t>I95-VTC02-001</t>
  </si>
  <si>
    <t>I95-VTC02-002</t>
  </si>
  <si>
    <t>I95-VTC02-003</t>
  </si>
  <si>
    <t>I95-VTC02-004</t>
  </si>
  <si>
    <t>I95-VTC02-005</t>
  </si>
  <si>
    <t>I95-VTC02-006</t>
  </si>
  <si>
    <t>I95-VTC02-007</t>
  </si>
  <si>
    <t>I95-VTC02-008</t>
  </si>
  <si>
    <t>I95-VTC02-009</t>
  </si>
  <si>
    <t>I95-VTC02-010</t>
  </si>
  <si>
    <t>I95-VTC02-011</t>
  </si>
  <si>
    <t>I95-VTC02-012</t>
  </si>
  <si>
    <t>I95-VTC02-013</t>
  </si>
  <si>
    <t>I95-VTC02-014</t>
  </si>
  <si>
    <t>I95-VTC02-015</t>
  </si>
  <si>
    <t>I95-VTC02-016</t>
  </si>
  <si>
    <t>I95-VTC02-017</t>
  </si>
  <si>
    <t>I95-VTC02-018</t>
  </si>
  <si>
    <t>A312-TP304</t>
  </si>
  <si>
    <t>CHS21.3X3.7-6000L</t>
  </si>
  <si>
    <t>CHS60.3X3.9-6000L</t>
  </si>
  <si>
    <t>CHS60.3X5.5-6000L</t>
  </si>
  <si>
    <t>CHS88.9X5.5-6000L</t>
  </si>
  <si>
    <t>PL1.5X1220X2440</t>
  </si>
  <si>
    <t>JIS.G4304_SUS304</t>
  </si>
  <si>
    <t>JIS.G4312_SUH409</t>
  </si>
  <si>
    <t>PL10X1500X1000</t>
  </si>
  <si>
    <t>PL12X1500X6000</t>
  </si>
  <si>
    <t>PL2.6X1220X2440</t>
  </si>
  <si>
    <t>PL2(14Ga)X1220X2440</t>
  </si>
  <si>
    <t>PL2X1220X2440</t>
  </si>
  <si>
    <t>PL6X500X1000</t>
  </si>
  <si>
    <t>thép ống( %C min 0.04%)</t>
  </si>
  <si>
    <t>thép tấm (% C min 0.04%)</t>
  </si>
  <si>
    <t>ASTM-A240-TP304</t>
  </si>
  <si>
    <t>I95-VTC04-001</t>
  </si>
  <si>
    <t>I95-VTC04-002</t>
  </si>
  <si>
    <t>I95-VTC04-003</t>
  </si>
  <si>
    <t>I95-VTC04-004</t>
  </si>
  <si>
    <t>I95-VTC04-005</t>
  </si>
  <si>
    <t>I95-VTC04-006</t>
  </si>
  <si>
    <t>I95-VTC04-007</t>
  </si>
  <si>
    <t>I95-VTC04-008</t>
  </si>
  <si>
    <t>I95-VTC04-009</t>
  </si>
  <si>
    <t>I95-VTC04-010</t>
  </si>
  <si>
    <t>I95-VTC04-011</t>
  </si>
  <si>
    <t>I95-VTC04-012</t>
  </si>
  <si>
    <t>I95-VTC04-013</t>
  </si>
  <si>
    <t>I95-VTC04-014</t>
  </si>
  <si>
    <t>I95-VTC04-015</t>
  </si>
  <si>
    <t>I95-VTC04-016</t>
  </si>
  <si>
    <t>I95-VTC04-017</t>
  </si>
  <si>
    <t>I95-VTC04-018</t>
  </si>
  <si>
    <t>I95-VTC04-019</t>
  </si>
  <si>
    <t>I95-VTC04-020</t>
  </si>
  <si>
    <t>I95-VTC04-021</t>
  </si>
  <si>
    <t>I95-VTC04-022</t>
  </si>
  <si>
    <t>I95-VTC04-023</t>
  </si>
  <si>
    <t>BÔNG BẢO ÔN</t>
  </si>
  <si>
    <t>SUPPERWOOL PLUS PAPER</t>
  </si>
  <si>
    <t>SUPPERWOOL PLUS 128kg/m3</t>
  </si>
  <si>
    <t>m3</t>
  </si>
  <si>
    <t>BÔNG 3MM</t>
  </si>
  <si>
    <t>BÔNG 25MM</t>
  </si>
  <si>
    <t>BÔNG 50MM</t>
  </si>
  <si>
    <t>I95-VTC04-024</t>
  </si>
  <si>
    <t>BÔNG 13MM</t>
  </si>
  <si>
    <t>SUS309S</t>
  </si>
  <si>
    <t>SUS310S</t>
  </si>
  <si>
    <t>I95-VTC02-019</t>
  </si>
  <si>
    <t>I95-VTC02-020</t>
  </si>
  <si>
    <t>I95-VTC02-021</t>
  </si>
  <si>
    <t>WASHER TRÒN</t>
  </si>
  <si>
    <t>ĐINH HÀN( % C min 0.04%)</t>
  </si>
  <si>
    <t>đinh hàn</t>
  </si>
  <si>
    <t>I95-VTC04-025</t>
  </si>
  <si>
    <t>I95-VTC04-026</t>
  </si>
  <si>
    <t>I95-VTC04-027</t>
  </si>
  <si>
    <t>I95-VTC04-028</t>
  </si>
  <si>
    <t>I95-VTC04-029</t>
  </si>
  <si>
    <t>I95-VTC04-030</t>
  </si>
  <si>
    <t>I95-VTC04-031</t>
  </si>
  <si>
    <t>I95-VTC04-032</t>
  </si>
  <si>
    <t>I95-VTC04-033</t>
  </si>
  <si>
    <t>I95-VTC04-034</t>
  </si>
  <si>
    <t>I95-VTC04-035</t>
  </si>
  <si>
    <t>I95-VTC04-036</t>
  </si>
  <si>
    <t>I95-VTC04-037</t>
  </si>
  <si>
    <t>I95-VTC04-038</t>
  </si>
  <si>
    <t>I95-VTC04-039</t>
  </si>
  <si>
    <t>NUT M10-ISO4032-SUS304</t>
  </si>
  <si>
    <t>NUT M12-ISO4032-SUS304</t>
  </si>
  <si>
    <t>NUT M12-ISO4032-SUS309S</t>
  </si>
  <si>
    <t>ROUND WASHER OD76XID11X2mm-SUH409</t>
  </si>
  <si>
    <t>ROUND WASHER OD76XID14X2.6mm-SUS304</t>
  </si>
  <si>
    <t>ROUND WASHER OD76XID14X2.6mm-SUS309S</t>
  </si>
  <si>
    <t>SQUARE WASHER 76X76XID14X2.6mm-SUS304</t>
  </si>
  <si>
    <t>STUD-RB10X108-REN M10X1.5- 32mm-SUS304</t>
  </si>
  <si>
    <t>STUD-RB10X111-REN M10X1.5- 32mm-SUS304</t>
  </si>
  <si>
    <t>STUD-RB10X114-REN M10X1.5- 35mm-SUS304</t>
  </si>
  <si>
    <t>STUD-RB10X117-REN M10X1.5- 32mm-SUS304</t>
  </si>
  <si>
    <t>STUD-RB10X133-REN M10X1.5- 32mm-SUS304</t>
  </si>
  <si>
    <t>STUD-RB10X137-REN M10X1.5- 35mm-SUS304</t>
  </si>
  <si>
    <t>STUD-RB10X139-REN M10X1.5- 32mm-SUS304</t>
  </si>
  <si>
    <t>STUD-RB10X140-REN M10X1.5- 32mm-SUS304</t>
  </si>
  <si>
    <t>STUD-RB10X152-REN M10X1.5- 32mm-SUS304</t>
  </si>
  <si>
    <t>STUD-RB10X171-REN M10X1.5- 32mm-SUS304</t>
  </si>
  <si>
    <t>STUD-RB10X54-REN M10X1.5- 32mm-SUS304</t>
  </si>
  <si>
    <t>STUD-RB10X57-REN M10X1.5- 35mm-SUS304</t>
  </si>
  <si>
    <t>STUD-RB10X60-REN M10X1.5- 32mm-SUS304</t>
  </si>
  <si>
    <t>STUD-RB10X64-REN M10X1.5- 32mm-SUS304</t>
  </si>
  <si>
    <t>STUD-RB10X67-REN M10X1.5- 32mm-SUS304</t>
  </si>
  <si>
    <t>STUD-RB10X73-REN M10X1.5- 32mm-SUS304</t>
  </si>
  <si>
    <t>STUD-RB12X140-REN M12X1.75- 41mm-SUS309S</t>
  </si>
  <si>
    <t>STUD-RB12X1487-REN M12X1.75- 44mm-SUS304</t>
  </si>
  <si>
    <t>STUD-RB12X318-REN M12X1.75- 41mm-SUS304</t>
  </si>
  <si>
    <t>STUD-RB12X321-REN M12X1.75- 41mm-SUS304</t>
  </si>
  <si>
    <t>STUD-RB12X321-REN M12X1.75- 44mm-SUS304</t>
  </si>
  <si>
    <t>STUD-RB12X324-REN M12X1.75- 41mm-SUS304</t>
  </si>
  <si>
    <t>STUD-RB12X473-REN M12X1.75- 41mm-SUS304</t>
  </si>
  <si>
    <t>STUD-RB12X473-REN M12X1.75- 41mm-SUS309S</t>
  </si>
  <si>
    <t>STUD-RB12X479-REN M12X1.75- 41mm-SUS309S</t>
  </si>
  <si>
    <t>STUD-RB12X551-REN M12X1.75- 44mm-SUS304</t>
  </si>
  <si>
    <t>STUD-RB12X555-REN M12X1.75- 44mm-SUS304</t>
  </si>
  <si>
    <t>WASHER TRÒN( % C min 0.04%)</t>
  </si>
  <si>
    <t>WASHER VUÔNG( % C min 0.04%)</t>
  </si>
  <si>
    <t>JIS G4303-SUS304</t>
  </si>
  <si>
    <t>JIS G4303-SUS309S</t>
  </si>
  <si>
    <t>JIS G4312-SUH409</t>
  </si>
  <si>
    <t>NUT (%C min 0.04%)-phải lắp vào được stud M10</t>
  </si>
  <si>
    <t>NUT (%C min 0.04%)-phải lắp vào được stud M12</t>
  </si>
  <si>
    <t>2"_3000#_THREADED_COUPLING-ASME B16.11</t>
  </si>
  <si>
    <t>3"_BLIND_FLANGE_#150_RF-ASME B16.5</t>
  </si>
  <si>
    <t>3"_FLANGE_#150_SORF-ASME B16.5</t>
  </si>
  <si>
    <t>3"-3000# THREADED PIPE CAP-ASME B16.11</t>
  </si>
  <si>
    <t>4"_BLIND_FLANGE_#150_RF-ASME B16.5</t>
  </si>
  <si>
    <t>4"_FLANGE_#150_SORF-ASME B16.5</t>
  </si>
  <si>
    <t>6"_BLIND_FLANGE_#150_RF-ASME B16.5</t>
  </si>
  <si>
    <t>6"_FLANGE_#150_SORF-ASME B16.5</t>
  </si>
  <si>
    <t>BÍCH( % C min 0.04%)</t>
  </si>
  <si>
    <t>COUPLING( % C min 0.04%)</t>
  </si>
  <si>
    <t>WASHER-M12-ISO7089-8-HDG</t>
  </si>
  <si>
    <t>NUT-phải lắp vào được stud M12</t>
  </si>
  <si>
    <t>Current Ordered/
Dự trù lần 6</t>
  </si>
  <si>
    <t>Q.Ty/
Số lượng(cái,m,m2)</t>
  </si>
  <si>
    <t>VẬT TƯ INLET U1</t>
  </si>
  <si>
    <r>
      <t>PL</t>
    </r>
    <r>
      <rPr>
        <sz val="12"/>
        <color rgb="FFFF0000"/>
        <rFont val="Calibri"/>
        <family val="2"/>
        <scheme val="minor"/>
      </rPr>
      <t>20</t>
    </r>
    <r>
      <rPr>
        <sz val="12"/>
        <color theme="1"/>
        <rFont val="Calibri"/>
        <family val="2"/>
        <scheme val="minor"/>
      </rPr>
      <t>X2000X12000</t>
    </r>
  </si>
  <si>
    <t>A105</t>
  </si>
  <si>
    <t>A-312 TP304</t>
  </si>
  <si>
    <t>RB1</t>
  </si>
  <si>
    <t>SUS304</t>
  </si>
  <si>
    <t>STUD-RB (D) X (L)-REN M10X1.5- (A)mm-SUS304</t>
  </si>
  <si>
    <t>PR No.</t>
  </si>
  <si>
    <t>M10x1.5</t>
  </si>
  <si>
    <t>M12x1.75</t>
  </si>
  <si>
    <t>MxP</t>
  </si>
  <si>
    <t>ghi chú</t>
  </si>
  <si>
    <t>ren vặn vừa nut M10-ISO4032</t>
  </si>
  <si>
    <t>ren vặn vừa nut M12-ISO4032</t>
  </si>
  <si>
    <t>DIMENSION</t>
  </si>
  <si>
    <t>D(mm)</t>
  </si>
  <si>
    <t>L(mm)</t>
  </si>
  <si>
    <t>A(mm)</t>
  </si>
  <si>
    <t>STUD-RB12X769-REN M12X1.75- 44mm-SUS304</t>
  </si>
  <si>
    <t>REV6-IBS REV</t>
  </si>
  <si>
    <t>I95-VTC01-082</t>
  </si>
  <si>
    <t>PL10X1500X2000</t>
  </si>
  <si>
    <t>I95-VPK-020</t>
  </si>
  <si>
    <t>bolt+nut</t>
  </si>
  <si>
    <t>Bộ</t>
  </si>
  <si>
    <t>BOLT 1/2"x1 1/2"Lg( 1B+1N)-A307-MG</t>
  </si>
  <si>
    <t>A307</t>
  </si>
  <si>
    <t>I95-VTC02-022</t>
  </si>
  <si>
    <t>PL12X1500X4700</t>
  </si>
  <si>
    <t>PL6X2000X6000</t>
  </si>
  <si>
    <t>I95-VTC02-023</t>
  </si>
  <si>
    <t>I95-VTC02-024</t>
  </si>
  <si>
    <t>SUS301S</t>
  </si>
  <si>
    <t>PL6X1500X3000</t>
  </si>
  <si>
    <t>Current Ordered/
Dự trù lần 7</t>
  </si>
  <si>
    <t>VẬT TƯ SCR-U1</t>
  </si>
  <si>
    <t>VẬT TƯ BURNER-U1</t>
  </si>
  <si>
    <t>I95-VTC01-083</t>
  </si>
  <si>
    <t>I95-VTC01-084</t>
  </si>
  <si>
    <t>I95-VTC01-085</t>
  </si>
  <si>
    <t>I95-VTC01-086</t>
  </si>
  <si>
    <t>I95-VTC01-087</t>
  </si>
  <si>
    <t>I95-VTC01-088</t>
  </si>
  <si>
    <t>I95-VTC01-089</t>
  </si>
  <si>
    <t>C250X90X9X13-12000L</t>
  </si>
  <si>
    <t>I95-VTC02-025</t>
  </si>
  <si>
    <t>I95-VTC02-026</t>
  </si>
  <si>
    <t>I95-VTC02-027</t>
  </si>
  <si>
    <t>I95-VTC02-028</t>
  </si>
  <si>
    <t>I95-VTC02-029</t>
  </si>
  <si>
    <t>I95-VTC02-030</t>
  </si>
  <si>
    <t>I95-VTC02-031</t>
  </si>
  <si>
    <t>CHS273.1X9.3-6000L</t>
  </si>
  <si>
    <t>H194X150X6X9-12000L</t>
  </si>
  <si>
    <t>H244X175X7X11-12000L</t>
  </si>
  <si>
    <t>H488X300X11X18-12000L</t>
  </si>
  <si>
    <t>JIS.G4304_SUS309S</t>
  </si>
  <si>
    <t>Thép tròn</t>
  </si>
  <si>
    <t>RB12-3000L</t>
  </si>
  <si>
    <t>I95-VTC02-032</t>
  </si>
  <si>
    <t>C100X50X5X7.5-12000L</t>
  </si>
  <si>
    <t>I95-VTC01-090</t>
  </si>
  <si>
    <t>I95-VTC01-091</t>
  </si>
  <si>
    <t>I95-VTC01-092</t>
  </si>
  <si>
    <t>I95-VTC01-093</t>
  </si>
  <si>
    <t>CHS168.3X21.9-6000L</t>
  </si>
  <si>
    <t>A53-GRB</t>
  </si>
  <si>
    <t>I95-VTC02-033</t>
  </si>
  <si>
    <t>I95-VTC02-034</t>
  </si>
  <si>
    <t>I95-VTC02-035</t>
  </si>
  <si>
    <t>I95-VTC02-036</t>
  </si>
  <si>
    <t>CHS219X8.2-6000L</t>
  </si>
  <si>
    <t>CHS26.7X3.9-6000L</t>
  </si>
  <si>
    <t>CHS323.8X9.5-6000L</t>
  </si>
  <si>
    <t>CHS73X5.2-6000L</t>
  </si>
  <si>
    <t>A335_P11</t>
  </si>
  <si>
    <t>H350X175X7X11-12000L</t>
  </si>
  <si>
    <t>I95-VTC01-094</t>
  </si>
  <si>
    <t>I95-VTC01-095</t>
  </si>
  <si>
    <t>I95-VTC01-096</t>
  </si>
  <si>
    <t>I95-VTC01-097</t>
  </si>
  <si>
    <t>I95-VTC01-098</t>
  </si>
  <si>
    <t>I95-VTC01-099</t>
  </si>
  <si>
    <t>I95-VTC01-100</t>
  </si>
  <si>
    <t>PL8X2000X6000</t>
  </si>
  <si>
    <t>RB44-6000L</t>
  </si>
  <si>
    <t>I95-VPK-021</t>
  </si>
  <si>
    <t>I95-VPK-022</t>
  </si>
  <si>
    <t>I95-VPK-023</t>
  </si>
  <si>
    <t>I95-VPK-024</t>
  </si>
  <si>
    <t>I95-VPK-025</t>
  </si>
  <si>
    <t>I95-VPK-026</t>
  </si>
  <si>
    <t>2_1/2"_BLIND_FLANGE_#150_RF</t>
  </si>
  <si>
    <t>2_1/2"_FLANGE_#150_SORF</t>
  </si>
  <si>
    <t>3/4"_3000#_THREADED_COUPLING</t>
  </si>
  <si>
    <t>8"_BLIND_FLANGE_#150_RF</t>
  </si>
  <si>
    <t>8"_FLANGE_#150_SORF</t>
  </si>
  <si>
    <t>SQUARE_HEAD_PLUG_3/4"_3000#</t>
  </si>
  <si>
    <t>I95-VTC01-101</t>
  </si>
  <si>
    <t>A387_GR11_CL2</t>
  </si>
  <si>
    <t>NUT BỊT</t>
  </si>
  <si>
    <t>I95-VTC04-040</t>
  </si>
  <si>
    <t>I95-VTC04-041</t>
  </si>
  <si>
    <t>I95-VTC04-042</t>
  </si>
  <si>
    <t>I95-VTC04-043</t>
  </si>
  <si>
    <t>I95-VTC04-044</t>
  </si>
  <si>
    <t>I95-VTC04-045</t>
  </si>
  <si>
    <t>I95-VTC04-046</t>
  </si>
  <si>
    <t>I95-VTC04-047</t>
  </si>
  <si>
    <t>I95-VTC04-048</t>
  </si>
  <si>
    <t>I95-VTC04-049</t>
  </si>
  <si>
    <t>STUD-RB10X152-REN M10X1.5- 32mm-SUS309S</t>
  </si>
  <si>
    <t>JIS.G4303_SUS309S</t>
  </si>
  <si>
    <t>STUD-RB10X241-REN M10X1.5- 32mm-SUS309S</t>
  </si>
  <si>
    <t>ROUND WASHER OD76XID11X2mm-SUS309S</t>
  </si>
  <si>
    <t>NUT M10-ISO4032-SUS309S</t>
  </si>
  <si>
    <t>NUT-phải lắp vào được stud M10</t>
  </si>
  <si>
    <t>STUD-RB12X706-REN M12X1.75- 41mm-SUS309S</t>
  </si>
  <si>
    <t>STUD-RB12X731-REN M12X1.75- 41mm-SUS309S</t>
  </si>
  <si>
    <t>STUD-RB10X372-REN M10X1.5- 32mm-SUS304</t>
  </si>
  <si>
    <t>STUD-RB10X374-REN M10X1.5- 32mm-SUS304</t>
  </si>
  <si>
    <t>REV7-IBSREV</t>
  </si>
  <si>
    <t>PL12X2000X3000</t>
  </si>
  <si>
    <t>PL19X2000X3000</t>
  </si>
  <si>
    <t>PL25X2000X3000</t>
  </si>
  <si>
    <t>PL14X1500X2000</t>
  </si>
  <si>
    <t>PL6X1500X1000</t>
  </si>
  <si>
    <t>PL8X1500X1000</t>
  </si>
  <si>
    <t>STUD-RB10X70-REN M10X1.5- 35mm-SUS304</t>
  </si>
  <si>
    <t>I95-VTC02-022A</t>
  </si>
  <si>
    <t>PL6X1500X6000</t>
  </si>
  <si>
    <t>Current Ordered/
Dự trù lần 8</t>
  </si>
  <si>
    <r>
      <t xml:space="preserve">Ref. No/ Mã tài liệu: </t>
    </r>
    <r>
      <rPr>
        <b/>
        <sz val="11"/>
        <color rgb="FFFF0000"/>
        <rFont val="Cambria"/>
        <family val="1"/>
        <scheme val="major"/>
      </rPr>
      <t xml:space="preserve">I-095-ENG-001-REV 08 </t>
    </r>
    <r>
      <rPr>
        <b/>
        <sz val="11"/>
        <rFont val="Cambria"/>
        <family val="1"/>
        <scheme val="major"/>
      </rPr>
      <t>(PR)</t>
    </r>
  </si>
  <si>
    <t>CHS88.9X5.49-6000L</t>
  </si>
  <si>
    <t>H200X200X8X12-6000L</t>
  </si>
  <si>
    <t>PL35X1000X1000</t>
  </si>
  <si>
    <t>VẬT TƯ BASE PLATE+STACK TEMPLATE-U1</t>
  </si>
  <si>
    <t>VẬT TƯ TOP BEAM-U1</t>
  </si>
  <si>
    <t>VẬT TƯ BOX 1-U1</t>
  </si>
  <si>
    <t>VẬT TƯ BOX 2-U1</t>
  </si>
  <si>
    <t>PL10x1000x1000</t>
  </si>
  <si>
    <t>VẬT TƯ BOX 3-U1</t>
  </si>
  <si>
    <t>VẬT TƯ BOX 4-U1</t>
  </si>
  <si>
    <t>REV8-IBS REV</t>
  </si>
  <si>
    <t>VẬT TƯ BOX5-U1</t>
  </si>
  <si>
    <t>I95-VTC01-102</t>
  </si>
  <si>
    <t>EXPANDED_METAL_3/4"_#16_FLATTENED</t>
  </si>
  <si>
    <t>SS400-MẠ KẼM</t>
  </si>
  <si>
    <t>LƯỚI DẬP GIÃN DÀY 1.2, 
MẮT LƯỚI 17X34-mạ kẽm- MUA THEO LIST</t>
  </si>
  <si>
    <t>I95-VPK-027</t>
  </si>
  <si>
    <t>KEO DÁN GIOĂNG</t>
  </si>
  <si>
    <t>HIGH TEMPERATURE ADHESIVE RED SILICONE</t>
  </si>
  <si>
    <t>SILICA W/ INCONEL</t>
  </si>
  <si>
    <t>KG</t>
  </si>
  <si>
    <t>I95-VTC01-103</t>
  </si>
  <si>
    <t xml:space="preserve">LƯỚI INOX </t>
  </si>
  <si>
    <t>40 MESH( ROD 0.254mmx 0.381x0.381)</t>
  </si>
  <si>
    <t>I95-VTC02-037</t>
  </si>
  <si>
    <t>I95-VTC01-104</t>
  </si>
  <si>
    <t>I95-VTC01-105</t>
  </si>
  <si>
    <t>I95-VTC01-106</t>
  </si>
  <si>
    <t>TÔN NHÁM</t>
  </si>
  <si>
    <t>CPL6X1500X6000</t>
  </si>
  <si>
    <t>CHS48.3X5.1-6000L</t>
  </si>
  <si>
    <t>CHS48.3X3.6-6000L</t>
  </si>
  <si>
    <t>H400x400x13x21-12000L</t>
  </si>
  <si>
    <t>I95-VTC03-001</t>
  </si>
  <si>
    <t>I95-VTC03-002</t>
  </si>
  <si>
    <t>GRATING 32X5-MẠ KẼM NÓNG</t>
  </si>
  <si>
    <t>GRATING 44X5-MẠ KẼM NÓNG</t>
  </si>
  <si>
    <t>GRATING 32X5-MẠ KẼM NÓNG-MUA THEO BẢN VẼ</t>
  </si>
  <si>
    <t>GRATING 44X5-MẠ KẼM NÓNG-MUA THEO BẢN VẼ</t>
  </si>
  <si>
    <t>SS400-HDG</t>
  </si>
  <si>
    <t>I95-VTC01-107</t>
  </si>
  <si>
    <t>PL10X2000X12000</t>
  </si>
  <si>
    <t>I95-VTC01-108</t>
  </si>
  <si>
    <t>thép tấm mục SCR</t>
  </si>
  <si>
    <t>Thép tấm-SCR BAFER FRAME</t>
  </si>
  <si>
    <t>I95-VTC01-109</t>
  </si>
  <si>
    <t>I95-VTC01-110</t>
  </si>
  <si>
    <t>PL8X2000X12000</t>
  </si>
  <si>
    <t>Thép hình L-SCR FRAME</t>
  </si>
  <si>
    <t>VẬT TƯ BOX6-U1</t>
  </si>
  <si>
    <t>VẬT TƯ STACK-U1</t>
  </si>
  <si>
    <t>VẬT TƯ STAIR TOWER-U1</t>
  </si>
  <si>
    <t>VẬT TƯ BUMPER-U1</t>
  </si>
  <si>
    <t>VẬT TƯ SCR BAFER-FRAME-U1</t>
  </si>
  <si>
    <t>VẬT TƯ ATTIC-BASEMENT PANEL-U1</t>
  </si>
  <si>
    <t>I95-VTC01-111</t>
  </si>
  <si>
    <t>C380x100x13x20</t>
  </si>
  <si>
    <t>I95-VTC02-038</t>
  </si>
  <si>
    <t>thép tấm-ATTIC PANEL</t>
  </si>
  <si>
    <t>thép tấm-BOX2</t>
  </si>
  <si>
    <t>WEIGHT/1U</t>
  </si>
  <si>
    <t>QTY/2U</t>
  </si>
  <si>
    <t>QTY/1U</t>
  </si>
  <si>
    <t>WEIGHT/2U</t>
  </si>
  <si>
    <t>FIELD INSTALLED TOP SPOOL-U1</t>
  </si>
  <si>
    <t>I95-VTC01-112</t>
  </si>
  <si>
    <t>H150x75x5x7-12000L</t>
  </si>
  <si>
    <r>
      <t>STUD-RB12X</t>
    </r>
    <r>
      <rPr>
        <sz val="12"/>
        <color rgb="FFFF0000"/>
        <rFont val="Calibri"/>
        <family val="2"/>
        <scheme val="minor"/>
      </rPr>
      <t>769</t>
    </r>
    <r>
      <rPr>
        <sz val="12"/>
        <rFont val="Calibri"/>
        <family val="2"/>
        <scheme val="minor"/>
      </rPr>
      <t>-REN M12X1.75- 44mm-SUS304</t>
    </r>
  </si>
  <si>
    <r>
      <t>STUD-RB10X28</t>
    </r>
    <r>
      <rPr>
        <sz val="12"/>
        <color rgb="FFFF0000"/>
        <rFont val="Calibri"/>
        <family val="2"/>
        <scheme val="minor"/>
      </rPr>
      <t>6</t>
    </r>
    <r>
      <rPr>
        <sz val="12"/>
        <rFont val="Calibri"/>
        <family val="2"/>
        <scheme val="minor"/>
      </rPr>
      <t>-REN M10X1.5- 32mm-SUS304</t>
    </r>
  </si>
  <si>
    <t>I95-VTC04-050</t>
  </si>
  <si>
    <t>I95-VTC04-051</t>
  </si>
  <si>
    <t>I95-VTC04-052</t>
  </si>
  <si>
    <t>STUD-3/8"DIA x 4"LENGTH-THREAD 2 1/4"-A479TP304</t>
  </si>
  <si>
    <t>A479-TP304</t>
  </si>
  <si>
    <t>NUT-3/8"-A194-GR8</t>
  </si>
  <si>
    <t>A194-GR8</t>
  </si>
  <si>
    <t>3/8" WASHER-1 1/2 "ODx1/8" THK-TP304</t>
  </si>
  <si>
    <t>TP304</t>
  </si>
  <si>
    <t>REV8-IBSREV</t>
  </si>
  <si>
    <t>NUT-SCR BAFER( % C min 0.04%)</t>
  </si>
  <si>
    <t>WASHER-SCR BAFER( % C min 0.04%)</t>
  </si>
  <si>
    <t>ĐINH HÀN-SCR BAFER( % C min 0.04%)</t>
  </si>
  <si>
    <t>I95-VTC01-113</t>
  </si>
  <si>
    <t>DÂY THÉP MẠ KẼM</t>
  </si>
  <si>
    <t>RB3</t>
  </si>
  <si>
    <t>STEEL-GALV</t>
  </si>
  <si>
    <t>Date/ Ngày:25/11/2025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</si>
</sst>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 _₫_-;\-* #,##0.00\ _₫_-;_-* &quot;-&quot;??\ _₫_-;_-@_-"/>
    <numFmt numFmtId="165" formatCode="[$-409]d\-mmm\-yy;@"/>
    <numFmt numFmtId="166" formatCode="_(* #,##0_);_(* \(#,##0\);_(* &quot;-&quot;??_);_(@_)"/>
    <numFmt numFmtId="167" formatCode="_(* #,##0.0_);_(* \(#,##0.0\);_(* &quot;-&quot;??_);_(@_)"/>
    <numFmt numFmtId="168" formatCode="_-* #,##0\ _₫_-;\-* #,##0\ _₫_-;_-* &quot;-&quot;??\ _₫_-;_-@_-"/>
    <numFmt numFmtId="169" formatCode="_(* #,##0.000_);_(* \(#,##0.000\);_(* &quot;-&quot;??_);_(@_)"/>
  </numFmts>
  <fonts count="41" x14ac:knownFonts="1">
    <font>
      <sz val="10"/>
      <name val="Arial"/>
    </font>
    <font>
      <sz val="11"/>
      <color theme="1"/>
      <name val="Calibri"/>
      <family val="2"/>
      <scheme val="minor"/>
    </font>
    <font>
      <sz val="10"/>
      <name val="Cambria"/>
      <family val="1"/>
      <scheme val="major"/>
    </font>
    <font>
      <sz val="11"/>
      <name val="Cambria"/>
      <family val="1"/>
      <scheme val="major"/>
    </font>
    <font>
      <b/>
      <sz val="11"/>
      <name val="Cambria"/>
      <family val="1"/>
      <scheme val="major"/>
    </font>
    <font>
      <b/>
      <sz val="18"/>
      <color indexed="12"/>
      <name val="Cambria"/>
      <family val="1"/>
      <scheme val="major"/>
    </font>
    <font>
      <sz val="12"/>
      <name val="Cambria"/>
      <family val="1"/>
      <scheme val="major"/>
    </font>
    <font>
      <b/>
      <u/>
      <sz val="12"/>
      <name val="Cambria"/>
      <family val="1"/>
      <scheme val="major"/>
    </font>
    <font>
      <b/>
      <sz val="12"/>
      <name val="Cambria"/>
      <family val="1"/>
      <scheme val="major"/>
    </font>
    <font>
      <b/>
      <u/>
      <sz val="10"/>
      <name val="Cambria"/>
      <family val="1"/>
      <scheme val="major"/>
    </font>
    <font>
      <b/>
      <sz val="12"/>
      <color rgb="FFFF0000"/>
      <name val="Cambria"/>
      <family val="1"/>
      <scheme val="major"/>
    </font>
    <font>
      <b/>
      <sz val="10"/>
      <name val="Cambria"/>
      <family val="1"/>
      <scheme val="major"/>
    </font>
    <font>
      <sz val="8"/>
      <name val="Cambria"/>
      <family val="1"/>
      <scheme val="major"/>
    </font>
    <font>
      <sz val="11"/>
      <color rgb="FF0070C0"/>
      <name val="Cambria"/>
      <family val="1"/>
      <scheme val="major"/>
    </font>
    <font>
      <sz val="14"/>
      <color rgb="FF0070C0"/>
      <name val="Cambria"/>
      <family val="1"/>
      <scheme val="major"/>
    </font>
    <font>
      <b/>
      <sz val="18"/>
      <color theme="1"/>
      <name val="Cambria"/>
      <family val="1"/>
      <scheme val="major"/>
    </font>
    <font>
      <sz val="10"/>
      <name val="Arial"/>
      <family val="2"/>
    </font>
    <font>
      <b/>
      <sz val="12"/>
      <color theme="1"/>
      <name val="Cambria"/>
      <family val="1"/>
      <scheme val="major"/>
    </font>
    <font>
      <sz val="10"/>
      <color theme="1"/>
      <name val="Cambria"/>
      <family val="1"/>
      <scheme val="major"/>
    </font>
    <font>
      <sz val="11"/>
      <color theme="1"/>
      <name val="Cambria"/>
      <family val="1"/>
      <scheme val="major"/>
    </font>
    <font>
      <b/>
      <sz val="11"/>
      <color theme="1"/>
      <name val="Cambria"/>
      <family val="1"/>
      <scheme val="major"/>
    </font>
    <font>
      <b/>
      <u/>
      <sz val="12"/>
      <color theme="1"/>
      <name val="Cambria"/>
      <family val="1"/>
      <scheme val="major"/>
    </font>
    <font>
      <b/>
      <sz val="11"/>
      <color rgb="FFFF0000"/>
      <name val="Cambria"/>
      <family val="1"/>
      <scheme val="major"/>
    </font>
    <font>
      <sz val="10"/>
      <name val="Arial"/>
      <family val="2"/>
    </font>
    <font>
      <sz val="8"/>
      <name val="Arial"/>
      <family val="2"/>
    </font>
    <font>
      <b/>
      <i/>
      <sz val="16"/>
      <name val="Cambria"/>
      <family val="1"/>
      <scheme val="major"/>
    </font>
    <font>
      <b/>
      <i/>
      <strike/>
      <sz val="16"/>
      <name val="Cambria"/>
      <family val="1"/>
      <scheme val="major"/>
    </font>
    <font>
      <b/>
      <sz val="14"/>
      <color theme="1"/>
      <name val="Calibri"/>
      <family val="2"/>
      <scheme val="minor"/>
    </font>
    <font>
      <sz val="12"/>
      <name val="Calibri"/>
      <family val="2"/>
      <scheme val="minor"/>
    </font>
    <font>
      <sz val="12"/>
      <color theme="1"/>
      <name val="Calibri"/>
      <family val="2"/>
      <scheme val="minor"/>
    </font>
    <font>
      <sz val="13"/>
      <name val="Calibri"/>
      <family val="2"/>
      <scheme val="minor"/>
    </font>
    <font>
      <b/>
      <sz val="11"/>
      <color theme="1"/>
      <name val="Calibri"/>
      <family val="2"/>
      <scheme val="minor"/>
    </font>
    <font>
      <b/>
      <sz val="10"/>
      <name val="Arial"/>
      <family val="2"/>
    </font>
    <font>
      <b/>
      <sz val="12"/>
      <color theme="1"/>
      <name val="Calibri"/>
      <family val="2"/>
      <scheme val="minor"/>
    </font>
    <font>
      <b/>
      <sz val="12"/>
      <name val="Calibri"/>
      <family val="2"/>
      <scheme val="minor"/>
    </font>
    <font>
      <b/>
      <sz val="16"/>
      <name val="Arial"/>
      <family val="2"/>
    </font>
    <font>
      <b/>
      <sz val="10"/>
      <color rgb="FF000000"/>
      <name val="Times New Roman"/>
      <family val="2"/>
    </font>
    <font>
      <sz val="10"/>
      <color rgb="FF000000"/>
      <name val="Times New Roman"/>
      <family val="2"/>
    </font>
    <font>
      <sz val="12"/>
      <name val="Arial"/>
      <family val="2"/>
    </font>
    <font>
      <sz val="10"/>
      <color theme="1"/>
      <name val="Times New Roman"/>
      <family val="2"/>
    </font>
    <font>
      <sz val="12"/>
      <color rgb="FFFF0000"/>
      <name val="Calibri"/>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B4FCFA"/>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7">
    <xf numFmtId="0" fontId="0" fillId="0" borderId="0"/>
    <xf numFmtId="43" fontId="16" fillId="0" borderId="0" applyFont="0" applyFill="0" applyBorder="0" applyAlignment="0" applyProtection="0"/>
    <xf numFmtId="9" fontId="23"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6" fillId="0" borderId="1"/>
  </cellStyleXfs>
  <cellXfs count="363">
    <xf numFmtId="0" fontId="0" fillId="0" borderId="0" xfId="0"/>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0" xfId="0" applyFont="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4" fillId="0" borderId="10"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vertical="center"/>
    </xf>
    <xf numFmtId="0" fontId="4" fillId="0" borderId="12" xfId="0" applyFont="1" applyBorder="1" applyAlignment="1">
      <alignment horizontal="left" vertical="center"/>
    </xf>
    <xf numFmtId="0" fontId="4" fillId="0" borderId="2" xfId="0" applyFont="1" applyBorder="1" applyAlignment="1">
      <alignment horizontal="left"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3" fillId="0" borderId="0" xfId="0" applyFont="1" applyAlignment="1">
      <alignment vertical="center"/>
    </xf>
    <xf numFmtId="0" fontId="3" fillId="0" borderId="0" xfId="0" quotePrefix="1" applyFont="1" applyAlignment="1">
      <alignment vertical="center" wrapText="1"/>
    </xf>
    <xf numFmtId="0" fontId="3" fillId="0" borderId="0" xfId="0" quotePrefix="1" applyFont="1" applyAlignment="1">
      <alignment vertical="center"/>
    </xf>
    <xf numFmtId="0" fontId="3" fillId="0" borderId="18" xfId="0" applyFont="1" applyBorder="1" applyAlignment="1">
      <alignment horizontal="left" vertical="center"/>
    </xf>
    <xf numFmtId="0" fontId="6" fillId="0" borderId="0" xfId="0" applyFont="1" applyAlignment="1">
      <alignment horizontal="center" vertical="center"/>
    </xf>
    <xf numFmtId="0" fontId="7" fillId="2" borderId="0" xfId="0" applyFont="1" applyFill="1" applyAlignment="1">
      <alignment horizontal="center" vertical="center"/>
    </xf>
    <xf numFmtId="0" fontId="6" fillId="0" borderId="0" xfId="0" applyFont="1" applyAlignment="1">
      <alignment vertical="center"/>
    </xf>
    <xf numFmtId="0" fontId="4" fillId="0" borderId="20" xfId="0" applyFont="1" applyBorder="1" applyAlignment="1">
      <alignment horizontal="center" vertical="center"/>
    </xf>
    <xf numFmtId="0" fontId="2" fillId="0" borderId="19" xfId="0" applyFont="1" applyBorder="1" applyAlignment="1">
      <alignment horizontal="left" vertical="center"/>
    </xf>
    <xf numFmtId="0" fontId="8" fillId="0" borderId="0" xfId="0" applyFont="1" applyAlignment="1">
      <alignment vertical="center"/>
    </xf>
    <xf numFmtId="0" fontId="2" fillId="0" borderId="0" xfId="0" applyFont="1" applyAlignment="1">
      <alignment horizontal="left" vertical="center"/>
    </xf>
    <xf numFmtId="0" fontId="2" fillId="0" borderId="18" xfId="0" applyFont="1" applyBorder="1" applyAlignment="1">
      <alignment horizontal="left" vertical="center"/>
    </xf>
    <xf numFmtId="0" fontId="2" fillId="0" borderId="0" xfId="0" applyFont="1"/>
    <xf numFmtId="0" fontId="2" fillId="0" borderId="24"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vertical="center"/>
    </xf>
    <xf numFmtId="0" fontId="3" fillId="0" borderId="9" xfId="0" quotePrefix="1" applyFont="1" applyBorder="1" applyAlignment="1">
      <alignment vertical="center" wrapText="1"/>
    </xf>
    <xf numFmtId="0" fontId="3" fillId="0" borderId="9" xfId="0" quotePrefix="1" applyFont="1" applyBorder="1" applyAlignment="1">
      <alignment horizontal="left" vertical="center" wrapText="1"/>
    </xf>
    <xf numFmtId="0" fontId="3" fillId="0" borderId="14" xfId="0" quotePrefix="1" applyFont="1" applyBorder="1" applyAlignment="1">
      <alignment horizontal="left" vertical="center" wrapText="1"/>
    </xf>
    <xf numFmtId="0" fontId="2" fillId="0" borderId="26" xfId="0" applyFont="1" applyBorder="1" applyAlignment="1">
      <alignment horizontal="right" vertical="center"/>
    </xf>
    <xf numFmtId="0" fontId="2" fillId="0" borderId="18" xfId="0" applyFont="1" applyBorder="1" applyAlignment="1">
      <alignment horizontal="right" vertical="center"/>
    </xf>
    <xf numFmtId="0" fontId="2" fillId="0" borderId="0" xfId="0" applyFont="1" applyAlignment="1">
      <alignment horizontal="center"/>
    </xf>
    <xf numFmtId="0" fontId="3" fillId="0" borderId="9" xfId="0" applyFont="1" applyBorder="1" applyAlignment="1">
      <alignment horizontal="left" vertical="center"/>
    </xf>
    <xf numFmtId="0" fontId="2" fillId="0" borderId="7" xfId="0" applyFont="1" applyBorder="1"/>
    <xf numFmtId="0" fontId="2" fillId="0" borderId="0" xfId="0" applyFont="1" applyAlignment="1">
      <alignment horizontal="left"/>
    </xf>
    <xf numFmtId="0" fontId="2" fillId="0" borderId="0" xfId="0" applyFont="1" applyAlignment="1">
      <alignment horizontal="center" vertical="center"/>
    </xf>
    <xf numFmtId="0" fontId="2" fillId="0" borderId="19" xfId="0" applyFont="1" applyBorder="1" applyAlignment="1">
      <alignment horizontal="center" vertical="center"/>
    </xf>
    <xf numFmtId="0" fontId="3" fillId="0" borderId="0" xfId="0" quotePrefix="1" applyFont="1" applyAlignment="1">
      <alignment horizontal="left" vertical="center" wrapText="1"/>
    </xf>
    <xf numFmtId="0" fontId="7" fillId="0" borderId="7" xfId="0" applyFont="1" applyBorder="1" applyAlignment="1">
      <alignment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3" fillId="0" borderId="19" xfId="0" quotePrefix="1" applyFont="1" applyBorder="1" applyAlignment="1">
      <alignment horizontal="left" wrapText="1"/>
    </xf>
    <xf numFmtId="0" fontId="8" fillId="2" borderId="7" xfId="0" applyFont="1" applyFill="1" applyBorder="1" applyAlignment="1">
      <alignment horizontal="left" vertical="center"/>
    </xf>
    <xf numFmtId="0" fontId="2" fillId="0" borderId="0" xfId="0" applyFont="1" applyAlignment="1">
      <alignment horizontal="right" vertical="center"/>
    </xf>
    <xf numFmtId="0" fontId="4" fillId="0" borderId="33" xfId="0" applyFont="1" applyBorder="1" applyAlignment="1">
      <alignment horizontal="center" vertical="center"/>
    </xf>
    <xf numFmtId="0" fontId="4" fillId="0" borderId="6" xfId="0" applyFont="1" applyBorder="1" applyAlignment="1">
      <alignment horizontal="left" vertical="center"/>
    </xf>
    <xf numFmtId="0" fontId="4" fillId="0" borderId="6" xfId="0" applyFont="1" applyBorder="1" applyAlignment="1">
      <alignment vertical="center"/>
    </xf>
    <xf numFmtId="165" fontId="4" fillId="0" borderId="6" xfId="0" applyNumberFormat="1" applyFont="1" applyBorder="1" applyAlignment="1">
      <alignment horizontal="left" vertical="center"/>
    </xf>
    <xf numFmtId="0" fontId="12" fillId="0" borderId="0" xfId="0" applyFont="1" applyAlignment="1">
      <alignment horizontal="right"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15" fillId="0" borderId="9" xfId="0" applyFont="1" applyBorder="1" applyAlignment="1">
      <alignment horizontal="center" vertical="center"/>
    </xf>
    <xf numFmtId="0" fontId="20" fillId="0" borderId="12" xfId="0" applyFont="1" applyBorder="1" applyAlignment="1">
      <alignment horizontal="left" vertical="center"/>
    </xf>
    <xf numFmtId="0" fontId="20" fillId="0" borderId="13" xfId="0" applyFont="1" applyBorder="1" applyAlignment="1">
      <alignment horizontal="left" vertical="center"/>
    </xf>
    <xf numFmtId="0" fontId="20" fillId="0" borderId="2" xfId="0" applyFont="1" applyBorder="1" applyAlignment="1">
      <alignment horizontal="left" vertical="center"/>
    </xf>
    <xf numFmtId="0" fontId="20" fillId="0" borderId="3" xfId="0" applyFont="1" applyBorder="1" applyAlignment="1">
      <alignment horizontal="left" vertical="center"/>
    </xf>
    <xf numFmtId="0" fontId="20" fillId="0" borderId="11" xfId="0" applyFont="1" applyBorder="1" applyAlignment="1">
      <alignment horizontal="left" vertical="center" wrapText="1"/>
    </xf>
    <xf numFmtId="0" fontId="20" fillId="0" borderId="6" xfId="0" applyFont="1" applyBorder="1" applyAlignment="1">
      <alignment horizontal="center" vertical="center"/>
    </xf>
    <xf numFmtId="0" fontId="18" fillId="0" borderId="0" xfId="0" applyFont="1" applyAlignment="1">
      <alignment horizontal="center"/>
    </xf>
    <xf numFmtId="0" fontId="18" fillId="0" borderId="0" xfId="0" applyFont="1" applyAlignment="1">
      <alignment horizontal="left" vertical="center"/>
    </xf>
    <xf numFmtId="0" fontId="18" fillId="0" borderId="0" xfId="0" applyFont="1" applyAlignment="1">
      <alignment horizontal="right" vertical="center"/>
    </xf>
    <xf numFmtId="0" fontId="18" fillId="0" borderId="18" xfId="0" applyFont="1" applyBorder="1" applyAlignment="1">
      <alignment horizontal="right" vertical="center"/>
    </xf>
    <xf numFmtId="0" fontId="18" fillId="0" borderId="18" xfId="0" applyFont="1" applyBorder="1" applyAlignment="1">
      <alignment horizontal="left" vertical="center"/>
    </xf>
    <xf numFmtId="0" fontId="21" fillId="2" borderId="0" xfId="0" applyFont="1" applyFill="1" applyAlignment="1">
      <alignment horizontal="center" vertical="center"/>
    </xf>
    <xf numFmtId="0" fontId="17" fillId="4" borderId="29" xfId="0" applyFont="1" applyFill="1" applyBorder="1" applyAlignment="1">
      <alignment horizontal="left" vertical="center"/>
    </xf>
    <xf numFmtId="0" fontId="19" fillId="0" borderId="0" xfId="0" quotePrefix="1" applyFont="1" applyAlignment="1">
      <alignment horizontal="left" vertical="center"/>
    </xf>
    <xf numFmtId="0" fontId="19" fillId="0" borderId="0" xfId="0" applyFont="1" applyAlignment="1">
      <alignment vertical="center"/>
    </xf>
    <xf numFmtId="0" fontId="19" fillId="0" borderId="22" xfId="0" quotePrefix="1" applyFont="1" applyBorder="1" applyAlignment="1">
      <alignment vertical="center"/>
    </xf>
    <xf numFmtId="0" fontId="19" fillId="0" borderId="0" xfId="0" applyFont="1"/>
    <xf numFmtId="0" fontId="19" fillId="0" borderId="0" xfId="0" quotePrefix="1" applyFont="1" applyAlignment="1">
      <alignment vertical="center" wrapText="1"/>
    </xf>
    <xf numFmtId="0" fontId="19" fillId="0" borderId="22" xfId="0" applyFont="1" applyBorder="1" applyAlignment="1">
      <alignment vertical="center"/>
    </xf>
    <xf numFmtId="0" fontId="19" fillId="0" borderId="9" xfId="0" applyFont="1" applyBorder="1" applyAlignment="1">
      <alignment vertical="center"/>
    </xf>
    <xf numFmtId="0" fontId="19" fillId="0" borderId="9" xfId="0" quotePrefix="1" applyFont="1" applyBorder="1" applyAlignment="1">
      <alignment vertical="center" wrapText="1"/>
    </xf>
    <xf numFmtId="0" fontId="19" fillId="0" borderId="25" xfId="0" quotePrefix="1" applyFont="1" applyBorder="1" applyAlignment="1">
      <alignment vertical="center" wrapText="1"/>
    </xf>
    <xf numFmtId="0" fontId="17" fillId="0" borderId="0" xfId="0" applyFont="1" applyAlignment="1">
      <alignment horizontal="center" vertical="center"/>
    </xf>
    <xf numFmtId="0" fontId="17" fillId="0" borderId="0" xfId="0" applyFont="1" applyAlignment="1">
      <alignment vertical="center"/>
    </xf>
    <xf numFmtId="0" fontId="20" fillId="0" borderId="2" xfId="0" applyFont="1" applyBorder="1" applyAlignment="1">
      <alignment horizontal="center" vertical="center"/>
    </xf>
    <xf numFmtId="0" fontId="18" fillId="0" borderId="0" xfId="0" applyFont="1" applyAlignment="1">
      <alignment vertical="center"/>
    </xf>
    <xf numFmtId="0" fontId="4" fillId="0" borderId="5" xfId="0" applyFont="1" applyBorder="1" applyAlignment="1">
      <alignment horizontal="center" vertical="center"/>
    </xf>
    <xf numFmtId="0" fontId="3" fillId="0" borderId="0" xfId="0" applyFont="1" applyAlignment="1">
      <alignment horizontal="center" vertical="center"/>
    </xf>
    <xf numFmtId="0" fontId="11" fillId="0" borderId="0" xfId="0" applyFont="1" applyAlignment="1">
      <alignment horizontal="center" vertical="center"/>
    </xf>
    <xf numFmtId="0" fontId="8" fillId="2" borderId="0" xfId="0" applyFont="1" applyFill="1" applyAlignment="1">
      <alignment horizontal="left" vertical="center"/>
    </xf>
    <xf numFmtId="165" fontId="20" fillId="0" borderId="0" xfId="0" applyNumberFormat="1" applyFont="1" applyAlignment="1">
      <alignment horizontal="center" vertical="center"/>
    </xf>
    <xf numFmtId="0" fontId="4" fillId="0" borderId="0" xfId="0" applyFont="1" applyAlignment="1">
      <alignment horizontal="center" vertical="center"/>
    </xf>
    <xf numFmtId="0" fontId="8" fillId="0" borderId="19" xfId="0" applyFont="1" applyBorder="1" applyAlignment="1">
      <alignment horizontal="left" vertical="center"/>
    </xf>
    <xf numFmtId="0" fontId="4" fillId="0" borderId="18" xfId="0" applyFont="1" applyBorder="1" applyAlignment="1">
      <alignment horizontal="center" vertical="center"/>
    </xf>
    <xf numFmtId="0" fontId="4" fillId="0" borderId="0" xfId="0" applyFont="1" applyAlignment="1">
      <alignment horizontal="left" vertical="center"/>
    </xf>
    <xf numFmtId="0" fontId="4" fillId="0" borderId="4" xfId="0" applyFont="1" applyBorder="1" applyAlignment="1">
      <alignment horizontal="center" vertical="center"/>
    </xf>
    <xf numFmtId="165" fontId="4" fillId="0" borderId="0" xfId="0" applyNumberFormat="1" applyFont="1" applyAlignment="1">
      <alignment horizontal="center" vertical="center"/>
    </xf>
    <xf numFmtId="0" fontId="20" fillId="0" borderId="0" xfId="0" applyFont="1" applyAlignment="1">
      <alignment horizontal="left" vertical="center"/>
    </xf>
    <xf numFmtId="0" fontId="11" fillId="0" borderId="7" xfId="0" applyFont="1" applyBorder="1" applyAlignment="1">
      <alignment horizontal="left" vertical="center"/>
    </xf>
    <xf numFmtId="0" fontId="18" fillId="0" borderId="0" xfId="0" applyFont="1" applyAlignment="1">
      <alignment horizontal="left"/>
    </xf>
    <xf numFmtId="0" fontId="3" fillId="0" borderId="19" xfId="0" quotePrefix="1" applyFont="1" applyBorder="1" applyAlignment="1">
      <alignment horizontal="center" vertical="center"/>
    </xf>
    <xf numFmtId="0" fontId="8" fillId="3" borderId="41" xfId="0" applyFont="1" applyFill="1" applyBorder="1" applyAlignment="1">
      <alignment horizontal="center" vertical="center"/>
    </xf>
    <xf numFmtId="0" fontId="20" fillId="3" borderId="40" xfId="0" applyFont="1" applyFill="1" applyBorder="1" applyAlignment="1">
      <alignment horizontal="center" vertical="center" wrapText="1"/>
    </xf>
    <xf numFmtId="0" fontId="4" fillId="0" borderId="0" xfId="0" applyFont="1" applyAlignment="1">
      <alignment vertical="center"/>
    </xf>
    <xf numFmtId="0" fontId="8" fillId="3" borderId="0" xfId="0" applyFont="1" applyFill="1" applyAlignment="1">
      <alignment horizontal="center" vertical="center"/>
    </xf>
    <xf numFmtId="0" fontId="4" fillId="0" borderId="1" xfId="0" applyFont="1" applyBorder="1" applyAlignment="1">
      <alignment vertical="center"/>
    </xf>
    <xf numFmtId="166" fontId="3" fillId="0" borderId="1" xfId="0" applyNumberFormat="1" applyFont="1" applyBorder="1" applyAlignment="1">
      <alignment vertical="center"/>
    </xf>
    <xf numFmtId="0" fontId="4" fillId="3" borderId="4" xfId="0" applyFont="1" applyFill="1" applyBorder="1" applyAlignment="1">
      <alignment horizontal="center" vertical="center"/>
    </xf>
    <xf numFmtId="0" fontId="18" fillId="0" borderId="0" xfId="0" applyFont="1" applyAlignment="1">
      <alignment horizontal="center" vertical="center"/>
    </xf>
    <xf numFmtId="0" fontId="17" fillId="6" borderId="1" xfId="0" applyFont="1" applyFill="1" applyBorder="1" applyAlignment="1">
      <alignment horizontal="center" vertical="center"/>
    </xf>
    <xf numFmtId="0" fontId="8" fillId="6" borderId="1" xfId="0" applyFont="1" applyFill="1" applyBorder="1" applyAlignment="1">
      <alignment horizontal="center" vertical="center"/>
    </xf>
    <xf numFmtId="167" fontId="17" fillId="6" borderId="1" xfId="1" applyNumberFormat="1" applyFont="1" applyFill="1" applyBorder="1" applyAlignment="1">
      <alignment horizontal="center" vertical="center"/>
    </xf>
    <xf numFmtId="9" fontId="17" fillId="6" borderId="1" xfId="2" applyFont="1" applyFill="1" applyBorder="1" applyAlignment="1">
      <alignment horizontal="center" vertical="center"/>
    </xf>
    <xf numFmtId="9" fontId="17" fillId="6" borderId="1" xfId="2" applyFont="1" applyFill="1" applyBorder="1" applyAlignment="1">
      <alignment horizontal="right" vertical="center"/>
    </xf>
    <xf numFmtId="168" fontId="17" fillId="6" borderId="1" xfId="0" applyNumberFormat="1" applyFont="1" applyFill="1" applyBorder="1" applyAlignment="1">
      <alignment horizontal="center" vertical="center"/>
    </xf>
    <xf numFmtId="168" fontId="8" fillId="6" borderId="1" xfId="1" applyNumberFormat="1" applyFont="1" applyFill="1" applyBorder="1" applyAlignment="1">
      <alignment horizontal="right" vertical="center"/>
    </xf>
    <xf numFmtId="0" fontId="11" fillId="0" borderId="0" xfId="0" applyFont="1" applyAlignment="1">
      <alignment vertical="center"/>
    </xf>
    <xf numFmtId="0" fontId="27" fillId="6" borderId="1" xfId="0" applyFont="1" applyFill="1" applyBorder="1" applyAlignment="1">
      <alignment horizontal="left" vertical="center"/>
    </xf>
    <xf numFmtId="0" fontId="28" fillId="0" borderId="1" xfId="0" applyFont="1" applyBorder="1" applyAlignment="1">
      <alignment horizontal="center" vertical="center"/>
    </xf>
    <xf numFmtId="0" fontId="28" fillId="0" borderId="1" xfId="0" applyFont="1" applyBorder="1" applyAlignment="1">
      <alignment horizontal="left" vertical="center"/>
    </xf>
    <xf numFmtId="0" fontId="29" fillId="0" borderId="1" xfId="0" applyFont="1" applyBorder="1" applyAlignment="1">
      <alignment horizontal="center" vertical="center"/>
    </xf>
    <xf numFmtId="43" fontId="29" fillId="0" borderId="1" xfId="1" applyFont="1" applyFill="1" applyBorder="1" applyAlignment="1">
      <alignment horizontal="center" vertical="center"/>
    </xf>
    <xf numFmtId="167" fontId="29" fillId="0" borderId="1" xfId="1" applyNumberFormat="1" applyFont="1" applyFill="1" applyBorder="1" applyAlignment="1">
      <alignment horizontal="left" vertical="center"/>
    </xf>
    <xf numFmtId="166" fontId="29" fillId="0" borderId="1" xfId="1" applyNumberFormat="1" applyFont="1" applyFill="1" applyBorder="1" applyAlignment="1">
      <alignment horizontal="left" vertical="center"/>
    </xf>
    <xf numFmtId="2" fontId="28" fillId="0" borderId="1" xfId="0" applyNumberFormat="1" applyFont="1" applyBorder="1" applyAlignment="1">
      <alignment horizontal="center" vertical="center"/>
    </xf>
    <xf numFmtId="166" fontId="28" fillId="0" borderId="1" xfId="0" applyNumberFormat="1" applyFont="1" applyBorder="1" applyAlignment="1">
      <alignment horizontal="left" vertical="center" wrapText="1"/>
    </xf>
    <xf numFmtId="166" fontId="30" fillId="0" borderId="1" xfId="0" applyNumberFormat="1" applyFont="1" applyBorder="1" applyAlignment="1">
      <alignment horizontal="left" vertical="center" wrapText="1"/>
    </xf>
    <xf numFmtId="0" fontId="13" fillId="0" borderId="0" xfId="0" applyFont="1" applyAlignment="1">
      <alignment horizontal="center" vertical="center"/>
    </xf>
    <xf numFmtId="0" fontId="15" fillId="0" borderId="0" xfId="0" applyFont="1" applyAlignment="1">
      <alignment horizontal="center" vertical="center"/>
    </xf>
    <xf numFmtId="0" fontId="0" fillId="0" borderId="1" xfId="0" applyBorder="1"/>
    <xf numFmtId="0" fontId="31" fillId="0" borderId="1" xfId="0" applyFont="1" applyBorder="1"/>
    <xf numFmtId="43" fontId="31" fillId="0" borderId="1" xfId="1" applyFont="1" applyBorder="1"/>
    <xf numFmtId="43" fontId="0" fillId="0" borderId="1" xfId="1" applyFont="1" applyBorder="1"/>
    <xf numFmtId="0" fontId="32" fillId="0" borderId="1" xfId="0" applyFont="1" applyBorder="1"/>
    <xf numFmtId="0" fontId="5" fillId="0" borderId="0" xfId="0" applyFont="1" applyAlignment="1">
      <alignment horizontal="center" vertical="center"/>
    </xf>
    <xf numFmtId="0" fontId="25" fillId="0" borderId="0" xfId="0" applyFont="1" applyAlignment="1">
      <alignment horizontal="left" vertical="center" wrapText="1"/>
    </xf>
    <xf numFmtId="165" fontId="4" fillId="0" borderId="0" xfId="0" applyNumberFormat="1" applyFont="1" applyAlignment="1">
      <alignment horizontal="left" vertical="center"/>
    </xf>
    <xf numFmtId="0" fontId="0" fillId="5" borderId="1" xfId="0" applyFill="1" applyBorder="1"/>
    <xf numFmtId="43" fontId="0" fillId="5" borderId="1" xfId="1" applyFont="1" applyFill="1" applyBorder="1"/>
    <xf numFmtId="0" fontId="0" fillId="5" borderId="1" xfId="0" applyFill="1" applyBorder="1" applyAlignment="1">
      <alignment vertical="center"/>
    </xf>
    <xf numFmtId="43" fontId="0" fillId="5" borderId="1" xfId="1" applyFont="1" applyFill="1" applyBorder="1" applyAlignment="1">
      <alignment vertical="center"/>
    </xf>
    <xf numFmtId="0" fontId="3" fillId="0" borderId="0" xfId="0" applyFont="1" applyAlignment="1">
      <alignment horizontal="right" vertical="center"/>
    </xf>
    <xf numFmtId="43" fontId="2" fillId="0" borderId="0" xfId="1" applyFont="1" applyAlignment="1">
      <alignment vertical="center"/>
    </xf>
    <xf numFmtId="43" fontId="3" fillId="0" borderId="0" xfId="1" applyFont="1" applyAlignment="1">
      <alignment vertical="center"/>
    </xf>
    <xf numFmtId="0" fontId="20" fillId="0" borderId="40" xfId="0" applyFont="1" applyBorder="1" applyAlignment="1">
      <alignment horizontal="center" vertical="center" wrapText="1"/>
    </xf>
    <xf numFmtId="0" fontId="20" fillId="0" borderId="1" xfId="0" applyFont="1" applyBorder="1" applyAlignment="1">
      <alignment horizontal="right" vertical="center" wrapText="1"/>
    </xf>
    <xf numFmtId="43" fontId="4" fillId="0" borderId="1" xfId="1" applyFont="1" applyFill="1" applyBorder="1" applyAlignment="1">
      <alignment horizontal="center" vertical="center"/>
    </xf>
    <xf numFmtId="0" fontId="3" fillId="0" borderId="1" xfId="0" applyFont="1" applyBorder="1" applyAlignment="1">
      <alignment horizontal="right" vertical="center"/>
    </xf>
    <xf numFmtId="43" fontId="3" fillId="0" borderId="1" xfId="0" applyNumberFormat="1" applyFont="1" applyBorder="1" applyAlignment="1">
      <alignment horizontal="right" vertical="center"/>
    </xf>
    <xf numFmtId="0" fontId="29" fillId="6" borderId="1" xfId="0" applyFont="1" applyFill="1" applyBorder="1" applyAlignment="1">
      <alignment horizontal="center" vertical="center"/>
    </xf>
    <xf numFmtId="0" fontId="28" fillId="6" borderId="1" xfId="0" applyFont="1" applyFill="1" applyBorder="1" applyAlignment="1">
      <alignment horizontal="center" vertical="center"/>
    </xf>
    <xf numFmtId="43" fontId="29" fillId="6" borderId="1" xfId="1" applyFont="1" applyFill="1" applyBorder="1" applyAlignment="1">
      <alignment horizontal="center" vertical="center"/>
    </xf>
    <xf numFmtId="167" fontId="29" fillId="6" borderId="1" xfId="1" applyNumberFormat="1" applyFont="1" applyFill="1" applyBorder="1" applyAlignment="1">
      <alignment horizontal="left" vertical="center"/>
    </xf>
    <xf numFmtId="166" fontId="29" fillId="6" borderId="1" xfId="1" applyNumberFormat="1" applyFont="1" applyFill="1" applyBorder="1" applyAlignment="1">
      <alignment horizontal="left" vertical="center"/>
    </xf>
    <xf numFmtId="2" fontId="28" fillId="6" borderId="1" xfId="0" applyNumberFormat="1" applyFont="1" applyFill="1" applyBorder="1" applyAlignment="1">
      <alignment horizontal="center" vertical="center"/>
    </xf>
    <xf numFmtId="164" fontId="28" fillId="6" borderId="1" xfId="1" applyNumberFormat="1" applyFont="1" applyFill="1" applyBorder="1" applyAlignment="1">
      <alignment horizontal="right" vertical="center"/>
    </xf>
    <xf numFmtId="166" fontId="28" fillId="6" borderId="1" xfId="0" applyNumberFormat="1" applyFont="1" applyFill="1" applyBorder="1" applyAlignment="1">
      <alignment horizontal="left" vertical="center" wrapText="1"/>
    </xf>
    <xf numFmtId="9" fontId="33" fillId="6" borderId="1" xfId="2" applyFont="1" applyFill="1" applyBorder="1" applyAlignment="1">
      <alignment horizontal="center" vertical="center"/>
    </xf>
    <xf numFmtId="43" fontId="33" fillId="6" borderId="1" xfId="1" applyFont="1" applyFill="1" applyBorder="1" applyAlignment="1">
      <alignment horizontal="center" vertical="center"/>
    </xf>
    <xf numFmtId="167" fontId="33" fillId="6" borderId="1" xfId="1" applyNumberFormat="1" applyFont="1" applyFill="1" applyBorder="1" applyAlignment="1">
      <alignment horizontal="left" vertical="center"/>
    </xf>
    <xf numFmtId="166" fontId="33" fillId="6" borderId="1" xfId="1" applyNumberFormat="1" applyFont="1" applyFill="1" applyBorder="1" applyAlignment="1">
      <alignment horizontal="left" vertical="center"/>
    </xf>
    <xf numFmtId="2" fontId="34" fillId="6" borderId="1" xfId="0" applyNumberFormat="1" applyFont="1" applyFill="1" applyBorder="1" applyAlignment="1">
      <alignment horizontal="center" vertical="center"/>
    </xf>
    <xf numFmtId="164" fontId="34" fillId="6" borderId="1" xfId="1" applyNumberFormat="1" applyFont="1" applyFill="1" applyBorder="1" applyAlignment="1">
      <alignment horizontal="right" vertical="center"/>
    </xf>
    <xf numFmtId="0" fontId="29" fillId="0" borderId="1" xfId="0" applyFont="1" applyBorder="1" applyAlignment="1">
      <alignment horizontal="left" vertical="center"/>
    </xf>
    <xf numFmtId="164" fontId="28" fillId="0" borderId="1" xfId="1" applyNumberFormat="1" applyFont="1" applyFill="1" applyBorder="1" applyAlignment="1">
      <alignment horizontal="right" vertical="center"/>
    </xf>
    <xf numFmtId="43" fontId="28" fillId="0" borderId="1" xfId="0" applyNumberFormat="1" applyFont="1" applyBorder="1" applyAlignment="1">
      <alignment vertical="center"/>
    </xf>
    <xf numFmtId="0" fontId="33" fillId="6" borderId="1" xfId="0" applyFont="1" applyFill="1" applyBorder="1" applyAlignment="1">
      <alignment horizontal="left" vertical="center"/>
    </xf>
    <xf numFmtId="0" fontId="29" fillId="6" borderId="1" xfId="0" applyFont="1" applyFill="1" applyBorder="1" applyAlignment="1">
      <alignment horizontal="left" vertical="center"/>
    </xf>
    <xf numFmtId="0" fontId="34" fillId="6" borderId="1" xfId="0" applyFont="1" applyFill="1" applyBorder="1" applyAlignment="1">
      <alignment horizontal="left" vertical="center"/>
    </xf>
    <xf numFmtId="0" fontId="6" fillId="0" borderId="0" xfId="0" applyFont="1" applyAlignment="1">
      <alignment horizontal="right" vertical="center"/>
    </xf>
    <xf numFmtId="0" fontId="8" fillId="0" borderId="0" xfId="0" applyFont="1" applyAlignment="1">
      <alignment horizontal="right" vertical="center"/>
    </xf>
    <xf numFmtId="0" fontId="3" fillId="0" borderId="0" xfId="0" quotePrefix="1" applyFont="1" applyAlignment="1">
      <alignment horizontal="center" vertical="center"/>
    </xf>
    <xf numFmtId="0" fontId="3" fillId="0" borderId="0" xfId="0" quotePrefix="1" applyFont="1" applyAlignment="1">
      <alignment horizontal="left" wrapText="1"/>
    </xf>
    <xf numFmtId="0" fontId="16" fillId="0" borderId="1" xfId="0" applyFont="1" applyBorder="1"/>
    <xf numFmtId="0" fontId="32" fillId="0" borderId="1" xfId="0" applyFont="1" applyBorder="1" applyAlignment="1">
      <alignment horizontal="center"/>
    </xf>
    <xf numFmtId="43" fontId="32" fillId="0" borderId="1" xfId="1" applyFont="1" applyFill="1" applyBorder="1" applyAlignment="1">
      <alignment horizontal="center"/>
    </xf>
    <xf numFmtId="0" fontId="0" fillId="0" borderId="1" xfId="0" applyBorder="1" applyAlignment="1">
      <alignment horizontal="center"/>
    </xf>
    <xf numFmtId="43" fontId="0" fillId="0" borderId="1" xfId="1" applyFont="1" applyBorder="1" applyAlignment="1">
      <alignment horizontal="center"/>
    </xf>
    <xf numFmtId="0" fontId="0" fillId="0" borderId="0" xfId="0" applyAlignment="1">
      <alignment horizontal="center"/>
    </xf>
    <xf numFmtId="43" fontId="0" fillId="0" borderId="0" xfId="1" applyFont="1" applyAlignment="1">
      <alignment horizontal="center"/>
    </xf>
    <xf numFmtId="0" fontId="16" fillId="0" borderId="1" xfId="0" applyFont="1" applyBorder="1" applyAlignment="1">
      <alignment horizontal="center"/>
    </xf>
    <xf numFmtId="43" fontId="32" fillId="0" borderId="1" xfId="1" applyFont="1" applyBorder="1"/>
    <xf numFmtId="0" fontId="32" fillId="0" borderId="0" xfId="0" applyFont="1"/>
    <xf numFmtId="43" fontId="32" fillId="0" borderId="0" xfId="1" applyFont="1"/>
    <xf numFmtId="0" fontId="32" fillId="0" borderId="0" xfId="0" applyFont="1" applyAlignment="1">
      <alignment horizontal="center"/>
    </xf>
    <xf numFmtId="0" fontId="0" fillId="0" borderId="1" xfId="0" applyBorder="1" applyAlignment="1">
      <alignment horizontal="right"/>
    </xf>
    <xf numFmtId="0" fontId="36" fillId="9" borderId="44" xfId="0" applyFont="1" applyFill="1" applyBorder="1" applyAlignment="1">
      <alignment horizontal="center" vertical="center" wrapText="1"/>
    </xf>
    <xf numFmtId="0" fontId="37" fillId="8" borderId="45" xfId="0" applyFont="1" applyFill="1" applyBorder="1" applyAlignment="1">
      <alignment horizontal="center" vertical="center" wrapText="1"/>
    </xf>
    <xf numFmtId="0" fontId="37" fillId="8" borderId="45" xfId="0" applyFont="1" applyFill="1" applyBorder="1" applyAlignment="1">
      <alignment horizontal="left" vertical="center" wrapText="1"/>
    </xf>
    <xf numFmtId="0" fontId="37" fillId="8" borderId="45" xfId="0" applyFont="1" applyFill="1" applyBorder="1" applyAlignment="1">
      <alignment horizontal="right" vertical="center" wrapText="1"/>
    </xf>
    <xf numFmtId="0" fontId="32" fillId="0" borderId="1" xfId="0" applyFont="1" applyBorder="1" applyAlignment="1">
      <alignment horizontal="center" vertical="center"/>
    </xf>
    <xf numFmtId="0" fontId="16" fillId="8" borderId="18" xfId="0" applyFont="1" applyFill="1" applyBorder="1" applyAlignment="1">
      <alignment horizontal="center"/>
    </xf>
    <xf numFmtId="0" fontId="0" fillId="8" borderId="18" xfId="0" applyFill="1" applyBorder="1" applyAlignment="1">
      <alignment horizontal="center"/>
    </xf>
    <xf numFmtId="0" fontId="38" fillId="0" borderId="0" xfId="0" applyFont="1" applyAlignment="1">
      <alignment horizontal="center"/>
    </xf>
    <xf numFmtId="0" fontId="16" fillId="0" borderId="0" xfId="0" applyFont="1"/>
    <xf numFmtId="0" fontId="0" fillId="8" borderId="1" xfId="0" applyFill="1" applyBorder="1" applyAlignment="1">
      <alignment horizontal="center"/>
    </xf>
    <xf numFmtId="0" fontId="16" fillId="8" borderId="1" xfId="0" applyFont="1" applyFill="1" applyBorder="1" applyAlignment="1">
      <alignment horizontal="center"/>
    </xf>
    <xf numFmtId="43" fontId="0" fillId="0" borderId="1" xfId="0" applyNumberFormat="1" applyBorder="1"/>
    <xf numFmtId="43" fontId="0" fillId="8" borderId="18" xfId="0" applyNumberFormat="1" applyFill="1" applyBorder="1" applyAlignment="1">
      <alignment horizontal="center"/>
    </xf>
    <xf numFmtId="0" fontId="16" fillId="7" borderId="18" xfId="0" applyFont="1" applyFill="1" applyBorder="1" applyAlignment="1">
      <alignment horizontal="center"/>
    </xf>
    <xf numFmtId="43" fontId="0" fillId="7" borderId="18" xfId="0" applyNumberFormat="1" applyFill="1" applyBorder="1" applyAlignment="1">
      <alignment horizontal="center"/>
    </xf>
    <xf numFmtId="43" fontId="0" fillId="5" borderId="18" xfId="0" applyNumberFormat="1" applyFill="1" applyBorder="1" applyAlignment="1">
      <alignment horizontal="center"/>
    </xf>
    <xf numFmtId="43" fontId="0" fillId="6" borderId="18" xfId="0" applyNumberFormat="1" applyFill="1" applyBorder="1" applyAlignment="1">
      <alignment horizontal="center"/>
    </xf>
    <xf numFmtId="43" fontId="0" fillId="0" borderId="1" xfId="0" applyNumberFormat="1" applyBorder="1" applyAlignment="1">
      <alignment horizontal="center"/>
    </xf>
    <xf numFmtId="0" fontId="16" fillId="6" borderId="1" xfId="0" applyFont="1" applyFill="1" applyBorder="1" applyAlignment="1">
      <alignment horizontal="center"/>
    </xf>
    <xf numFmtId="0" fontId="16" fillId="5" borderId="1" xfId="0" applyFont="1" applyFill="1" applyBorder="1" applyAlignment="1">
      <alignment horizontal="center"/>
    </xf>
    <xf numFmtId="43" fontId="32" fillId="8" borderId="1" xfId="0" applyNumberFormat="1" applyFont="1" applyFill="1" applyBorder="1" applyAlignment="1">
      <alignment horizontal="center"/>
    </xf>
    <xf numFmtId="43" fontId="32" fillId="6" borderId="1" xfId="0" applyNumberFormat="1" applyFont="1" applyFill="1" applyBorder="1" applyAlignment="1">
      <alignment horizontal="center"/>
    </xf>
    <xf numFmtId="43" fontId="32" fillId="5" borderId="1" xfId="0" applyNumberFormat="1" applyFont="1" applyFill="1" applyBorder="1" applyAlignment="1">
      <alignment horizontal="center"/>
    </xf>
    <xf numFmtId="0" fontId="29" fillId="0" borderId="4" xfId="0" applyFont="1" applyBorder="1" applyAlignment="1">
      <alignment horizontal="left" vertical="center"/>
    </xf>
    <xf numFmtId="43" fontId="39" fillId="0" borderId="1" xfId="1" applyFont="1" applyBorder="1" applyAlignment="1">
      <alignment horizontal="center" vertical="center"/>
    </xf>
    <xf numFmtId="43" fontId="28" fillId="0" borderId="1" xfId="1" applyFont="1" applyFill="1" applyBorder="1" applyAlignment="1">
      <alignment horizontal="center" vertical="center"/>
    </xf>
    <xf numFmtId="0" fontId="29" fillId="0" borderId="3" xfId="0" applyFont="1" applyBorder="1" applyAlignment="1">
      <alignment horizontal="left" vertical="center"/>
    </xf>
    <xf numFmtId="0" fontId="29" fillId="0" borderId="1" xfId="1" applyNumberFormat="1" applyFont="1" applyFill="1" applyBorder="1" applyAlignment="1">
      <alignment horizontal="right" vertical="center"/>
    </xf>
    <xf numFmtId="2" fontId="28" fillId="6" borderId="1" xfId="0" applyNumberFormat="1" applyFont="1" applyFill="1" applyBorder="1" applyAlignment="1">
      <alignment vertical="center"/>
    </xf>
    <xf numFmtId="43" fontId="29" fillId="0" borderId="1" xfId="1" applyFont="1" applyFill="1" applyBorder="1" applyAlignment="1">
      <alignment vertical="center"/>
    </xf>
    <xf numFmtId="0" fontId="10" fillId="5" borderId="0" xfId="0" quotePrefix="1" applyFont="1" applyFill="1" applyAlignment="1">
      <alignment horizontal="left" vertical="center" wrapText="1"/>
    </xf>
    <xf numFmtId="0" fontId="4" fillId="0" borderId="27" xfId="0" applyFont="1" applyBorder="1" applyAlignment="1">
      <alignment horizontal="left" vertical="center"/>
    </xf>
    <xf numFmtId="0" fontId="10" fillId="5" borderId="0" xfId="0" applyFont="1" applyFill="1" applyAlignment="1">
      <alignment horizontal="left" vertical="center"/>
    </xf>
    <xf numFmtId="0" fontId="7" fillId="4" borderId="0" xfId="0" applyFont="1" applyFill="1" applyAlignment="1">
      <alignment horizontal="center" vertical="center"/>
    </xf>
    <xf numFmtId="0" fontId="4" fillId="3" borderId="0" xfId="0" applyFont="1" applyFill="1" applyAlignment="1">
      <alignment horizontal="center" vertical="center"/>
    </xf>
    <xf numFmtId="0" fontId="4" fillId="3" borderId="1" xfId="0" applyFont="1" applyFill="1" applyBorder="1" applyAlignment="1">
      <alignment horizontal="center" vertical="center"/>
    </xf>
    <xf numFmtId="167" fontId="28" fillId="0" borderId="1" xfId="0" applyNumberFormat="1" applyFont="1" applyBorder="1" applyAlignment="1">
      <alignment horizontal="left" vertical="center" wrapText="1"/>
    </xf>
    <xf numFmtId="43" fontId="28" fillId="0" borderId="1" xfId="0" applyNumberFormat="1" applyFont="1" applyBorder="1" applyAlignment="1">
      <alignment horizontal="left" vertical="center" wrapText="1"/>
    </xf>
    <xf numFmtId="0" fontId="39" fillId="0" borderId="1" xfId="0" applyFont="1" applyBorder="1" applyAlignment="1">
      <alignment horizontal="right" vertical="center"/>
    </xf>
    <xf numFmtId="0" fontId="8"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43" fontId="4" fillId="0" borderId="0" xfId="1" applyFont="1" applyFill="1" applyBorder="1" applyAlignment="1">
      <alignment horizontal="center" vertical="center"/>
    </xf>
    <xf numFmtId="43" fontId="29" fillId="0" borderId="1" xfId="1" applyFont="1" applyFill="1" applyBorder="1" applyAlignment="1">
      <alignment horizontal="right" vertical="center"/>
    </xf>
    <xf numFmtId="166" fontId="28" fillId="0" borderId="1" xfId="1" applyNumberFormat="1" applyFont="1" applyFill="1" applyBorder="1" applyAlignment="1">
      <alignment horizontal="right" vertical="center"/>
    </xf>
    <xf numFmtId="43" fontId="28" fillId="0" borderId="1" xfId="1" applyFont="1" applyFill="1" applyBorder="1" applyAlignment="1">
      <alignment horizontal="right" vertical="center"/>
    </xf>
    <xf numFmtId="43" fontId="28" fillId="0" borderId="1" xfId="1" applyFont="1" applyBorder="1" applyAlignment="1">
      <alignment horizontal="left" vertical="center" wrapText="1"/>
    </xf>
    <xf numFmtId="167" fontId="30" fillId="0" borderId="1" xfId="0" applyNumberFormat="1" applyFont="1" applyBorder="1" applyAlignment="1">
      <alignment horizontal="left" vertical="center" wrapText="1"/>
    </xf>
    <xf numFmtId="43" fontId="30" fillId="0" borderId="1" xfId="1" applyFont="1" applyBorder="1" applyAlignment="1">
      <alignment horizontal="left" vertical="center" wrapText="1"/>
    </xf>
    <xf numFmtId="43" fontId="3" fillId="0" borderId="1" xfId="1" applyFont="1" applyFill="1" applyBorder="1" applyAlignment="1">
      <alignment horizontal="right" vertical="center"/>
    </xf>
    <xf numFmtId="43" fontId="3" fillId="0" borderId="1" xfId="1" applyFont="1" applyBorder="1" applyAlignment="1">
      <alignment horizontal="right" vertical="center"/>
    </xf>
    <xf numFmtId="43" fontId="30" fillId="0" borderId="1" xfId="0" applyNumberFormat="1" applyFont="1" applyBorder="1" applyAlignment="1">
      <alignment horizontal="left" vertical="center" wrapText="1"/>
    </xf>
    <xf numFmtId="0" fontId="39" fillId="0" borderId="34" xfId="0" applyFont="1" applyBorder="1" applyAlignment="1">
      <alignment horizontal="center" vertical="center"/>
    </xf>
    <xf numFmtId="0" fontId="39" fillId="0" borderId="42" xfId="0" applyFont="1" applyBorder="1" applyAlignment="1">
      <alignment horizontal="center" vertical="center"/>
    </xf>
    <xf numFmtId="0" fontId="39" fillId="0" borderId="37" xfId="0" applyFont="1" applyBorder="1" applyAlignment="1">
      <alignment horizontal="center" vertical="center"/>
    </xf>
    <xf numFmtId="0" fontId="4" fillId="0" borderId="1" xfId="0" applyFont="1" applyBorder="1" applyAlignment="1">
      <alignment horizontal="center" vertical="center"/>
    </xf>
    <xf numFmtId="0" fontId="20" fillId="0" borderId="34" xfId="0" applyFont="1" applyBorder="1" applyAlignment="1">
      <alignment horizontal="center" vertical="center" wrapText="1"/>
    </xf>
    <xf numFmtId="166" fontId="30" fillId="0" borderId="34" xfId="0" applyNumberFormat="1" applyFont="1" applyBorder="1" applyAlignment="1">
      <alignment horizontal="left" vertical="center" wrapText="1"/>
    </xf>
    <xf numFmtId="166" fontId="30" fillId="0" borderId="37" xfId="0" applyNumberFormat="1" applyFont="1" applyBorder="1" applyAlignment="1">
      <alignment horizontal="left" vertical="center" wrapText="1"/>
    </xf>
    <xf numFmtId="166" fontId="30" fillId="0" borderId="42" xfId="0" applyNumberFormat="1" applyFont="1" applyBorder="1" applyAlignment="1">
      <alignment horizontal="left" vertical="center" wrapText="1"/>
    </xf>
    <xf numFmtId="43" fontId="3" fillId="0" borderId="1" xfId="0" applyNumberFormat="1" applyFont="1" applyBorder="1" applyAlignment="1">
      <alignment vertical="center"/>
    </xf>
    <xf numFmtId="43" fontId="3" fillId="0" borderId="0" xfId="1" applyFont="1" applyAlignment="1">
      <alignment horizontal="center" vertical="center"/>
    </xf>
    <xf numFmtId="43" fontId="4" fillId="0" borderId="1" xfId="1" applyFont="1" applyBorder="1" applyAlignment="1">
      <alignment horizontal="center" vertical="center"/>
    </xf>
    <xf numFmtId="43" fontId="4" fillId="0" borderId="1" xfId="1" applyFont="1" applyBorder="1" applyAlignment="1">
      <alignment vertical="center"/>
    </xf>
    <xf numFmtId="43" fontId="3" fillId="0" borderId="1" xfId="1" applyFont="1" applyBorder="1" applyAlignment="1">
      <alignment vertical="center"/>
    </xf>
    <xf numFmtId="43" fontId="6" fillId="0" borderId="0" xfId="1" applyFont="1" applyAlignment="1">
      <alignment vertical="center"/>
    </xf>
    <xf numFmtId="43" fontId="8" fillId="0" borderId="0" xfId="1" applyFont="1" applyAlignment="1">
      <alignment vertical="center"/>
    </xf>
    <xf numFmtId="2" fontId="28" fillId="0" borderId="1" xfId="0" applyNumberFormat="1" applyFont="1" applyBorder="1" applyAlignment="1">
      <alignment horizontal="right" vertical="center"/>
    </xf>
    <xf numFmtId="2" fontId="28" fillId="0" borderId="1" xfId="0" applyNumberFormat="1" applyFont="1" applyBorder="1" applyAlignment="1">
      <alignment vertical="center"/>
    </xf>
    <xf numFmtId="166" fontId="28" fillId="0" borderId="1" xfId="1" applyNumberFormat="1" applyFont="1" applyFill="1" applyBorder="1" applyAlignment="1">
      <alignment vertical="center"/>
    </xf>
    <xf numFmtId="43" fontId="28" fillId="0" borderId="1" xfId="1" applyFont="1" applyFill="1" applyBorder="1" applyAlignment="1">
      <alignment vertical="center"/>
    </xf>
    <xf numFmtId="43" fontId="28" fillId="0" borderId="1" xfId="1" applyFont="1" applyFill="1" applyBorder="1"/>
    <xf numFmtId="1" fontId="28" fillId="0" borderId="1" xfId="0" applyNumberFormat="1" applyFont="1" applyBorder="1" applyAlignment="1">
      <alignment vertical="center"/>
    </xf>
    <xf numFmtId="43" fontId="15" fillId="0" borderId="0" xfId="0" applyNumberFormat="1" applyFont="1" applyAlignment="1">
      <alignment horizontal="center" vertical="center"/>
    </xf>
    <xf numFmtId="0" fontId="28" fillId="0" borderId="1" xfId="0" applyFont="1" applyBorder="1" applyAlignment="1">
      <alignment vertical="center" wrapText="1"/>
    </xf>
    <xf numFmtId="167" fontId="29" fillId="0" borderId="1" xfId="1" applyNumberFormat="1" applyFont="1" applyFill="1" applyBorder="1" applyAlignment="1">
      <alignment horizontal="center" vertical="center"/>
    </xf>
    <xf numFmtId="169" fontId="29" fillId="0" borderId="1" xfId="1" applyNumberFormat="1" applyFont="1" applyFill="1" applyBorder="1" applyAlignment="1">
      <alignment horizontal="center" vertical="center"/>
    </xf>
    <xf numFmtId="0" fontId="28" fillId="0" borderId="1" xfId="0" applyFont="1" applyBorder="1" applyAlignment="1">
      <alignment vertical="center"/>
    </xf>
    <xf numFmtId="0" fontId="28" fillId="0" borderId="1" xfId="0" applyFont="1" applyBorder="1"/>
    <xf numFmtId="43" fontId="29" fillId="0" borderId="1" xfId="1" applyFont="1" applyFill="1" applyBorder="1" applyAlignment="1">
      <alignment horizontal="left" vertical="center"/>
    </xf>
    <xf numFmtId="43" fontId="29" fillId="0" borderId="1" xfId="1" applyFont="1" applyBorder="1" applyAlignment="1">
      <alignment horizontal="center" vertical="center"/>
    </xf>
    <xf numFmtId="43" fontId="29" fillId="0" borderId="1" xfId="1" applyFont="1" applyFill="1" applyBorder="1" applyAlignment="1">
      <alignment horizontal="left" vertical="center" wrapText="1"/>
    </xf>
    <xf numFmtId="43" fontId="28" fillId="0" borderId="1" xfId="1" applyFont="1" applyFill="1" applyBorder="1" applyAlignment="1">
      <alignment horizontal="left" vertical="center"/>
    </xf>
    <xf numFmtId="0" fontId="13" fillId="0" borderId="5" xfId="0" applyFont="1" applyBorder="1" applyAlignment="1">
      <alignment horizontal="center" vertical="center" wrapText="1"/>
    </xf>
    <xf numFmtId="0" fontId="13" fillId="0" borderId="6" xfId="0" applyFont="1" applyBorder="1" applyAlignment="1">
      <alignment horizontal="center" vertical="center"/>
    </xf>
    <xf numFmtId="0" fontId="13" fillId="0" borderId="33" xfId="0" applyFont="1" applyBorder="1" applyAlignment="1">
      <alignment horizontal="center" vertical="center"/>
    </xf>
    <xf numFmtId="0" fontId="13" fillId="0" borderId="7" xfId="0" applyFont="1" applyBorder="1" applyAlignment="1">
      <alignment horizontal="center" vertical="center"/>
    </xf>
    <xf numFmtId="0" fontId="13" fillId="0" borderId="0" xfId="0" applyFont="1" applyAlignment="1">
      <alignment horizontal="center" vertical="center"/>
    </xf>
    <xf numFmtId="0" fontId="13" fillId="0" borderId="19" xfId="0" applyFont="1" applyBorder="1" applyAlignment="1">
      <alignment horizontal="center" vertical="center"/>
    </xf>
    <xf numFmtId="0" fontId="15" fillId="0" borderId="7"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4" fillId="0" borderId="31"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23"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17" xfId="0" applyFont="1" applyBorder="1" applyAlignment="1">
      <alignment horizontal="left" vertical="center"/>
    </xf>
    <xf numFmtId="0" fontId="4" fillId="0" borderId="30"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20" xfId="0" applyFont="1" applyBorder="1" applyAlignment="1">
      <alignment horizontal="left" vertical="center" wrapText="1"/>
    </xf>
    <xf numFmtId="0" fontId="4" fillId="0" borderId="10" xfId="0" applyFont="1" applyBorder="1" applyAlignment="1">
      <alignment horizontal="left" vertical="center" wrapText="1"/>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4" fillId="3" borderId="35" xfId="0" applyFont="1" applyFill="1" applyBorder="1" applyAlignment="1">
      <alignment horizontal="center" vertical="center" wrapText="1"/>
    </xf>
    <xf numFmtId="0" fontId="4" fillId="3" borderId="38" xfId="0" applyFont="1" applyFill="1" applyBorder="1" applyAlignment="1">
      <alignment horizontal="center" vertical="center"/>
    </xf>
    <xf numFmtId="0" fontId="4" fillId="3" borderId="36"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3" borderId="36" xfId="0" applyFont="1" applyFill="1" applyBorder="1" applyAlignment="1">
      <alignment horizontal="center" vertical="center"/>
    </xf>
    <xf numFmtId="0" fontId="4" fillId="3" borderId="39" xfId="0" applyFont="1" applyFill="1" applyBorder="1" applyAlignment="1">
      <alignment horizontal="center" vertical="center"/>
    </xf>
    <xf numFmtId="0" fontId="20" fillId="3" borderId="36" xfId="0" applyFont="1" applyFill="1" applyBorder="1" applyAlignment="1">
      <alignment horizontal="center" vertical="center" wrapText="1"/>
    </xf>
    <xf numFmtId="0" fontId="4" fillId="3" borderId="43" xfId="0" applyFont="1" applyFill="1" applyBorder="1" applyAlignment="1">
      <alignment horizontal="center" vertical="center"/>
    </xf>
    <xf numFmtId="0" fontId="4" fillId="3" borderId="25" xfId="0" applyFont="1" applyFill="1" applyBorder="1" applyAlignment="1">
      <alignment horizontal="center" vertical="center"/>
    </xf>
    <xf numFmtId="0" fontId="20" fillId="3" borderId="15" xfId="0" applyFont="1" applyFill="1" applyBorder="1" applyAlignment="1">
      <alignment horizontal="center" vertical="center" wrapText="1"/>
    </xf>
    <xf numFmtId="0" fontId="20" fillId="3" borderId="13" xfId="0" applyFont="1" applyFill="1" applyBorder="1" applyAlignment="1">
      <alignment horizontal="center" vertical="center" wrapText="1"/>
    </xf>
    <xf numFmtId="0" fontId="4" fillId="5" borderId="4" xfId="0" applyFont="1" applyFill="1" applyBorder="1" applyAlignment="1">
      <alignment horizontal="center" vertical="center"/>
    </xf>
    <xf numFmtId="0" fontId="4" fillId="5" borderId="3" xfId="0" applyFont="1" applyFill="1" applyBorder="1" applyAlignment="1">
      <alignment horizontal="center" vertical="center"/>
    </xf>
    <xf numFmtId="0" fontId="4" fillId="8" borderId="1"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3" xfId="0" applyFont="1" applyFill="1" applyBorder="1" applyAlignment="1">
      <alignment horizontal="center" vertical="center"/>
    </xf>
    <xf numFmtId="0" fontId="39" fillId="0" borderId="34" xfId="0" applyFont="1" applyBorder="1" applyAlignment="1">
      <alignment horizontal="center" vertical="center"/>
    </xf>
    <xf numFmtId="0" fontId="39" fillId="0" borderId="37" xfId="0" applyFont="1" applyBorder="1" applyAlignment="1">
      <alignment horizontal="center" vertical="center"/>
    </xf>
    <xf numFmtId="43" fontId="29" fillId="0" borderId="34" xfId="1" applyFont="1" applyFill="1" applyBorder="1" applyAlignment="1">
      <alignment horizontal="center" vertical="center"/>
    </xf>
    <xf numFmtId="43" fontId="29" fillId="0" borderId="42" xfId="1" applyFont="1" applyFill="1" applyBorder="1" applyAlignment="1">
      <alignment horizontal="center" vertical="center"/>
    </xf>
    <xf numFmtId="43" fontId="39" fillId="0" borderId="34" xfId="1" applyFont="1" applyBorder="1" applyAlignment="1">
      <alignment horizontal="center" vertical="center"/>
    </xf>
    <xf numFmtId="43" fontId="39" fillId="0" borderId="42" xfId="1" applyFont="1" applyBorder="1" applyAlignment="1">
      <alignment horizontal="center" vertical="center"/>
    </xf>
    <xf numFmtId="43" fontId="39" fillId="0" borderId="37" xfId="1" applyFont="1" applyBorder="1" applyAlignment="1">
      <alignment horizontal="center" vertical="center"/>
    </xf>
    <xf numFmtId="0" fontId="39" fillId="0" borderId="42" xfId="0" applyFont="1" applyBorder="1" applyAlignment="1">
      <alignment horizontal="center" vertical="center"/>
    </xf>
    <xf numFmtId="0" fontId="27" fillId="6" borderId="4" xfId="0" applyFont="1" applyFill="1" applyBorder="1" applyAlignment="1">
      <alignment horizontal="left" vertical="center"/>
    </xf>
    <xf numFmtId="0" fontId="27" fillId="6" borderId="3" xfId="0" applyFont="1" applyFill="1" applyBorder="1" applyAlignment="1">
      <alignment horizontal="left" vertical="center"/>
    </xf>
    <xf numFmtId="43" fontId="29" fillId="0" borderId="37" xfId="1" applyFont="1" applyFill="1" applyBorder="1" applyAlignment="1">
      <alignment horizontal="center" vertical="center"/>
    </xf>
    <xf numFmtId="0" fontId="33" fillId="6" borderId="4" xfId="0" applyFont="1" applyFill="1" applyBorder="1" applyAlignment="1">
      <alignment horizontal="left" vertical="center"/>
    </xf>
    <xf numFmtId="0" fontId="33" fillId="6" borderId="3" xfId="0" applyFont="1" applyFill="1" applyBorder="1" applyAlignment="1">
      <alignment horizontal="left"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10" fillId="5" borderId="7" xfId="0" quotePrefix="1" applyFont="1" applyFill="1" applyBorder="1" applyAlignment="1">
      <alignment horizontal="left" vertical="center" wrapText="1"/>
    </xf>
    <xf numFmtId="0" fontId="10" fillId="5" borderId="0" xfId="0" quotePrefix="1" applyFont="1" applyFill="1" applyAlignment="1">
      <alignment horizontal="left" vertical="center" wrapText="1"/>
    </xf>
    <xf numFmtId="0" fontId="10" fillId="5" borderId="19" xfId="0" quotePrefix="1" applyFont="1" applyFill="1" applyBorder="1" applyAlignment="1">
      <alignment horizontal="left" vertical="center" wrapText="1"/>
    </xf>
    <xf numFmtId="0" fontId="25" fillId="0" borderId="26" xfId="0" applyFont="1" applyBorder="1" applyAlignment="1">
      <alignment horizontal="left" vertical="center" wrapText="1"/>
    </xf>
    <xf numFmtId="0" fontId="25" fillId="0" borderId="18" xfId="0" applyFont="1" applyBorder="1" applyAlignment="1">
      <alignment horizontal="left" vertical="center" wrapText="1"/>
    </xf>
    <xf numFmtId="0" fontId="25" fillId="0" borderId="24" xfId="0" applyFont="1" applyBorder="1" applyAlignment="1">
      <alignment horizontal="left" vertical="center" wrapText="1"/>
    </xf>
    <xf numFmtId="0" fontId="10" fillId="5" borderId="32" xfId="0" quotePrefix="1" applyFont="1" applyFill="1" applyBorder="1" applyAlignment="1">
      <alignment horizontal="left" vertical="center" wrapText="1"/>
    </xf>
    <xf numFmtId="0" fontId="10" fillId="5" borderId="27" xfId="0" quotePrefix="1" applyFont="1" applyFill="1" applyBorder="1" applyAlignment="1">
      <alignment horizontal="left" vertical="center" wrapText="1"/>
    </xf>
    <xf numFmtId="0" fontId="10" fillId="5" borderId="28" xfId="0" quotePrefix="1" applyFont="1" applyFill="1" applyBorder="1" applyAlignment="1">
      <alignment horizontal="left" vertical="center" wrapText="1"/>
    </xf>
    <xf numFmtId="0" fontId="4" fillId="3" borderId="30" xfId="0" applyFont="1" applyFill="1" applyBorder="1" applyAlignment="1">
      <alignment horizontal="left" vertical="center"/>
    </xf>
    <xf numFmtId="0" fontId="4" fillId="3" borderId="10" xfId="0" applyFont="1" applyFill="1" applyBorder="1" applyAlignment="1">
      <alignment horizontal="left" vertical="center"/>
    </xf>
    <xf numFmtId="0" fontId="4" fillId="0" borderId="20"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3" borderId="23" xfId="0" applyFont="1" applyFill="1" applyBorder="1" applyAlignment="1">
      <alignment horizontal="left" vertical="center"/>
    </xf>
    <xf numFmtId="0" fontId="4" fillId="3" borderId="2" xfId="0" applyFont="1" applyFill="1" applyBorder="1" applyAlignment="1">
      <alignment horizontal="left" vertical="center"/>
    </xf>
    <xf numFmtId="0" fontId="4" fillId="0" borderId="1" xfId="0" applyFont="1" applyBorder="1" applyAlignment="1">
      <alignment horizontal="center" vertical="center"/>
    </xf>
    <xf numFmtId="0" fontId="10" fillId="5" borderId="23" xfId="0" applyFont="1" applyFill="1" applyBorder="1" applyAlignment="1">
      <alignment horizontal="left" vertical="center"/>
    </xf>
    <xf numFmtId="0" fontId="10" fillId="5" borderId="2" xfId="0" applyFont="1" applyFill="1" applyBorder="1" applyAlignment="1">
      <alignment horizontal="left" vertical="center"/>
    </xf>
    <xf numFmtId="0" fontId="10" fillId="5" borderId="17" xfId="0" applyFont="1" applyFill="1" applyBorder="1" applyAlignment="1">
      <alignment horizontal="left" vertical="center"/>
    </xf>
    <xf numFmtId="0" fontId="3" fillId="0" borderId="7" xfId="0" applyFont="1" applyBorder="1" applyAlignment="1">
      <alignment horizontal="left" vertical="center"/>
    </xf>
    <xf numFmtId="0" fontId="3" fillId="0" borderId="0" xfId="0" applyFont="1" applyAlignment="1">
      <alignment horizontal="left" vertical="center"/>
    </xf>
    <xf numFmtId="0" fontId="4" fillId="3" borderId="3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 xfId="0" applyFont="1" applyFill="1" applyBorder="1" applyAlignment="1">
      <alignment horizontal="center" vertical="center"/>
    </xf>
    <xf numFmtId="0" fontId="35" fillId="0" borderId="0" xfId="0" applyFont="1" applyAlignment="1">
      <alignment horizontal="center"/>
    </xf>
    <xf numFmtId="0" fontId="38" fillId="0" borderId="0" xfId="0" applyFont="1" applyAlignment="1">
      <alignment horizontal="center"/>
    </xf>
    <xf numFmtId="0" fontId="16" fillId="5" borderId="18" xfId="0" applyFont="1" applyFill="1" applyBorder="1" applyAlignment="1">
      <alignment horizontal="center"/>
    </xf>
    <xf numFmtId="0" fontId="16" fillId="8" borderId="18" xfId="0" applyFont="1" applyFill="1" applyBorder="1" applyAlignment="1">
      <alignment horizontal="center"/>
    </xf>
    <xf numFmtId="0" fontId="0" fillId="8" borderId="18" xfId="0" applyFill="1" applyBorder="1" applyAlignment="1">
      <alignment horizontal="center"/>
    </xf>
    <xf numFmtId="0" fontId="16" fillId="6" borderId="18" xfId="0" applyFont="1" applyFill="1" applyBorder="1" applyAlignment="1">
      <alignment horizontal="center"/>
    </xf>
    <xf numFmtId="0" fontId="16" fillId="7" borderId="18" xfId="0" applyFont="1" applyFill="1" applyBorder="1" applyAlignment="1">
      <alignment horizontal="center"/>
    </xf>
    <xf numFmtId="0" fontId="0" fillId="7" borderId="18" xfId="0" applyFill="1" applyBorder="1" applyAlignment="1">
      <alignment horizontal="center"/>
    </xf>
    <xf numFmtId="0" fontId="16" fillId="8" borderId="1" xfId="0" applyFont="1" applyFill="1" applyBorder="1" applyAlignment="1">
      <alignment horizontal="center"/>
    </xf>
    <xf numFmtId="0" fontId="0" fillId="8" borderId="1" xfId="0" applyFill="1" applyBorder="1" applyAlignment="1">
      <alignment horizontal="center"/>
    </xf>
    <xf numFmtId="0" fontId="16" fillId="6" borderId="1" xfId="0" applyFont="1" applyFill="1" applyBorder="1" applyAlignment="1">
      <alignment horizontal="center"/>
    </xf>
    <xf numFmtId="0" fontId="0" fillId="6" borderId="1" xfId="0" applyFill="1" applyBorder="1" applyAlignment="1">
      <alignment horizontal="center"/>
    </xf>
    <xf numFmtId="0" fontId="16" fillId="5" borderId="1" xfId="0" applyFont="1" applyFill="1" applyBorder="1" applyAlignment="1">
      <alignment horizontal="center"/>
    </xf>
  </cellXfs>
  <cellStyles count="7">
    <cellStyle name="Comma" xfId="1" builtinId="3"/>
    <cellStyle name="Comma 2" xfId="4" xr:uid="{FC103AC4-79A1-4866-B3E0-D22BCC9FAC45}"/>
    <cellStyle name="Normal" xfId="0" builtinId="0"/>
    <cellStyle name="Normal 2" xfId="3" xr:uid="{4BDAABFF-B8DE-4B19-92A0-181B2A97FA5A}"/>
    <cellStyle name="Normal 3" xfId="6" xr:uid="{1D404051-7A25-4422-9086-4653DD826E91}"/>
    <cellStyle name="Normal 87 2" xfId="5" xr:uid="{DB5B6B9D-658B-483D-B1D1-1C86DCEA7CA5}"/>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10</xdr:col>
      <xdr:colOff>0</xdr:colOff>
      <xdr:row>0</xdr:row>
      <xdr:rowOff>0</xdr:rowOff>
    </xdr:to>
    <xdr:sp macro="" textlink="">
      <xdr:nvSpPr>
        <xdr:cNvPr id="2" name="Rectangle 3">
          <a:extLst>
            <a:ext uri="{FF2B5EF4-FFF2-40B4-BE49-F238E27FC236}">
              <a16:creationId xmlns:a16="http://schemas.microsoft.com/office/drawing/2014/main" id="{CAC4DFEE-03E0-4AA4-BFF7-BD54A761992B}"/>
            </a:ext>
          </a:extLst>
        </xdr:cNvPr>
        <xdr:cNvSpPr>
          <a:spLocks noChangeArrowheads="1"/>
        </xdr:cNvSpPr>
      </xdr:nvSpPr>
      <xdr:spPr bwMode="auto">
        <a:xfrm>
          <a:off x="14144625" y="0"/>
          <a:ext cx="2076450" cy="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2837488</xdr:colOff>
      <xdr:row>259</xdr:row>
      <xdr:rowOff>44420</xdr:rowOff>
    </xdr:from>
    <xdr:to>
      <xdr:col>2</xdr:col>
      <xdr:colOff>3106428</xdr:colOff>
      <xdr:row>259</xdr:row>
      <xdr:rowOff>210509</xdr:rowOff>
    </xdr:to>
    <xdr:sp macro="" textlink="">
      <xdr:nvSpPr>
        <xdr:cNvPr id="3" name="Text Box 4">
          <a:extLst>
            <a:ext uri="{FF2B5EF4-FFF2-40B4-BE49-F238E27FC236}">
              <a16:creationId xmlns:a16="http://schemas.microsoft.com/office/drawing/2014/main" id="{F185D7A8-161D-495F-AFEF-9EDE5735A6E7}"/>
            </a:ext>
          </a:extLst>
        </xdr:cNvPr>
        <xdr:cNvSpPr txBox="1">
          <a:spLocks noChangeArrowheads="1"/>
        </xdr:cNvSpPr>
      </xdr:nvSpPr>
      <xdr:spPr bwMode="auto">
        <a:xfrm flipH="1">
          <a:off x="7790488" y="80530670"/>
          <a:ext cx="268940" cy="166089"/>
        </a:xfrm>
        <a:prstGeom prst="rect">
          <a:avLst/>
        </a:prstGeom>
        <a:solidFill>
          <a:srgbClr val="FFFFFF"/>
        </a:solidFill>
        <a:ln w="9525">
          <a:solidFill>
            <a:srgbClr val="FF0000"/>
          </a:solidFill>
          <a:miter lim="800000"/>
          <a:headEnd/>
          <a:tailEnd/>
        </a:ln>
      </xdr:spPr>
    </xdr:sp>
    <xdr:clientData/>
  </xdr:twoCellAnchor>
  <xdr:twoCellAnchor>
    <xdr:from>
      <xdr:col>5</xdr:col>
      <xdr:colOff>838200</xdr:colOff>
      <xdr:row>255</xdr:row>
      <xdr:rowOff>66148</xdr:rowOff>
    </xdr:from>
    <xdr:to>
      <xdr:col>6</xdr:col>
      <xdr:colOff>42241</xdr:colOff>
      <xdr:row>256</xdr:row>
      <xdr:rowOff>0</xdr:rowOff>
    </xdr:to>
    <xdr:sp macro="" textlink="">
      <xdr:nvSpPr>
        <xdr:cNvPr id="4" name="Text Box 4">
          <a:extLst>
            <a:ext uri="{FF2B5EF4-FFF2-40B4-BE49-F238E27FC236}">
              <a16:creationId xmlns:a16="http://schemas.microsoft.com/office/drawing/2014/main" id="{4158E5E2-4BD5-4433-9B59-D1D9794446A3}"/>
            </a:ext>
          </a:extLst>
        </xdr:cNvPr>
        <xdr:cNvSpPr txBox="1">
          <a:spLocks noChangeArrowheads="1"/>
        </xdr:cNvSpPr>
      </xdr:nvSpPr>
      <xdr:spPr bwMode="auto">
        <a:xfrm>
          <a:off x="11791950" y="79037923"/>
          <a:ext cx="289891" cy="143402"/>
        </a:xfrm>
        <a:prstGeom prst="rect">
          <a:avLst/>
        </a:prstGeom>
        <a:solidFill>
          <a:srgbClr val="FFFFFF"/>
        </a:solidFill>
        <a:ln w="9525">
          <a:solidFill>
            <a:srgbClr val="FF0000"/>
          </a:solidFill>
          <a:miter lim="800000"/>
          <a:headEnd/>
          <a:tailEnd/>
        </a:ln>
      </xdr:spPr>
    </xdr:sp>
    <xdr:clientData/>
  </xdr:twoCellAnchor>
  <xdr:twoCellAnchor>
    <xdr:from>
      <xdr:col>30</xdr:col>
      <xdr:colOff>442891</xdr:colOff>
      <xdr:row>259</xdr:row>
      <xdr:rowOff>64623</xdr:rowOff>
    </xdr:from>
    <xdr:to>
      <xdr:col>30</xdr:col>
      <xdr:colOff>816171</xdr:colOff>
      <xdr:row>259</xdr:row>
      <xdr:rowOff>204348</xdr:rowOff>
    </xdr:to>
    <xdr:sp macro="" textlink="">
      <xdr:nvSpPr>
        <xdr:cNvPr id="5" name="Text Box 4">
          <a:extLst>
            <a:ext uri="{FF2B5EF4-FFF2-40B4-BE49-F238E27FC236}">
              <a16:creationId xmlns:a16="http://schemas.microsoft.com/office/drawing/2014/main" id="{36DB5CA5-9D5F-4141-AF5C-F6606E09D3AF}"/>
            </a:ext>
          </a:extLst>
        </xdr:cNvPr>
        <xdr:cNvSpPr txBox="1">
          <a:spLocks noChangeArrowheads="1"/>
        </xdr:cNvSpPr>
      </xdr:nvSpPr>
      <xdr:spPr bwMode="auto">
        <a:xfrm>
          <a:off x="21102616" y="80550873"/>
          <a:ext cx="373280" cy="139725"/>
        </a:xfrm>
        <a:prstGeom prst="rect">
          <a:avLst/>
        </a:prstGeom>
        <a:solidFill>
          <a:srgbClr val="FFFFFF"/>
        </a:solidFill>
        <a:ln w="9525">
          <a:solidFill>
            <a:srgbClr val="FF0000"/>
          </a:solidFill>
          <a:miter lim="800000"/>
          <a:headEnd/>
          <a:tailEnd/>
        </a:ln>
      </xdr:spPr>
    </xdr:sp>
    <xdr:clientData/>
  </xdr:twoCellAnchor>
  <xdr:twoCellAnchor>
    <xdr:from>
      <xdr:col>5</xdr:col>
      <xdr:colOff>790575</xdr:colOff>
      <xdr:row>259</xdr:row>
      <xdr:rowOff>47626</xdr:rowOff>
    </xdr:from>
    <xdr:to>
      <xdr:col>5</xdr:col>
      <xdr:colOff>1058517</xdr:colOff>
      <xdr:row>259</xdr:row>
      <xdr:rowOff>180975</xdr:rowOff>
    </xdr:to>
    <xdr:sp macro="" textlink="">
      <xdr:nvSpPr>
        <xdr:cNvPr id="6" name="Text Box 4">
          <a:extLst>
            <a:ext uri="{FF2B5EF4-FFF2-40B4-BE49-F238E27FC236}">
              <a16:creationId xmlns:a16="http://schemas.microsoft.com/office/drawing/2014/main" id="{B19D967B-67D6-4E4F-9693-42CFB0C7033F}"/>
            </a:ext>
          </a:extLst>
        </xdr:cNvPr>
        <xdr:cNvSpPr txBox="1">
          <a:spLocks noChangeArrowheads="1"/>
        </xdr:cNvSpPr>
      </xdr:nvSpPr>
      <xdr:spPr bwMode="auto">
        <a:xfrm>
          <a:off x="11744325" y="80533876"/>
          <a:ext cx="267942" cy="133349"/>
        </a:xfrm>
        <a:prstGeom prst="rect">
          <a:avLst/>
        </a:prstGeom>
        <a:solidFill>
          <a:srgbClr val="FFFFFF"/>
        </a:solidFill>
        <a:ln w="9525">
          <a:solidFill>
            <a:srgbClr val="FF0000"/>
          </a:solidFill>
          <a:miter lim="800000"/>
          <a:headEnd/>
          <a:tailEnd/>
        </a:ln>
      </xdr:spPr>
    </xdr:sp>
    <xdr:clientData/>
  </xdr:twoCellAnchor>
  <xdr:twoCellAnchor>
    <xdr:from>
      <xdr:col>0</xdr:col>
      <xdr:colOff>63313</xdr:colOff>
      <xdr:row>255</xdr:row>
      <xdr:rowOff>70036</xdr:rowOff>
    </xdr:from>
    <xdr:to>
      <xdr:col>0</xdr:col>
      <xdr:colOff>323850</xdr:colOff>
      <xdr:row>255</xdr:row>
      <xdr:rowOff>209549</xdr:rowOff>
    </xdr:to>
    <xdr:sp macro="" textlink="">
      <xdr:nvSpPr>
        <xdr:cNvPr id="7" name="Text Box 4">
          <a:extLst>
            <a:ext uri="{FF2B5EF4-FFF2-40B4-BE49-F238E27FC236}">
              <a16:creationId xmlns:a16="http://schemas.microsoft.com/office/drawing/2014/main" id="{DAB6FE4B-D5F1-458F-BC4C-585910CE1D26}"/>
            </a:ext>
          </a:extLst>
        </xdr:cNvPr>
        <xdr:cNvSpPr txBox="1">
          <a:spLocks noChangeArrowheads="1"/>
        </xdr:cNvSpPr>
      </xdr:nvSpPr>
      <xdr:spPr bwMode="auto">
        <a:xfrm>
          <a:off x="63313" y="79041811"/>
          <a:ext cx="260537" cy="139513"/>
        </a:xfrm>
        <a:prstGeom prst="rect">
          <a:avLst/>
        </a:prstGeom>
        <a:solidFill>
          <a:srgbClr val="FFFFFF"/>
        </a:solidFill>
        <a:ln w="9525">
          <a:solidFill>
            <a:srgbClr val="FF0000"/>
          </a:solidFill>
          <a:miter lim="800000"/>
          <a:headEnd/>
          <a:tailEnd/>
        </a:ln>
      </xdr:spPr>
    </xdr:sp>
    <xdr:clientData/>
  </xdr:twoCellAnchor>
  <xdr:twoCellAnchor>
    <xdr:from>
      <xdr:col>0</xdr:col>
      <xdr:colOff>53788</xdr:colOff>
      <xdr:row>259</xdr:row>
      <xdr:rowOff>38100</xdr:rowOff>
    </xdr:from>
    <xdr:to>
      <xdr:col>0</xdr:col>
      <xdr:colOff>323850</xdr:colOff>
      <xdr:row>259</xdr:row>
      <xdr:rowOff>200025</xdr:rowOff>
    </xdr:to>
    <xdr:sp macro="" textlink="">
      <xdr:nvSpPr>
        <xdr:cNvPr id="8" name="Text Box 4">
          <a:extLst>
            <a:ext uri="{FF2B5EF4-FFF2-40B4-BE49-F238E27FC236}">
              <a16:creationId xmlns:a16="http://schemas.microsoft.com/office/drawing/2014/main" id="{EFC1B66D-9A13-4685-A0BF-4ABCD233C82D}"/>
            </a:ext>
          </a:extLst>
        </xdr:cNvPr>
        <xdr:cNvSpPr txBox="1">
          <a:spLocks noChangeArrowheads="1"/>
        </xdr:cNvSpPr>
      </xdr:nvSpPr>
      <xdr:spPr bwMode="auto">
        <a:xfrm>
          <a:off x="53788" y="80524350"/>
          <a:ext cx="270062" cy="161925"/>
        </a:xfrm>
        <a:prstGeom prst="rect">
          <a:avLst/>
        </a:prstGeom>
        <a:solidFill>
          <a:srgbClr val="FFFFFF"/>
        </a:solidFill>
        <a:ln w="9525">
          <a:solidFill>
            <a:srgbClr val="FF0000"/>
          </a:solidFill>
          <a:miter lim="800000"/>
          <a:headEnd/>
          <a:tailEnd/>
        </a:ln>
      </xdr:spPr>
    </xdr:sp>
    <xdr:clientData/>
  </xdr:twoCellAnchor>
  <xdr:twoCellAnchor>
    <xdr:from>
      <xdr:col>2</xdr:col>
      <xdr:colOff>2482902</xdr:colOff>
      <xdr:row>255</xdr:row>
      <xdr:rowOff>62748</xdr:rowOff>
    </xdr:from>
    <xdr:to>
      <xdr:col>2</xdr:col>
      <xdr:colOff>2798907</xdr:colOff>
      <xdr:row>256</xdr:row>
      <xdr:rowOff>7123</xdr:rowOff>
    </xdr:to>
    <xdr:sp macro="" textlink="">
      <xdr:nvSpPr>
        <xdr:cNvPr id="9" name="Text Box 4">
          <a:extLst>
            <a:ext uri="{FF2B5EF4-FFF2-40B4-BE49-F238E27FC236}">
              <a16:creationId xmlns:a16="http://schemas.microsoft.com/office/drawing/2014/main" id="{1DE7AAEE-FB9A-4744-8E27-B94B1E2512BB}"/>
            </a:ext>
          </a:extLst>
        </xdr:cNvPr>
        <xdr:cNvSpPr txBox="1">
          <a:spLocks noChangeArrowheads="1"/>
        </xdr:cNvSpPr>
      </xdr:nvSpPr>
      <xdr:spPr bwMode="auto">
        <a:xfrm>
          <a:off x="7435902" y="57669948"/>
          <a:ext cx="316005" cy="153925"/>
        </a:xfrm>
        <a:prstGeom prst="rect">
          <a:avLst/>
        </a:prstGeom>
        <a:solidFill>
          <a:srgbClr val="FFFFFF"/>
        </a:solidFill>
        <a:ln w="9525">
          <a:solidFill>
            <a:srgbClr val="FF0000"/>
          </a:solidFill>
          <a:miter lim="800000"/>
          <a:headEnd/>
          <a:tailEnd/>
        </a:ln>
      </xdr:spPr>
    </xdr:sp>
    <xdr:clientData/>
  </xdr:twoCellAnchor>
  <xdr:twoCellAnchor>
    <xdr:from>
      <xdr:col>20</xdr:col>
      <xdr:colOff>799010</xdr:colOff>
      <xdr:row>255</xdr:row>
      <xdr:rowOff>56428</xdr:rowOff>
    </xdr:from>
    <xdr:to>
      <xdr:col>20</xdr:col>
      <xdr:colOff>1049367</xdr:colOff>
      <xdr:row>255</xdr:row>
      <xdr:rowOff>199303</xdr:rowOff>
    </xdr:to>
    <xdr:sp macro="" textlink="">
      <xdr:nvSpPr>
        <xdr:cNvPr id="10" name="Text Box 4">
          <a:extLst>
            <a:ext uri="{FF2B5EF4-FFF2-40B4-BE49-F238E27FC236}">
              <a16:creationId xmlns:a16="http://schemas.microsoft.com/office/drawing/2014/main" id="{274A83C7-4257-44AA-A0CF-B0BF32C69A6F}"/>
            </a:ext>
          </a:extLst>
        </xdr:cNvPr>
        <xdr:cNvSpPr txBox="1">
          <a:spLocks noChangeArrowheads="1"/>
        </xdr:cNvSpPr>
      </xdr:nvSpPr>
      <xdr:spPr bwMode="auto">
        <a:xfrm>
          <a:off x="16221075" y="79028203"/>
          <a:ext cx="0" cy="142875"/>
        </a:xfrm>
        <a:prstGeom prst="rect">
          <a:avLst/>
        </a:prstGeom>
        <a:solidFill>
          <a:srgbClr val="FFFFFF"/>
        </a:solidFill>
        <a:ln w="9525">
          <a:solidFill>
            <a:srgbClr val="FF0000"/>
          </a:solidFill>
          <a:miter lim="800000"/>
          <a:headEnd/>
          <a:tailEnd/>
        </a:ln>
      </xdr:spPr>
    </xdr:sp>
    <xdr:clientData/>
  </xdr:twoCellAnchor>
  <xdr:twoCellAnchor>
    <xdr:from>
      <xdr:col>10</xdr:col>
      <xdr:colOff>661260</xdr:colOff>
      <xdr:row>259</xdr:row>
      <xdr:rowOff>47625</xdr:rowOff>
    </xdr:from>
    <xdr:to>
      <xdr:col>10</xdr:col>
      <xdr:colOff>1001367</xdr:colOff>
      <xdr:row>259</xdr:row>
      <xdr:rowOff>190500</xdr:rowOff>
    </xdr:to>
    <xdr:sp macro="" textlink="">
      <xdr:nvSpPr>
        <xdr:cNvPr id="11" name="Text Box 4">
          <a:extLst>
            <a:ext uri="{FF2B5EF4-FFF2-40B4-BE49-F238E27FC236}">
              <a16:creationId xmlns:a16="http://schemas.microsoft.com/office/drawing/2014/main" id="{05087EA7-81CE-4DB6-98EF-69A00D2E5D75}"/>
            </a:ext>
          </a:extLst>
        </xdr:cNvPr>
        <xdr:cNvSpPr txBox="1">
          <a:spLocks noChangeArrowheads="1"/>
        </xdr:cNvSpPr>
      </xdr:nvSpPr>
      <xdr:spPr bwMode="auto">
        <a:xfrm>
          <a:off x="16221075" y="80533875"/>
          <a:ext cx="0" cy="142875"/>
        </a:xfrm>
        <a:prstGeom prst="rect">
          <a:avLst/>
        </a:prstGeom>
        <a:solidFill>
          <a:srgbClr val="FFFFFF"/>
        </a:solidFill>
        <a:ln w="9525">
          <a:solidFill>
            <a:srgbClr val="FF0000"/>
          </a:solidFill>
          <a:miter lim="800000"/>
          <a:headEnd/>
          <a:tailEnd/>
        </a:ln>
      </xdr:spPr>
    </xdr:sp>
    <xdr:clientData/>
  </xdr:twoCellAnchor>
  <xdr:twoCellAnchor>
    <xdr:from>
      <xdr:col>8</xdr:col>
      <xdr:colOff>38100</xdr:colOff>
      <xdr:row>264</xdr:row>
      <xdr:rowOff>28575</xdr:rowOff>
    </xdr:from>
    <xdr:to>
      <xdr:col>8</xdr:col>
      <xdr:colOff>257175</xdr:colOff>
      <xdr:row>264</xdr:row>
      <xdr:rowOff>161925</xdr:rowOff>
    </xdr:to>
    <xdr:sp macro="" textlink="">
      <xdr:nvSpPr>
        <xdr:cNvPr id="12" name="Text Box 4">
          <a:extLst>
            <a:ext uri="{FF2B5EF4-FFF2-40B4-BE49-F238E27FC236}">
              <a16:creationId xmlns:a16="http://schemas.microsoft.com/office/drawing/2014/main" id="{52AEBE00-8566-4425-9D72-9B5076510AE3}"/>
            </a:ext>
          </a:extLst>
        </xdr:cNvPr>
        <xdr:cNvSpPr txBox="1">
          <a:spLocks noChangeArrowheads="1"/>
        </xdr:cNvSpPr>
      </xdr:nvSpPr>
      <xdr:spPr bwMode="auto">
        <a:xfrm>
          <a:off x="14182725" y="81610200"/>
          <a:ext cx="219075" cy="133350"/>
        </a:xfrm>
        <a:prstGeom prst="rect">
          <a:avLst/>
        </a:prstGeom>
        <a:solidFill>
          <a:srgbClr val="FFFFFF"/>
        </a:solidFill>
        <a:ln w="9525">
          <a:solidFill>
            <a:srgbClr val="FF0000"/>
          </a:solidFill>
          <a:miter lim="800000"/>
          <a:headEnd/>
          <a:tailEnd/>
        </a:ln>
      </xdr:spPr>
    </xdr:sp>
    <xdr:clientData/>
  </xdr:twoCellAnchor>
  <xdr:twoCellAnchor>
    <xdr:from>
      <xdr:col>8</xdr:col>
      <xdr:colOff>38100</xdr:colOff>
      <xdr:row>265</xdr:row>
      <xdr:rowOff>19050</xdr:rowOff>
    </xdr:from>
    <xdr:to>
      <xdr:col>8</xdr:col>
      <xdr:colOff>257175</xdr:colOff>
      <xdr:row>265</xdr:row>
      <xdr:rowOff>152400</xdr:rowOff>
    </xdr:to>
    <xdr:sp macro="" textlink="">
      <xdr:nvSpPr>
        <xdr:cNvPr id="13" name="Text Box 4">
          <a:extLst>
            <a:ext uri="{FF2B5EF4-FFF2-40B4-BE49-F238E27FC236}">
              <a16:creationId xmlns:a16="http://schemas.microsoft.com/office/drawing/2014/main" id="{36DEB9B3-4996-4F55-80A8-F313CAC10D96}"/>
            </a:ext>
          </a:extLst>
        </xdr:cNvPr>
        <xdr:cNvSpPr txBox="1">
          <a:spLocks noChangeArrowheads="1"/>
        </xdr:cNvSpPr>
      </xdr:nvSpPr>
      <xdr:spPr bwMode="auto">
        <a:xfrm>
          <a:off x="14182725" y="81838800"/>
          <a:ext cx="219075" cy="133350"/>
        </a:xfrm>
        <a:prstGeom prst="rect">
          <a:avLst/>
        </a:prstGeom>
        <a:solidFill>
          <a:srgbClr val="FFFFFF"/>
        </a:solidFill>
        <a:ln w="9525">
          <a:solidFill>
            <a:srgbClr val="FF0000"/>
          </a:solidFill>
          <a:miter lim="800000"/>
          <a:headEnd/>
          <a:tailEnd/>
        </a:ln>
      </xdr:spPr>
    </xdr:sp>
    <xdr:clientData/>
  </xdr:twoCellAnchor>
  <xdr:twoCellAnchor>
    <xdr:from>
      <xdr:col>8</xdr:col>
      <xdr:colOff>38100</xdr:colOff>
      <xdr:row>266</xdr:row>
      <xdr:rowOff>9525</xdr:rowOff>
    </xdr:from>
    <xdr:to>
      <xdr:col>8</xdr:col>
      <xdr:colOff>257175</xdr:colOff>
      <xdr:row>266</xdr:row>
      <xdr:rowOff>152400</xdr:rowOff>
    </xdr:to>
    <xdr:sp macro="" textlink="">
      <xdr:nvSpPr>
        <xdr:cNvPr id="14" name="Text Box 4">
          <a:extLst>
            <a:ext uri="{FF2B5EF4-FFF2-40B4-BE49-F238E27FC236}">
              <a16:creationId xmlns:a16="http://schemas.microsoft.com/office/drawing/2014/main" id="{032F5918-2D45-4D62-B165-28FB3954D3A6}"/>
            </a:ext>
          </a:extLst>
        </xdr:cNvPr>
        <xdr:cNvSpPr txBox="1">
          <a:spLocks noChangeArrowheads="1"/>
        </xdr:cNvSpPr>
      </xdr:nvSpPr>
      <xdr:spPr bwMode="auto">
        <a:xfrm>
          <a:off x="14182725" y="82067400"/>
          <a:ext cx="219075" cy="142875"/>
        </a:xfrm>
        <a:prstGeom prst="rect">
          <a:avLst/>
        </a:prstGeom>
        <a:solidFill>
          <a:srgbClr val="FFFFFF"/>
        </a:solidFill>
        <a:ln w="9525">
          <a:solidFill>
            <a:srgbClr val="FF0000"/>
          </a:solidFill>
          <a:miter lim="800000"/>
          <a:headEnd/>
          <a:tailEnd/>
        </a:ln>
      </xdr:spPr>
    </xdr:sp>
    <xdr:clientData/>
  </xdr:twoCellAnchor>
  <xdr:twoCellAnchor>
    <xdr:from>
      <xdr:col>27</xdr:col>
      <xdr:colOff>864111</xdr:colOff>
      <xdr:row>264</xdr:row>
      <xdr:rowOff>54106</xdr:rowOff>
    </xdr:from>
    <xdr:to>
      <xdr:col>28</xdr:col>
      <xdr:colOff>104852</xdr:colOff>
      <xdr:row>264</xdr:row>
      <xdr:rowOff>214076</xdr:rowOff>
    </xdr:to>
    <xdr:sp macro="" textlink="">
      <xdr:nvSpPr>
        <xdr:cNvPr id="15" name="Text Box 4">
          <a:extLst>
            <a:ext uri="{FF2B5EF4-FFF2-40B4-BE49-F238E27FC236}">
              <a16:creationId xmlns:a16="http://schemas.microsoft.com/office/drawing/2014/main" id="{BEA55056-56F0-479B-8482-6B529DB03BCF}"/>
            </a:ext>
          </a:extLst>
        </xdr:cNvPr>
        <xdr:cNvSpPr txBox="1">
          <a:spLocks noChangeArrowheads="1"/>
        </xdr:cNvSpPr>
      </xdr:nvSpPr>
      <xdr:spPr bwMode="auto">
        <a:xfrm>
          <a:off x="18180561" y="82131031"/>
          <a:ext cx="355166" cy="159970"/>
        </a:xfrm>
        <a:prstGeom prst="rect">
          <a:avLst/>
        </a:prstGeom>
        <a:solidFill>
          <a:srgbClr val="FFFFFF"/>
        </a:solidFill>
        <a:ln w="9525">
          <a:solidFill>
            <a:srgbClr val="FF0000"/>
          </a:solidFill>
          <a:miter lim="800000"/>
          <a:headEnd/>
          <a:tailEnd/>
        </a:ln>
      </xdr:spPr>
    </xdr:sp>
    <xdr:clientData/>
  </xdr:twoCellAnchor>
  <xdr:twoCellAnchor>
    <xdr:from>
      <xdr:col>27</xdr:col>
      <xdr:colOff>882129</xdr:colOff>
      <xdr:row>265</xdr:row>
      <xdr:rowOff>38102</xdr:rowOff>
    </xdr:from>
    <xdr:to>
      <xdr:col>28</xdr:col>
      <xdr:colOff>123263</xdr:colOff>
      <xdr:row>265</xdr:row>
      <xdr:rowOff>169102</xdr:rowOff>
    </xdr:to>
    <xdr:sp macro="" textlink="">
      <xdr:nvSpPr>
        <xdr:cNvPr id="16" name="Text Box 4">
          <a:extLst>
            <a:ext uri="{FF2B5EF4-FFF2-40B4-BE49-F238E27FC236}">
              <a16:creationId xmlns:a16="http://schemas.microsoft.com/office/drawing/2014/main" id="{F2A3B9E4-3F23-4164-AAB4-BBEFE3FBBEC7}"/>
            </a:ext>
          </a:extLst>
        </xdr:cNvPr>
        <xdr:cNvSpPr txBox="1">
          <a:spLocks noChangeArrowheads="1"/>
        </xdr:cNvSpPr>
      </xdr:nvSpPr>
      <xdr:spPr bwMode="auto">
        <a:xfrm>
          <a:off x="18198579" y="82353152"/>
          <a:ext cx="355559" cy="131000"/>
        </a:xfrm>
        <a:prstGeom prst="rect">
          <a:avLst/>
        </a:prstGeom>
        <a:solidFill>
          <a:srgbClr val="FFFFFF"/>
        </a:solidFill>
        <a:ln w="9525">
          <a:solidFill>
            <a:srgbClr val="FF0000"/>
          </a:solidFill>
          <a:miter lim="800000"/>
          <a:headEnd/>
          <a:tailEnd/>
        </a:ln>
      </xdr:spPr>
    </xdr:sp>
    <xdr:clientData/>
  </xdr:twoCellAnchor>
  <xdr:twoCellAnchor>
    <xdr:from>
      <xdr:col>27</xdr:col>
      <xdr:colOff>866775</xdr:colOff>
      <xdr:row>266</xdr:row>
      <xdr:rowOff>44823</xdr:rowOff>
    </xdr:from>
    <xdr:to>
      <xdr:col>28</xdr:col>
      <xdr:colOff>107574</xdr:colOff>
      <xdr:row>266</xdr:row>
      <xdr:rowOff>200025</xdr:rowOff>
    </xdr:to>
    <xdr:sp macro="" textlink="">
      <xdr:nvSpPr>
        <xdr:cNvPr id="17" name="Text Box 4">
          <a:extLst>
            <a:ext uri="{FF2B5EF4-FFF2-40B4-BE49-F238E27FC236}">
              <a16:creationId xmlns:a16="http://schemas.microsoft.com/office/drawing/2014/main" id="{78FE2744-C5B8-4139-AA05-724D440BF500}"/>
            </a:ext>
          </a:extLst>
        </xdr:cNvPr>
        <xdr:cNvSpPr txBox="1">
          <a:spLocks noChangeArrowheads="1"/>
        </xdr:cNvSpPr>
      </xdr:nvSpPr>
      <xdr:spPr bwMode="auto">
        <a:xfrm>
          <a:off x="18183225" y="82597998"/>
          <a:ext cx="355224" cy="155202"/>
        </a:xfrm>
        <a:prstGeom prst="rect">
          <a:avLst/>
        </a:prstGeom>
        <a:solidFill>
          <a:srgbClr val="FFFFFF"/>
        </a:solidFill>
        <a:ln w="9525">
          <a:solidFill>
            <a:srgbClr val="FF0000"/>
          </a:solidFill>
          <a:miter lim="800000"/>
          <a:headEnd/>
          <a:tailEnd/>
        </a:ln>
      </xdr:spPr>
    </xdr:sp>
    <xdr:clientData/>
  </xdr:twoCellAnchor>
  <xdr:twoCellAnchor>
    <xdr:from>
      <xdr:col>30</xdr:col>
      <xdr:colOff>468715</xdr:colOff>
      <xdr:row>264</xdr:row>
      <xdr:rowOff>60259</xdr:rowOff>
    </xdr:from>
    <xdr:to>
      <xdr:col>30</xdr:col>
      <xdr:colOff>816715</xdr:colOff>
      <xdr:row>264</xdr:row>
      <xdr:rowOff>184702</xdr:rowOff>
    </xdr:to>
    <xdr:sp macro="" textlink="">
      <xdr:nvSpPr>
        <xdr:cNvPr id="18" name="Text Box 4">
          <a:extLst>
            <a:ext uri="{FF2B5EF4-FFF2-40B4-BE49-F238E27FC236}">
              <a16:creationId xmlns:a16="http://schemas.microsoft.com/office/drawing/2014/main" id="{4BAEA61B-839D-4F9A-915E-D418239A7685}"/>
            </a:ext>
          </a:extLst>
        </xdr:cNvPr>
        <xdr:cNvSpPr txBox="1">
          <a:spLocks noChangeArrowheads="1"/>
        </xdr:cNvSpPr>
      </xdr:nvSpPr>
      <xdr:spPr bwMode="auto">
        <a:xfrm>
          <a:off x="21128440" y="81641884"/>
          <a:ext cx="348000" cy="124443"/>
        </a:xfrm>
        <a:prstGeom prst="rect">
          <a:avLst/>
        </a:prstGeom>
        <a:solidFill>
          <a:srgbClr val="FFFFFF"/>
        </a:solidFill>
        <a:ln w="9525">
          <a:solidFill>
            <a:srgbClr val="FF0000"/>
          </a:solidFill>
          <a:miter lim="800000"/>
          <a:headEnd/>
          <a:tailEnd/>
        </a:ln>
      </xdr:spPr>
    </xdr:sp>
    <xdr:clientData/>
  </xdr:twoCellAnchor>
  <xdr:twoCellAnchor>
    <xdr:from>
      <xdr:col>0</xdr:col>
      <xdr:colOff>76200</xdr:colOff>
      <xdr:row>264</xdr:row>
      <xdr:rowOff>28575</xdr:rowOff>
    </xdr:from>
    <xdr:to>
      <xdr:col>0</xdr:col>
      <xdr:colOff>285750</xdr:colOff>
      <xdr:row>264</xdr:row>
      <xdr:rowOff>161925</xdr:rowOff>
    </xdr:to>
    <xdr:sp macro="" textlink="">
      <xdr:nvSpPr>
        <xdr:cNvPr id="19" name="Text Box 4">
          <a:extLst>
            <a:ext uri="{FF2B5EF4-FFF2-40B4-BE49-F238E27FC236}">
              <a16:creationId xmlns:a16="http://schemas.microsoft.com/office/drawing/2014/main" id="{AC2485A5-4F2A-4BF1-AC34-8ACD38545074}"/>
            </a:ext>
          </a:extLst>
        </xdr:cNvPr>
        <xdr:cNvSpPr txBox="1">
          <a:spLocks noChangeArrowheads="1"/>
        </xdr:cNvSpPr>
      </xdr:nvSpPr>
      <xdr:spPr bwMode="auto">
        <a:xfrm>
          <a:off x="76200" y="81610200"/>
          <a:ext cx="209550" cy="133350"/>
        </a:xfrm>
        <a:prstGeom prst="rect">
          <a:avLst/>
        </a:prstGeom>
        <a:solidFill>
          <a:srgbClr val="FFFFFF"/>
        </a:solidFill>
        <a:ln w="9525">
          <a:solidFill>
            <a:srgbClr val="FF0000"/>
          </a:solidFill>
          <a:miter lim="800000"/>
          <a:headEnd/>
          <a:tailEnd/>
        </a:ln>
      </xdr:spPr>
    </xdr:sp>
    <xdr:clientData/>
  </xdr:twoCellAnchor>
  <xdr:twoCellAnchor>
    <xdr:from>
      <xdr:col>0</xdr:col>
      <xdr:colOff>76200</xdr:colOff>
      <xdr:row>265</xdr:row>
      <xdr:rowOff>19050</xdr:rowOff>
    </xdr:from>
    <xdr:to>
      <xdr:col>0</xdr:col>
      <xdr:colOff>285750</xdr:colOff>
      <xdr:row>265</xdr:row>
      <xdr:rowOff>152400</xdr:rowOff>
    </xdr:to>
    <xdr:sp macro="" textlink="">
      <xdr:nvSpPr>
        <xdr:cNvPr id="20" name="Text Box 4">
          <a:extLst>
            <a:ext uri="{FF2B5EF4-FFF2-40B4-BE49-F238E27FC236}">
              <a16:creationId xmlns:a16="http://schemas.microsoft.com/office/drawing/2014/main" id="{00643EBE-CCE7-438B-BB66-B1FA974CF79B}"/>
            </a:ext>
          </a:extLst>
        </xdr:cNvPr>
        <xdr:cNvSpPr txBox="1">
          <a:spLocks noChangeArrowheads="1"/>
        </xdr:cNvSpPr>
      </xdr:nvSpPr>
      <xdr:spPr bwMode="auto">
        <a:xfrm>
          <a:off x="76200" y="81838800"/>
          <a:ext cx="209550" cy="133350"/>
        </a:xfrm>
        <a:prstGeom prst="rect">
          <a:avLst/>
        </a:prstGeom>
        <a:solidFill>
          <a:srgbClr val="FFFFFF"/>
        </a:solidFill>
        <a:ln w="9525">
          <a:solidFill>
            <a:srgbClr val="FF0000"/>
          </a:solidFill>
          <a:miter lim="800000"/>
          <a:headEnd/>
          <a:tailEnd/>
        </a:ln>
      </xdr:spPr>
    </xdr:sp>
    <xdr:clientData/>
  </xdr:twoCellAnchor>
  <xdr:twoCellAnchor>
    <xdr:from>
      <xdr:col>0</xdr:col>
      <xdr:colOff>76200</xdr:colOff>
      <xdr:row>266</xdr:row>
      <xdr:rowOff>19050</xdr:rowOff>
    </xdr:from>
    <xdr:to>
      <xdr:col>0</xdr:col>
      <xdr:colOff>285750</xdr:colOff>
      <xdr:row>266</xdr:row>
      <xdr:rowOff>152400</xdr:rowOff>
    </xdr:to>
    <xdr:sp macro="" textlink="">
      <xdr:nvSpPr>
        <xdr:cNvPr id="21" name="Text Box 4">
          <a:extLst>
            <a:ext uri="{FF2B5EF4-FFF2-40B4-BE49-F238E27FC236}">
              <a16:creationId xmlns:a16="http://schemas.microsoft.com/office/drawing/2014/main" id="{97525D41-F784-4EA9-80FD-C062BA4930C4}"/>
            </a:ext>
          </a:extLst>
        </xdr:cNvPr>
        <xdr:cNvSpPr txBox="1">
          <a:spLocks noChangeArrowheads="1"/>
        </xdr:cNvSpPr>
      </xdr:nvSpPr>
      <xdr:spPr bwMode="auto">
        <a:xfrm>
          <a:off x="76200" y="82076925"/>
          <a:ext cx="209550" cy="133350"/>
        </a:xfrm>
        <a:prstGeom prst="rect">
          <a:avLst/>
        </a:prstGeom>
        <a:solidFill>
          <a:srgbClr val="FFFFFF"/>
        </a:solidFill>
        <a:ln w="9525">
          <a:solidFill>
            <a:srgbClr val="FF0000"/>
          </a:solidFill>
          <a:miter lim="800000"/>
          <a:headEnd/>
          <a:tailEnd/>
        </a:ln>
      </xdr:spPr>
    </xdr:sp>
    <xdr:clientData/>
  </xdr:twoCellAnchor>
  <xdr:twoCellAnchor>
    <xdr:from>
      <xdr:col>3</xdr:col>
      <xdr:colOff>1983440</xdr:colOff>
      <xdr:row>264</xdr:row>
      <xdr:rowOff>38101</xdr:rowOff>
    </xdr:from>
    <xdr:to>
      <xdr:col>4</xdr:col>
      <xdr:colOff>79023</xdr:colOff>
      <xdr:row>264</xdr:row>
      <xdr:rowOff>179294</xdr:rowOff>
    </xdr:to>
    <xdr:sp macro="" textlink="">
      <xdr:nvSpPr>
        <xdr:cNvPr id="22" name="Text Box 4">
          <a:extLst>
            <a:ext uri="{FF2B5EF4-FFF2-40B4-BE49-F238E27FC236}">
              <a16:creationId xmlns:a16="http://schemas.microsoft.com/office/drawing/2014/main" id="{6FC808D8-11BB-4C46-B0C4-D7739E1F525F}"/>
            </a:ext>
          </a:extLst>
        </xdr:cNvPr>
        <xdr:cNvSpPr txBox="1">
          <a:spLocks noChangeArrowheads="1"/>
        </xdr:cNvSpPr>
      </xdr:nvSpPr>
      <xdr:spPr bwMode="auto">
        <a:xfrm flipH="1">
          <a:off x="10193990" y="81619726"/>
          <a:ext cx="295858" cy="141193"/>
        </a:xfrm>
        <a:prstGeom prst="rect">
          <a:avLst/>
        </a:prstGeom>
        <a:solidFill>
          <a:srgbClr val="FFFFFF"/>
        </a:solidFill>
        <a:ln w="9525">
          <a:solidFill>
            <a:srgbClr val="FF0000"/>
          </a:solidFill>
          <a:miter lim="800000"/>
          <a:headEnd/>
          <a:tailEnd/>
        </a:ln>
      </xdr:spPr>
    </xdr:sp>
    <xdr:clientData/>
  </xdr:twoCellAnchor>
  <xdr:twoCellAnchor>
    <xdr:from>
      <xdr:col>1</xdr:col>
      <xdr:colOff>1778373</xdr:colOff>
      <xdr:row>263</xdr:row>
      <xdr:rowOff>17369</xdr:rowOff>
    </xdr:from>
    <xdr:to>
      <xdr:col>1</xdr:col>
      <xdr:colOff>2106706</xdr:colOff>
      <xdr:row>263</xdr:row>
      <xdr:rowOff>168088</xdr:rowOff>
    </xdr:to>
    <xdr:sp macro="" textlink="">
      <xdr:nvSpPr>
        <xdr:cNvPr id="23" name="Text Box 4">
          <a:extLst>
            <a:ext uri="{FF2B5EF4-FFF2-40B4-BE49-F238E27FC236}">
              <a16:creationId xmlns:a16="http://schemas.microsoft.com/office/drawing/2014/main" id="{29CFD7CE-578E-4E43-ABD6-0287DACD4058}"/>
            </a:ext>
          </a:extLst>
        </xdr:cNvPr>
        <xdr:cNvSpPr txBox="1">
          <a:spLocks noChangeArrowheads="1"/>
        </xdr:cNvSpPr>
      </xdr:nvSpPr>
      <xdr:spPr bwMode="auto">
        <a:xfrm>
          <a:off x="2940423" y="81360869"/>
          <a:ext cx="328333" cy="150719"/>
        </a:xfrm>
        <a:prstGeom prst="rect">
          <a:avLst/>
        </a:prstGeom>
        <a:solidFill>
          <a:srgbClr val="FFFFFF"/>
        </a:solidFill>
        <a:ln w="9525">
          <a:solidFill>
            <a:srgbClr val="FF0000"/>
          </a:solidFill>
          <a:miter lim="800000"/>
          <a:headEnd/>
          <a:tailEnd/>
        </a:ln>
      </xdr:spPr>
    </xdr:sp>
    <xdr:clientData/>
  </xdr:twoCellAnchor>
  <xdr:twoCellAnchor>
    <xdr:from>
      <xdr:col>9</xdr:col>
      <xdr:colOff>833676</xdr:colOff>
      <xdr:row>263</xdr:row>
      <xdr:rowOff>23812</xdr:rowOff>
    </xdr:from>
    <xdr:to>
      <xdr:col>10</xdr:col>
      <xdr:colOff>136072</xdr:colOff>
      <xdr:row>263</xdr:row>
      <xdr:rowOff>204107</xdr:rowOff>
    </xdr:to>
    <xdr:sp macro="" textlink="">
      <xdr:nvSpPr>
        <xdr:cNvPr id="24" name="Text Box 4">
          <a:extLst>
            <a:ext uri="{FF2B5EF4-FFF2-40B4-BE49-F238E27FC236}">
              <a16:creationId xmlns:a16="http://schemas.microsoft.com/office/drawing/2014/main" id="{72D83580-D0D3-4722-97B5-12BF8B6D32A0}"/>
            </a:ext>
          </a:extLst>
        </xdr:cNvPr>
        <xdr:cNvSpPr txBox="1">
          <a:spLocks noChangeArrowheads="1"/>
        </xdr:cNvSpPr>
      </xdr:nvSpPr>
      <xdr:spPr bwMode="auto">
        <a:xfrm>
          <a:off x="15902226" y="81367312"/>
          <a:ext cx="318849" cy="180295"/>
        </a:xfrm>
        <a:prstGeom prst="rect">
          <a:avLst/>
        </a:prstGeom>
        <a:solidFill>
          <a:srgbClr val="FFFFFF"/>
        </a:solidFill>
        <a:ln w="9525">
          <a:solidFill>
            <a:srgbClr val="FF0000"/>
          </a:solidFill>
          <a:miter lim="800000"/>
          <a:headEnd/>
          <a:tailEnd/>
        </a:ln>
      </xdr:spPr>
    </xdr:sp>
    <xdr:clientData/>
  </xdr:twoCellAnchor>
  <xdr:twoCellAnchor editAs="oneCell">
    <xdr:from>
      <xdr:col>0</xdr:col>
      <xdr:colOff>176894</xdr:colOff>
      <xdr:row>0</xdr:row>
      <xdr:rowOff>136072</xdr:rowOff>
    </xdr:from>
    <xdr:to>
      <xdr:col>1</xdr:col>
      <xdr:colOff>104777</xdr:colOff>
      <xdr:row>2</xdr:row>
      <xdr:rowOff>331536</xdr:rowOff>
    </xdr:to>
    <xdr:pic>
      <xdr:nvPicPr>
        <xdr:cNvPr id="25" name="Picture 24">
          <a:extLst>
            <a:ext uri="{FF2B5EF4-FFF2-40B4-BE49-F238E27FC236}">
              <a16:creationId xmlns:a16="http://schemas.microsoft.com/office/drawing/2014/main" id="{46141993-A2A3-454F-A5AE-B4F4E601C3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894" y="136072"/>
          <a:ext cx="1089933" cy="957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465905</xdr:colOff>
      <xdr:row>42</xdr:row>
      <xdr:rowOff>151531</xdr:rowOff>
    </xdr:to>
    <xdr:pic>
      <xdr:nvPicPr>
        <xdr:cNvPr id="2" name="Picture 1">
          <a:extLst>
            <a:ext uri="{FF2B5EF4-FFF2-40B4-BE49-F238E27FC236}">
              <a16:creationId xmlns:a16="http://schemas.microsoft.com/office/drawing/2014/main" id="{108BBE02-75F9-434A-9778-57372AF268AC}"/>
            </a:ext>
          </a:extLst>
        </xdr:cNvPr>
        <xdr:cNvPicPr>
          <a:picLocks noChangeAspect="1"/>
        </xdr:cNvPicPr>
      </xdr:nvPicPr>
      <xdr:blipFill>
        <a:blip xmlns:r="http://schemas.openxmlformats.org/officeDocument/2006/relationships" r:embed="rId1"/>
        <a:stretch>
          <a:fillRect/>
        </a:stretch>
      </xdr:blipFill>
      <xdr:spPr>
        <a:xfrm>
          <a:off x="0" y="0"/>
          <a:ext cx="6561905" cy="69523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phu/c/@K-Phu/BAOGIA/Mien_Nam/2002/Utilized_Camau/CIVIL%20BOQs/6823%20PS%201700.xls" TargetMode="External"/><Relationship Id="rId1" Type="http://schemas.openxmlformats.org/officeDocument/2006/relationships/externalLinkPath" Target="/T.phu/c/@K-Phu/BAOGIA/Mien_Nam/2002/Utilized_Camau/CIVIL%20BOQs/6823%20PS%20170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TA022-N2/Construction/WORKS/6787/civil/final/option/6787CWFASE2CASE2_00.xls" TargetMode="External"/><Relationship Id="rId1" Type="http://schemas.openxmlformats.org/officeDocument/2006/relationships/externalLinkPath" Target="/STA022-N2/Construction/WORKS/6787/civil/final/option/6787CWFASE2CASE2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
      <sheetName val="Sheet2"/>
      <sheetName val="Quantity"/>
      <sheetName val="6823 PS 1700"/>
      <sheetName val="PU_ITALY "/>
      <sheetName val="Module1"/>
      <sheetName val="Module2"/>
      <sheetName val="KP_LIST"/>
      <sheetName val="kecot"/>
      <sheetName val="XL4Poppy"/>
      <sheetName val="XD4Poppy"/>
      <sheetName val="SILICATE"/>
      <sheetName val="cot_xa"/>
      <sheetName val="Gioi thieu"/>
      <sheetName val="VL"/>
      <sheetName val="Du Toan"/>
      <sheetName val="6823_PS_1700"/>
      <sheetName val="PU_ITALY_"/>
      <sheetName val="6823_PS_17001"/>
      <sheetName val="PU_ITALY_1"/>
      <sheetName val="LKVL-CK-HT-GD1"/>
      <sheetName val="TONGKE-HT"/>
      <sheetName val="V-M(Bdinh)"/>
      <sheetName val="heso"/>
      <sheetName val="갑지"/>
      <sheetName val="6823_PS_17002"/>
      <sheetName val="PU_ITALY_2"/>
      <sheetName val="TT35"/>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PT ksat"/>
      <sheetName val="LUONG KS"/>
      <sheetName val="May"/>
      <sheetName val="PTDG"/>
      <sheetName val="THDT"/>
      <sheetName val="VAT LIEU"/>
      <sheetName val="DTCT"/>
      <sheetName val="MTO REV.2(ARMOR)"/>
      <sheetName val="ranh hong"/>
      <sheetName val="gVL"/>
      <sheetName val="DATA"/>
      <sheetName val="luong"/>
      <sheetName val="Equipment"/>
      <sheetName val="DT_THAU"/>
      <sheetName val="DGVL"/>
      <sheetName val="??-BLDG"/>
      <sheetName val="Sheet3"/>
      <sheetName val="NhanCong"/>
      <sheetName val="Ts"/>
      <sheetName val="NC"/>
      <sheetName val="Bia"/>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Sheet1"/>
      <sheetName val="A1.8 NhIII (1050k)"/>
      <sheetName val="Nhan cong nhom I"/>
      <sheetName val="Luong TT05"/>
      <sheetName val="10_VC đ. ngắn"/>
      <sheetName val="__-BLDG"/>
      <sheetName val="ND"/>
      <sheetName val="Luong TT01"/>
      <sheetName val="GiaVT"/>
      <sheetName val="Chiet tinh"/>
      <sheetName val="KH tai chinh khoa san"/>
      <sheetName val="BG"/>
      <sheetName val="B-B"/>
      <sheetName val="Chenh lech vat tu"/>
      <sheetName val="Chiet tinh dz35"/>
      <sheetName val="Chi ti?t Goc -AB"/>
      <sheetName val="Chi ti_t Goc -AB"/>
      <sheetName val="san dao"/>
      <sheetName val="Ty le"/>
      <sheetName val="MAIN GATE HOUSE"/>
      <sheetName val="CT -THVLNC"/>
      <sheetName val="NOTE"/>
      <sheetName val="TN"/>
      <sheetName val="Canopy,SS5"/>
      <sheetName val="Vat tu"/>
      <sheetName val="Canopy,SS5 (2)"/>
      <sheetName val="Rate"/>
      <sheetName val="RAB AR&amp;STR"/>
      <sheetName val="QD957"/>
      <sheetName val="THCP Lap dat"/>
      <sheetName val="THCP xay dung"/>
      <sheetName val="escon"/>
      <sheetName val="D+W"/>
      <sheetName val="D&amp;W def."/>
      <sheetName val="실행"/>
      <sheetName val="MTP"/>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Electrical Breakdown"/>
      <sheetName val="SEX"/>
      <sheetName val="Tien do TV"/>
      <sheetName val="Config"/>
      <sheetName val="CP Du phong"/>
      <sheetName val="Tong hop kinh phi"/>
      <sheetName val="FitOutConfCentre"/>
      <sheetName val="B3A - TOWER A"/>
      <sheetName val="125x125"/>
      <sheetName val="F4-F7"/>
      <sheetName val="Main"/>
      <sheetName val="tifico"/>
      <sheetName val="UNIT PRICE"/>
      <sheetName val="Ratios"/>
      <sheetName val="마감사양"/>
      <sheetName val="6MONTHS"/>
      <sheetName val="NVL"/>
      <sheetName val="Office Tower"/>
      <sheetName val="GIAVLIEU"/>
      <sheetName val="THDT goi thau TB"/>
      <sheetName val="QD79"/>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NT-QUOT-#3"/>
      <sheetName val="COAT&amp;WRAP-QIOT-#3"/>
      <sheetName val="Phan tich tong hop"/>
      <sheetName val="Sàn T1"/>
      <sheetName val="Lỗ thông gió"/>
      <sheetName val="Master"/>
      <sheetName val="SUM-AIR-Submit"/>
      <sheetName val="Earthwork"/>
      <sheetName val="Sheet4"/>
      <sheetName val="proj"/>
      <sheetName val="BTT (CAT COC)"/>
      <sheetName val="KESSAN"/>
      <sheetName val="Cash Flow"/>
      <sheetName val="Yield"/>
      <sheetName val="실행철강하도"/>
      <sheetName val="DM"/>
      <sheetName val="Div26 - Elect"/>
      <sheetName val="Tho lai may"/>
      <sheetName val="Don gia LD"/>
      <sheetName val="Du toan XD"/>
      <sheetName val="Don gia XD"/>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ThongTinBanDau"/>
      <sheetName val="Gia. vat tu"/>
      <sheetName val="見積書"/>
      <sheetName val="Gia"/>
      <sheetName val="TinhGiaNC"/>
      <sheetName val="VCBo"/>
      <sheetName val="DMCP"/>
      <sheetName val="TH Vat tu"/>
      <sheetName val="BocXep"/>
      <sheetName val="TinhGiaMTC"/>
      <sheetName val="TH MTC"/>
      <sheetName val="TH N.Cong"/>
      <sheetName val="VCThuy"/>
      <sheetName val="Tra_bang"/>
      <sheetName val="BID"/>
      <sheetName val="TOSHIBA-Structure"/>
      <sheetName val="Tong hop"/>
      <sheetName val="Tennancy"/>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XLDL"/>
      <sheetName val="Tien_do_TV"/>
      <sheetName val="CP_Du_phong"/>
      <sheetName val="Tong_hop_kinh_phi"/>
      <sheetName val="THDT_goi_thau_TB"/>
      <sheetName val="Z"/>
      <sheetName val="入力作成表"/>
      <sheetName val="BQ"/>
      <sheetName val="BK04"/>
      <sheetName val="Hệ số"/>
      <sheetName val="Động cơ"/>
      <sheetName val="Currency Rate"/>
      <sheetName val="EXTERNAL"/>
      <sheetName val="DRUM"/>
      <sheetName val="PriceSummary"/>
      <sheetName val="CodePipe"/>
      <sheetName val="CodeTubeCalc."/>
      <sheetName val="DPres Calc"/>
      <sheetName val="대비표"/>
      <sheetName val="Productivity"/>
      <sheetName val="찍기"/>
      <sheetName val="WT-LIST"/>
      <sheetName val="MTL$-INTER"/>
      <sheetName val="TH"/>
      <sheetName val="산근"/>
      <sheetName val="石炭性状"/>
      <sheetName val="PipeSummary"/>
      <sheetName val="재료비"/>
      <sheetName val="THKL"/>
      <sheetName val="00000000"/>
      <sheetName val="10000000"/>
      <sheetName val="68-69"/>
      <sheetName val="Chi tiet ranh"/>
      <sheetName val="Duong Ngang"/>
      <sheetName val="San gia co"/>
      <sheetName val="Bien Bao"/>
      <sheetName val="Coc tieu - Coc H"/>
      <sheetName val="Luong BN"/>
      <sheetName val="Luong TB"/>
      <sheetName val="Ca may TB"/>
      <sheetName val="Máy BN"/>
      <sheetName val="NC+MTC"/>
      <sheetName val="NC "/>
      <sheetName val="Luong A3"/>
      <sheetName val="DG_TN TB LE (2)"/>
      <sheetName val="giavl"/>
      <sheetName val="KH-Q1,Q2,01"/>
      <sheetName val="C.BI DAO"/>
      <sheetName val="RFI-1"/>
      <sheetName val="PTDG "/>
      <sheetName val="AASHTO92"/>
      <sheetName val="Lương"/>
      <sheetName val="Ca máy"/>
      <sheetName val="TH khối lượng phải làm"/>
      <sheetName val="TTVanChuyen"/>
      <sheetName val="DGCT"/>
      <sheetName val="Bang cap"/>
      <sheetName val="vlieu"/>
      <sheetName val="Cp&gt;10-Ln&lt;10"/>
      <sheetName val="Ln&lt;20"/>
      <sheetName val="EIRR&gt;1&lt;1"/>
      <sheetName val="EIRR&gt; 2"/>
      <sheetName val="EIRR&lt;2"/>
      <sheetName val="macBT"/>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Noise (3)"/>
      <sheetName val="Estimation of splitter length"/>
      <sheetName val="Tables"/>
      <sheetName val="Radiation (6)"/>
      <sheetName val="Material for Silencers (8)"/>
      <sheetName val="Rates"/>
      <sheetName val="Input (1)"/>
      <sheetName val="Cash2"/>
      <sheetName val="List"/>
      <sheetName val="Don gia (khong in)"/>
      <sheetName val="149-2"/>
      <sheetName val="khung ten TD"/>
      <sheetName val="THEP TAM"/>
      <sheetName val="THEP HÌNH"/>
      <sheetName val="THEP HINH"/>
      <sheetName val="XA GO"/>
      <sheetName val="BANG TRA"/>
      <sheetName val="TLg CN&amp;Laixe"/>
      <sheetName val="TLg CN&amp;Laixe (2)"/>
      <sheetName val="TLg Laitau"/>
      <sheetName val="TLg Laitau (2)"/>
      <sheetName val="TH1"/>
      <sheetName val="데이타"/>
      <sheetName val="식재인부"/>
      <sheetName val="Chiettinh dz0,4"/>
      <sheetName val="BOQ_CAU CAN"/>
      <sheetName val="DGPS"/>
      <sheetName val="CPC"/>
      <sheetName val="Tính toàn đào đất"/>
      <sheetName val="Khối lượng cốt thép"/>
      <sheetName val="Chi tiết chi phí chung"/>
      <sheetName val="CP. SD Điện"/>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Elec LG"/>
      <sheetName val="1.Requisition(E)"/>
      <sheetName val="電気設備表"/>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M"/>
      <sheetName val="TOEC"/>
      <sheetName val="目次"/>
      <sheetName val="REF"/>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ESTI."/>
      <sheetName val="DI-ESTI"/>
      <sheetName val="DS CHU Ph_x0001__x0000_"/>
      <sheetName val=""/>
      <sheetName val="材労機単価"/>
      <sheetName val="LME"/>
      <sheetName val="CT Thang Mo"/>
      <sheetName val="CT  PL"/>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kinh."/>
      <sheetName val="Profile"/>
      <sheetName val="03 Detailed"/>
      <sheetName val="01 Bid Price summary"/>
      <sheetName val="Breadown"/>
      <sheetName val="Ceiling Height- Schedule"/>
      <sheetName val="04-BETONG"/>
      <sheetName val="COC-LAP DAT"/>
      <sheetName val="05-COPPHA"/>
      <sheetName val="02-Lap dat"/>
      <sheetName val="Ngân sách"/>
      <sheetName val="09-Hoan thien nen"/>
      <sheetName val="GAEYO"/>
      <sheetName val="PCCC"/>
      <sheetName val="NVN Hotel"/>
      <sheetName val="수정시산표"/>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names"/>
      <sheetName val="LaborPY"/>
      <sheetName val="LaborKH"/>
      <sheetName val="Equip "/>
      <sheetName val="Material"/>
      <sheetName val="A1.CN"/>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E"/>
      <sheetName val="TSCK"/>
      <sheetName val="DMCV"/>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Breadown-Nop"/>
      <sheetName val="MHMay-13"/>
      <sheetName val="装置"/>
      <sheetName val="hrs &amp; prg"/>
      <sheetName val="SORT"/>
      <sheetName val="TỔNG HỢP KHỐI LƯỢNG"/>
      <sheetName val="NƯƠC CẤP TRỤC + TAY NHÁNH"/>
      <sheetName val="CTEMCOST"/>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CFA (ME)"/>
      <sheetName val="BANRA"/>
      <sheetName val="KL san lap"/>
      <sheetName val="CTDZTA(5)"/>
      <sheetName val="THONG SO"/>
      <sheetName val="Đơn giá chi tiết TN 39"/>
      <sheetName val="KLHT"/>
      <sheetName val="GOC-KO IN"/>
      <sheetName val="TH thiet bi"/>
      <sheetName val="TH may TC"/>
      <sheetName val="Bang phan tich"/>
      <sheetName val="DM Chi phi"/>
      <sheetName val="luong "/>
      <sheetName val="BẢNG ÁP GIÁ (in)"/>
      <sheetName val="NT (KL) IN"/>
      <sheetName val="DOM D2"/>
      <sheetName val="nhà ăn"/>
      <sheetName val="Công nhật"/>
      <sheetName val="btkt cột"/>
      <sheetName val="THÉP"/>
      <sheetName val="Bill rekap"/>
      <sheetName val="Thong tin"/>
      <sheetName val="Danh muc NT cong viec"/>
      <sheetName val="Danh muc NT Giai doan"/>
      <sheetName val="Danh muc NT Vat lieu"/>
      <sheetName val="ND Nhat ky"/>
      <sheetName val="NT cong viec"/>
      <sheetName val="Cost Report Sum"/>
      <sheetName val="Solieutinh"/>
      <sheetName val="負荷集計（断熱不燃）"/>
      <sheetName val="VTLD"/>
      <sheetName val="QLDA"/>
      <sheetName val="XD nhanh 3"/>
      <sheetName val="Sheet1 (2)"/>
      <sheetName val="Moäul'1"/>
      <sheetName val="Assumptions"/>
      <sheetName val="0"/>
      <sheetName val="Dầm 1"/>
      <sheetName val="Cọc nhồi"/>
      <sheetName val="Temp&amp;Site"/>
      <sheetName val="Budget Code"/>
      <sheetName val="Code"/>
      <sheetName val="係数"/>
      <sheetName val="ELEC"/>
      <sheetName val="Maker List"/>
      <sheetName val="REQUEST BUILDER"/>
      <sheetName val="B"/>
      <sheetName val="DS CHU Ph_x0001_"/>
      <sheetName val="PP"/>
      <sheetName val="갑지(추정)"/>
      <sheetName val="1. BCC T03.2018"/>
      <sheetName val="2.  BCC T04.2018"/>
      <sheetName val="5.2.1 Đo bóc KL OLK-10"/>
      <sheetName val="4.2.1 Đo bóc KL OLK-06"/>
      <sheetName val="4.1.1 CHI TIET OLK-06"/>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THCP Tuyen"/>
      <sheetName val="Bang chiet tinh TBA"/>
      <sheetName val="CT DZ"/>
      <sheetName val="D&amp;W"/>
      <sheetName val="TT05"/>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Breakdown (B)"/>
      <sheetName val="Cong nợ"/>
      <sheetName val="DS CHU Ph_x0001__x0"/>
      <sheetName val="BASE"/>
      <sheetName val="Luong+may"/>
      <sheetName val="GA 15"/>
      <sheetName val="CHICLAND"/>
      <sheetName val="HILTON"/>
      <sheetName val="HÒA XUÂN II"/>
      <sheetName val="KEMBEACH-SUN"/>
      <sheetName val="LƯƠNG YÊN"/>
      <sheetName val="OCEAN GATE"/>
      <sheetName val="KEMBEACH-AA"/>
      <sheetName val="PREMIER-SUN"/>
      <sheetName val="THÀNH ĐÔ"/>
      <sheetName val="Thép phần thô"/>
      <sheetName val="개산공사비"/>
      <sheetName val="STR"/>
      <sheetName val="Tong du toan"/>
      <sheetName val="THVT"/>
      <sheetName val="Keothep"/>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Cover"/>
      <sheetName val="HVAC"/>
      <sheetName val="P&amp;S"/>
      <sheetName val="Changelog"/>
      <sheetName val="DGchitiet "/>
      <sheetName val="CP HMC"/>
      <sheetName val="TH_CPTB"/>
      <sheetName val="CP Khac cuoc VC"/>
      <sheetName val="banggia1"/>
      <sheetName val="설계내역서"/>
      <sheetName val="MTO REV.0"/>
      <sheetName val="TDTKP (2)"/>
      <sheetName val="TONGKE3p"/>
      <sheetName val="CHITIET VL-NC-DDTT3PHA "/>
      <sheetName val="CHITIET VL-NC-TT1p"/>
      <sheetName val="Du lieu"/>
      <sheetName val="THDG"/>
      <sheetName val="TNHC"/>
      <sheetName val="1_Data"/>
      <sheetName val="Tong hop cpc"/>
      <sheetName val="Du lieu CK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4.3 Scope of work "/>
      <sheetName val="__"/>
      <sheetName val="_ QUOTATION.xlsx"/>
      <sheetName val="6. Scope of work "/>
      <sheetName val="4.6 Phân tích nhân sự "/>
      <sheetName val="4.5 Mức độ tham gia dự á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refreshError="1"/>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refreshError="1"/>
      <sheetData sheetId="1115" refreshError="1"/>
      <sheetData sheetId="1116" refreshError="1"/>
      <sheetData sheetId="1117"/>
      <sheetData sheetId="1118" refreshError="1"/>
      <sheetData sheetId="1119" refreshError="1"/>
      <sheetData sheetId="1120"/>
      <sheetData sheetId="112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
      <sheetName val="Quantity"/>
      <sheetName val="KP_List"/>
      <sheetName val="PU_ITALY "/>
      <sheetName val="Prices"/>
      <sheetName val="Module1"/>
      <sheetName val="Module2"/>
      <sheetName val="XL4Poppy"/>
      <sheetName val="6787CWFASE2CASE2_00"/>
      <sheetName val="Tro giup"/>
      <sheetName val="조명시설"/>
      <sheetName val="Sheet1"/>
      <sheetName val="THDZ0,4"/>
      <sheetName val="TH DZ35"/>
      <sheetName val="THTram"/>
      <sheetName val="SILICATE"/>
      <sheetName val="phuluc1"/>
      <sheetName val="RAB AR&amp;STR"/>
      <sheetName val="Earthwork"/>
      <sheetName val="Input"/>
      <sheetName val="DANHPHAP"/>
      <sheetName val="chi tiet TBA"/>
      <sheetName val="chi tiet C"/>
      <sheetName val="DG"/>
      <sheetName val="공통가설"/>
      <sheetName val="물량표S"/>
      <sheetName val="DATA"/>
      <sheetName val="Customize Your Purchase Order"/>
      <sheetName val="ptnc"/>
      <sheetName val="ptvl"/>
      <sheetName val="ptm"/>
      <sheetName val="Don gia"/>
      <sheetName val="DC"/>
      <sheetName val="NL"/>
      <sheetName val="DON GIA TRAM (3)"/>
      <sheetName val="dongia"/>
      <sheetName val="7606 DZ"/>
      <sheetName val="Gia vat tu"/>
      <sheetName val="VL,NC,MTC"/>
      <sheetName val="#REF"/>
      <sheetName val="TONGKE-HT"/>
      <sheetName val="DON GIA CAN THO"/>
      <sheetName val="Don gia chi tiet"/>
      <sheetName val="내역서"/>
      <sheetName val="BG"/>
      <sheetName val="FitOutConfCentre"/>
      <sheetName val="KLHT"/>
      <sheetName val="CHITIET VL-NC-TT -1p"/>
      <sheetName val="CHITIET VL-NC-TT-3p"/>
      <sheetName val="TONG HOP VL-NC TT"/>
      <sheetName val="TDTKP1"/>
      <sheetName val="KPVC-BD "/>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dnc4"/>
      <sheetName val="project management"/>
      <sheetName val="Mall"/>
      <sheetName val="CTG"/>
      <sheetName val="TinhGiaMTC"/>
      <sheetName val="TinhGiaNC"/>
      <sheetName val="S-curve "/>
      <sheetName val="DON_GIA_CAN_THO"/>
      <sheetName val="PU_ITALY_1"/>
      <sheetName val="TH_DZ351"/>
      <sheetName val="Tro_giup1"/>
      <sheetName val="DON_GIA_CAN_THO1"/>
      <sheetName val="DONVIBAN"/>
      <sheetName val="NGUON"/>
      <sheetName val="gvl"/>
      <sheetName val="KPTH-T12"/>
      <sheetName val="Thamgia-T10"/>
      <sheetName val="VL"/>
      <sheetName val="PU_ITALY_2"/>
      <sheetName val="TH_DZ352"/>
      <sheetName val="Tro_giup2"/>
      <sheetName val="DON_GIA_CAN_THO2"/>
      <sheetName val="Don_gia_chi_tiet"/>
      <sheetName val="PROFILE"/>
      <sheetName val="Đầu vào"/>
      <sheetName val="CBKC-110"/>
      <sheetName val="침하계"/>
      <sheetName val="BETON"/>
      <sheetName val="갑지"/>
      <sheetName val="24-ACMV"/>
      <sheetName val="SL"/>
      <sheetName val="Adix A"/>
      <sheetName val="실행철강하도"/>
      <sheetName val="집계표"/>
      <sheetName val="So doi chieu LC"/>
      <sheetName val="Du_lieu"/>
      <sheetName val="Dulieu"/>
      <sheetName val="P"/>
      <sheetName val="MAIN GATE HOUSE"/>
      <sheetName val="Don_gia"/>
      <sheetName val="DON_GIA_TRAM_(3)"/>
      <sheetName val="7606_DZ"/>
      <sheetName val="TONG_HOP_VL-NC_TT"/>
      <sheetName val="CHITIET_VL-NC-TT_-1p"/>
      <sheetName val="KPVC-BD_"/>
      <sheetName val="TH_CNO"/>
      <sheetName val="NK_CHUNG"/>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Commercial value"/>
      <sheetName val="Ky Lam Bridge"/>
      <sheetName val="Provisional Sums Item"/>
      <sheetName val="Gas Pressure Welding"/>
      <sheetName val="General Item&amp;General Requiremen"/>
      <sheetName val="General Items"/>
      <sheetName val="Regenral Requirements"/>
      <sheetName val="A1.CN"/>
      <sheetName val="NC"/>
      <sheetName val="TONG HOP VL-NC"/>
      <sheetName val="lam-moi"/>
      <sheetName val="damgiua"/>
      <sheetName val="dgct"/>
      <sheetName val="chiet tinh"/>
      <sheetName val="dg67-1"/>
      <sheetName val="Ng.hàng xà+bulong"/>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PTDG"/>
      <sheetName val="K95"/>
      <sheetName val="K98"/>
      <sheetName val="Ts"/>
      <sheetName val="DG-VL"/>
      <sheetName val="PTDGCT"/>
      <sheetName val="DonGiaLD"/>
      <sheetName val="????"/>
      <sheetName val="TONG HOP T5 1998"/>
      <sheetName val="CT-35"/>
      <sheetName val="CT-0.4KV"/>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Du toan"/>
      <sheetName val="Keothep"/>
      <sheetName val="Re-bar"/>
      <sheetName val="DLDTLN"/>
      <sheetName val="DG thep ma kem"/>
      <sheetName val="dm366"/>
      <sheetName val="LaborPY"/>
      <sheetName val="LaborKH"/>
      <sheetName val="Equip "/>
      <sheetName val="Material"/>
      <sheetName val="TBA"/>
      <sheetName val="SITE-E"/>
      <sheetName val="366"/>
      <sheetName val="DM"/>
      <sheetName val="ALLOWANCE"/>
      <sheetName val="MH RATE"/>
      <sheetName val="차액보증"/>
      <sheetName val="Bang KL"/>
      <sheetName val="Sheet3"/>
      <sheetName val="Config"/>
      <sheetName val="DMCP"/>
      <sheetName val="HS_TDT"/>
      <sheetName val="DM 6061"/>
      <sheetName val="Gia"/>
      <sheetName val="Giá"/>
      <sheetName val="DM1776"/>
      <sheetName val="DM228"/>
      <sheetName val="DM4970"/>
      <sheetName val="Camay_DP"/>
      <sheetName val="DM6061"/>
      <sheetName val="Luong2"/>
      <sheetName val="금융비용"/>
      <sheetName val="입찰안"/>
      <sheetName val="BGD"/>
      <sheetName val="KCS"/>
      <sheetName val="KD"/>
      <sheetName val="KT"/>
      <sheetName val="KTNL"/>
      <sheetName val="KH"/>
      <sheetName val="PX-SX"/>
      <sheetName val="TC"/>
      <sheetName val="Lcau - Lxuc"/>
      <sheetName val="CT vat lieu"/>
      <sheetName val="vcdngan"/>
      <sheetName val="Chi tiet XD TBA"/>
      <sheetName val="EXTERNAL"/>
      <sheetName val="WT-LIST"/>
      <sheetName val="Trạm biến áp"/>
      <sheetName val="Đơn Giá "/>
      <sheetName val="ironmongery"/>
      <sheetName val="Chenh lech vat tu"/>
      <sheetName val="Diện tích"/>
      <sheetName val="1_Khái toán"/>
      <sheetName val="KL Chi tiết Xây tô"/>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CE(E)"/>
      <sheetName val="CE(M)"/>
      <sheetName val="Project Data"/>
      <sheetName val="chiettinh"/>
      <sheetName val="Data Input"/>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DTXD"/>
      <sheetName val="Door and window"/>
      <sheetName val="DETAIL "/>
      <sheetName val="GV1-D13 (Casement door)"/>
      <sheetName val="MTL$-INTER"/>
      <sheetName val="bt19"/>
      <sheetName val="Btr25"/>
      <sheetName val="JP_List"/>
      <sheetName val="SUBS"/>
      <sheetName val="Feeds"/>
      <sheetName val="final list 2005"/>
      <sheetName val="final_list_2005"/>
      <sheetName val="WORKINGS"/>
      <sheetName val="LV data"/>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DK"/>
      <sheetName val="Isolasi Luar Dalam"/>
      <sheetName val="Isolasi Luar"/>
      <sheetName val="Sheet4"/>
      <sheetName val="Supplier"/>
      <sheetName val=" Bill.5-Earthing.2 - Add Works"/>
      <sheetName val="TK-COL"/>
      <sheetName val="02_Dulieu_Cua"/>
      <sheetName val="dg7606"/>
      <sheetName val="DGsuyrong"/>
      <sheetName val="PhanTichVua"/>
      <sheetName val="PhanTichVT"/>
      <sheetName val="KhoiluongDT"/>
      <sheetName val="bridge # 1"/>
      <sheetName val="HMCV"/>
      <sheetName val="CauKien"/>
      <sheetName val="XD"/>
      <sheetName val="Cuongricc"/>
      <sheetName val="DATA BASE"/>
      <sheetName val="Equipment list (PAC)"/>
      <sheetName val="Mat_Source"/>
      <sheetName val="計算条件"/>
      <sheetName val="Chenh lech ca may"/>
      <sheetName val="TLg CN&amp;Laixe"/>
      <sheetName val="TLg CN&amp;Laixe (2)"/>
      <sheetName val="TLg Laitau"/>
      <sheetName val="TLg Laitau (2)"/>
      <sheetName val="TINH KHOI LUONG"/>
      <sheetName val="入力作成表"/>
      <sheetName val="CPA"/>
      <sheetName val="Setting"/>
      <sheetName val="Settings"/>
      <sheetName val="VND"/>
      <sheetName val="Buy vs. Lease Car"/>
      <sheetName val="___S"/>
      <sheetName val="___"/>
      <sheetName val="__"/>
      <sheetName val="______"/>
      <sheetName val="I-KAMAR"/>
      <sheetName val="GTTBA"/>
      <sheetName val="新规"/>
      <sheetName val="Master"/>
      <sheetName val="DG7606DZ"/>
      <sheetName val="Chi tiet"/>
      <sheetName val="Unit_Div6"/>
      <sheetName val="phan tic chi tiet"/>
      <sheetName val="Main"/>
      <sheetName val="subcon sched"/>
      <sheetName val="A1"/>
      <sheetName val="CT_vat_lieu"/>
      <sheetName val="DM_6061"/>
      <sheetName val="DG_thep_ma_kem"/>
      <sheetName val="DG_DZ"/>
      <sheetName val="DG_TBA"/>
      <sheetName val="Data_Input"/>
      <sheetName val="DG1426"/>
      <sheetName val="KH-Q1,Q2,01"/>
      <sheetName val="Code"/>
      <sheetName val="Budget Code"/>
      <sheetName val="TH_CPTB"/>
      <sheetName val="CP Khac cuoc VC"/>
      <sheetName val="PS-Labour_M"/>
      <sheetName val="NHÀ NHẬP LIỆU"/>
      <sheetName val="MÓNG SILO"/>
      <sheetName val="Bang 3_Chi tiet phan Dz"/>
      <sheetName val="KHOI LUONG"/>
      <sheetName val="13-Cốt thép (10mm&lt;D≤18mm) FO16"/>
      <sheetName val="du lieu du toan"/>
      <sheetName val="BẢNG KHỐI LƯỢNG TỔNG HỢP"/>
      <sheetName val="SEX"/>
      <sheetName val="CTKL KTX HT"/>
      <sheetName val="HVAC.BLOCK B4"/>
      <sheetName val="CT1"/>
      <sheetName val="Hardware"/>
      <sheetName val="HWW"/>
      <sheetName val="2.Chiet tinh"/>
      <sheetName val="daf-3(OK)"/>
      <sheetName val="daf-7(OK)"/>
      <sheetName val="SourceData"/>
      <sheetName val="7606"/>
      <sheetName val="IBASE"/>
      <sheetName val="PRE (E)"/>
      <sheetName val="Z"/>
      <sheetName val="Chi tiet lan can"/>
      <sheetName val="Tong du toan"/>
      <sheetName val="Bill 2 - ketcau"/>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PU_ITALY_4"/>
      <sheetName val="Tro_giup4"/>
      <sheetName val="TH_DZ354"/>
      <sheetName val="CHITIET_VL-NC-TT_-1p2"/>
      <sheetName val="TONG_HOP_VL-NC_TT2"/>
      <sheetName val="KPVC-BD_2"/>
      <sheetName val="Don_gia2"/>
      <sheetName val="Luong NII"/>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Analisa &amp; Upah"/>
      <sheetName val="Purchase Order"/>
      <sheetName val="DL ĐẦU VÀO"/>
      <sheetName val="CTEMCOST"/>
      <sheetName val="D &amp; W sizes"/>
      <sheetName val="DM_60611"/>
      <sheetName val="DG_thep_ma_kem1"/>
      <sheetName val="CT_vat_lieu1"/>
      <sheetName val="DG_DZ1"/>
      <sheetName val="DG_TBA1"/>
      <sheetName val="_Bill_5-Earthing_2_-_Add_Works"/>
      <sheetName val="Data_Input1"/>
      <sheetName val="DETAIL_"/>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BOQ THAN"/>
      <sheetName val="Formwork"/>
      <sheetName val="BOQ건축"/>
      <sheetName val="BocXep"/>
      <sheetName val="VCBo"/>
      <sheetName val="VCThuy"/>
      <sheetName val="Cpbetong"/>
      <sheetName val="366fun"/>
      <sheetName val="DM_60606061"/>
      <sheetName val="DINH MUC THI NGHIEM"/>
      <sheetName val="CUOCVC"/>
      <sheetName val="Luong NI"/>
      <sheetName val="Vatlieu"/>
      <sheetName val="CT"/>
      <sheetName val="don_giaQB"/>
      <sheetName val="dghn"/>
      <sheetName val="DongiaVL2"/>
      <sheetName val="Active"/>
      <sheetName val="PMS"/>
      <sheetName val="1_MV"/>
      <sheetName val="Ktmo"/>
      <sheetName val="경비2내역"/>
      <sheetName val="Du lieu"/>
      <sheetName val="Cash2"/>
      <sheetName val="Markup"/>
      <sheetName val="OT"/>
      <sheetName val="cash budget"/>
      <sheetName val="Criteria"/>
      <sheetName val="ICGSIP"/>
      <sheetName val="SORT"/>
      <sheetName val="Phan tich"/>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m 366"/>
      <sheetName val="DM 6060"/>
      <sheetName val="Gvlch"/>
      <sheetName val="DGLX"/>
      <sheetName val="Don gia (khong in)"/>
      <sheetName val="Dlieu dau vao"/>
      <sheetName val="DK1.Don gia"/>
      <sheetName val="1.MONG 1-2"/>
      <sheetName val="BANCO (2)"/>
      <sheetName val="MT DPin (2)"/>
      <sheetName val="外気負荷"/>
      <sheetName val="Chiết tính"/>
      <sheetName val="Dongiaxd"/>
      <sheetName val="VT190111"/>
      <sheetName val="Hao phí"/>
      <sheetName val="Du tru CP-Bieu 01"/>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M7606"/>
      <sheetName val="XDM22"/>
      <sheetName val="DinhMuc"/>
      <sheetName val="TK-TUBU"/>
      <sheetName val="DGIA"/>
      <sheetName val="TT"/>
      <sheetName val="DM_4970"/>
      <sheetName val="CTKL_KTX_HT"/>
      <sheetName val="NHÀ_NHẬP_LIỆU"/>
      <sheetName val="MÓNG_SILO"/>
      <sheetName val="CP_Khac_cuoc_VC"/>
      <sheetName val="Budget_Code"/>
      <sheetName val="BẢNG_KHỐI_LƯỢNG_TỔNG_HỢP"/>
      <sheetName val="2_Chiet_tinh"/>
      <sheetName val="TB NẶNG"/>
      <sheetName val="CP HMC"/>
      <sheetName val="gui BKCT"/>
      <sheetName val="MTL(AG)"/>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TH TN"/>
      <sheetName val="Bill No.3 - Prov. Sum (Ph2&amp;3)"/>
      <sheetName val="wk prgs"/>
      <sheetName val="sort2"/>
      <sheetName val="đọc số"/>
      <sheetName val="DATA1"/>
      <sheetName val="소일위대가코드표"/>
      <sheetName val="Ma don vi"/>
      <sheetName val="bang cc"/>
      <sheetName val="TK chi tiet"/>
      <sheetName val="Brick"/>
      <sheetName val="Bill 2-Road HR2"/>
      <sheetName val="Bill 3 - Softscape HR2"/>
      <sheetName val="HỆ THỐNG PHÒNG CHÁY CHỮA CHÁY"/>
      <sheetName val="HỆ THỐNG CẤP THOÁT NƯỚC"/>
      <sheetName val="HỆ THỐNG ĐHKK"/>
      <sheetName val="MÁY PHÁT ĐIỆN"/>
      <sheetName val="HỆ THỐNG ĐIỆN"/>
      <sheetName val="Thiết bị chính"/>
      <sheetName val="DG 1426"/>
      <sheetName val="Dự thầu"/>
      <sheetName val="Nhap VT oto"/>
      <sheetName val="見積書"/>
      <sheetName val="TNHC"/>
      <sheetName val="trialth"/>
      <sheetName val="1"/>
      <sheetName val="PCCC"/>
      <sheetName val="Ｎｏ.13"/>
      <sheetName val="tra_vat_lieu"/>
      <sheetName val="DGchitiet "/>
      <sheetName val="2.1Warehouse 1"/>
      <sheetName val="Structure data"/>
      <sheetName val="AG Pipe Qty Analysis"/>
      <sheetName val="NHATKYC"/>
      <sheetName val="BCX_NL"/>
      <sheetName val="THEP TAM"/>
      <sheetName val="THEP HÌNH"/>
      <sheetName val="THEP HINH"/>
      <sheetName val="XA GO"/>
      <sheetName val="BANG TRA"/>
      <sheetName val="CP Du phong"/>
      <sheetName val="THCP Lap dat"/>
      <sheetName val="THCP xay dung"/>
      <sheetName val="Tong hop kinh phi"/>
      <sheetName val="QD79"/>
      <sheetName val="Tongke"/>
      <sheetName val="CHI PHI"/>
      <sheetName val="MDA"/>
      <sheetName val="MKH"/>
      <sheetName val="DMNV"/>
      <sheetName val="DMNCC"/>
      <sheetName val="MHH"/>
      <sheetName val="CĂN HỘ T16-17 "/>
      <sheetName val="TRỤC ĐỨNG THOÁT BẨN T15-17"/>
      <sheetName val="TRỤC ĐỨNG TM T15-17"/>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1.Requisition(E)"/>
      <sheetName val="CDTK"/>
      <sheetName val="TONG HOP"/>
      <sheetName val="Tổng GT"/>
      <sheetName val="GT"/>
      <sheetName val="KL"/>
      <sheetName val="Chi tiết KL"/>
      <sheetName val="khấu trừ phạt"/>
      <sheetName val="GT  KHAU TRU"/>
      <sheetName val="HAO HUT VAT TU (2)"/>
      <sheetName val="cao độ"/>
      <sheetName val="Specs"/>
      <sheetName val="Data.Wall"/>
      <sheetName val="물량표"/>
      <sheetName val="Notes"/>
      <sheetName val="1.2 Staff Schedule"/>
      <sheetName val="BẢNG ÁP GIÁ (in)"/>
      <sheetName val="NT (KL) IN"/>
      <sheetName val="DOM D2"/>
      <sheetName val="nhà ăn"/>
      <sheetName val="Công nhật"/>
      <sheetName val="btkt cột"/>
      <sheetName val="THÉP"/>
      <sheetName val="SPEC"/>
      <sheetName val="VO-PS02-XD"/>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Dongia7606new"/>
      <sheetName val="Chi tiet -tong 9 thang"/>
      <sheetName val="BangMa"/>
      <sheetName val="Don gia chi tiet DIEN 2"/>
      <sheetName val="0. Input"/>
      <sheetName val="Thongtin"/>
      <sheetName val="Theo doi Doanh thu 2017"/>
      <sheetName val="Gia vat lieu"/>
      <sheetName val="Precios unitarios AXH"/>
      <sheetName val=""/>
      <sheetName val="So lieu chung"/>
      <sheetName val="NHAP"/>
      <sheetName val="3. CNT"/>
      <sheetName val="unit price list(M)"/>
      <sheetName val="Rate1"/>
      <sheetName val="TH VL, NC, DDHT Thanhphuoc"/>
      <sheetName val="전기"/>
      <sheetName val="DMCT"/>
      <sheetName val="lam_moi"/>
      <sheetName val="KL THEP  GIAM DO DUNG COUPLER"/>
      <sheetName val="01.KL THÉP NHẬP VỀ"/>
      <sheetName val="BBLMHT"/>
      <sheetName val="2. NT VLDV"/>
      <sheetName val="GHI CHU"/>
      <sheetName val="1.BB LMHT"/>
      <sheetName val="NEW-PANEL"/>
      <sheetName val="DMTN"/>
      <sheetName val="VatTU"/>
      <sheetName val="CTTN"/>
      <sheetName val="Luong_Cnhan"/>
      <sheetName val="DGiaT"/>
      <sheetName val="DGiaTN"/>
      <sheetName val="7606(TT01)"/>
      <sheetName val="7606TBA(TT01)"/>
      <sheetName val="DG7606TBA"/>
      <sheetName val="Steel"/>
      <sheetName val="Order"/>
      <sheetName val="유림콘도"/>
      <sheetName val="유림골조"/>
      <sheetName val="Btra"/>
      <sheetName val="Door_and_window1"/>
      <sheetName val="Ma_don_vi"/>
      <sheetName val="bang_cc"/>
      <sheetName val="M1-XL-1c"/>
      <sheetName val="THKL"/>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DuToan"/>
      <sheetName val="T2-3"/>
      <sheetName val="Open"/>
      <sheetName val="Function"/>
      <sheetName val="Noisuy-LLL"/>
      <sheetName val="Cotthep.NPT"/>
      <sheetName val="vl.nc.mtc"/>
      <sheetName val="Bê tông bảo vệ"/>
      <sheetName val="01. Data"/>
      <sheetName val="Neo, nối cốt thép dầm, cột"/>
      <sheetName val="Uốn móc cốt thép"/>
      <sheetName val="Tiêu chuẩn cốt thép"/>
      <sheetName val="PERSONNELIST"/>
      <sheetName val="1. Office"/>
      <sheetName val="BQ-E20-02(Rp)"/>
      <sheetName val="F4-F7"/>
      <sheetName val="1.Civil (Org)"/>
      <sheetName val="villa"/>
      <sheetName val="A6"/>
      <sheetName val="KL thep lam sat"/>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125x125"/>
      <sheetName val="Bảng đo bóc KL OLK-09"/>
      <sheetName val="6.3 CHI TIET OLK-09"/>
      <sheetName val="Tong hop vat tu"/>
      <sheetName val="XLR_NoRangeSheet"/>
      <sheetName val="工艺分类库"/>
      <sheetName val="4 CĂN"/>
      <sheetName val="B3A - TOWER A"/>
      <sheetName val="Annex B"/>
      <sheetName val="KHOI LUONG15-4"/>
      <sheetName val="HS"/>
      <sheetName val="1.San "/>
      <sheetName val="날개벽수량표"/>
      <sheetName val="음료실행"/>
      <sheetName val="내역서을지"/>
      <sheetName val="Assumptions"/>
      <sheetName val="Chi phi van chuyen"/>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Pric塅䕃"/>
      <sheetName val="TLG Type"/>
      <sheetName val="Dot 4"/>
      <sheetName val="DLDT"/>
      <sheetName val="Dgia vat tu"/>
      <sheetName val="Don gia_III"/>
      <sheetName val="D÷ liÖu"/>
      <sheetName val="#REF!"/>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Q.A01.2-Sh"/>
      <sheetName val="cuocbd"/>
      <sheetName val="CUOC"/>
      <sheetName val="dgtn"/>
      <sheetName val="DM_336cai tao"/>
      <sheetName val="HRG BHN"/>
      <sheetName val="CĂN ĐH"/>
      <sheetName val="TH các CC"/>
      <sheetName val="개산공사비"/>
      <sheetName val="Gld"/>
      <sheetName val="Gxd"/>
      <sheetName val="Duthau"/>
      <sheetName val="DT hợp đồng"/>
      <sheetName val="Bảng KL đợt 1"/>
      <sheetName val="2.CDPS"/>
      <sheetName val="gtrinh"/>
      <sheetName val="Bieu gia HD"/>
      <sheetName val="Div26 - Elect"/>
      <sheetName val="Danh mục"/>
      <sheetName val="7.Khau tru "/>
      <sheetName val="Calculation"/>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MSC"/>
      <sheetName val="Heso DZ"/>
      <sheetName val="DGiaDZ"/>
      <sheetName val="A6,MAY"/>
      <sheetName val="DG_BINH THUAN"/>
      <sheetName val="PNT_QUOT__3"/>
      <sheetName val="COAT_WRAP_QIOT__3"/>
      <sheetName val="BTK-Dai Hoc Kien Giang"/>
      <sheetName val="PV Graph Data"/>
      <sheetName val="GJ_06"/>
      <sheetName val="doanh thu"/>
      <sheetName val="Dutoan KL"/>
      <sheetName val="Method_BouyancyFactor"/>
      <sheetName val="Method_PressureArea"/>
      <sheetName val="InputData"/>
      <sheetName val="B-2  (DPP)"/>
      <sheetName val="Huong dan"/>
      <sheetName val="electrical"/>
      <sheetName val="So sanh"/>
      <sheetName val="Hệ_qố2"/>
      <sheetName val="Inputs_Sens"/>
      <sheetName val="IS_Sum_CM"/>
      <sheetName val="gia vt,nc,may"/>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Financ. Overview"/>
      <sheetName val="Toolbox"/>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Kyhieuloptratsonba"/>
      <sheetName val="Tổng hợp KPHM"/>
      <sheetName val="Cong"/>
      <sheetName val="영동(D)"/>
      <sheetName val="EQUIP LIST"/>
      <sheetName val="說明"/>
      <sheetName val="Dinh muc"/>
      <sheetName val="TDTKP"/>
      <sheetName val="DK-KH"/>
      <sheetName val="QUO"/>
      <sheetName val="DZ 22KV"/>
      <sheetName val="BANRA"/>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Annual_CFs_Asset"/>
      <sheetName val="EQT-ESTN"/>
      <sheetName val="5.2.1 Đo bóc KL OLK-06"/>
      <sheetName val="Classification"/>
      <sheetName val="BT3"/>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THKP957"/>
      <sheetName val="Tính giá NC"/>
      <sheetName val="Tiên lượng"/>
      <sheetName val="SL cước"/>
      <sheetName val="CTDZTA(5)"/>
      <sheetName val="THONG SO"/>
      <sheetName val="Đơn giá chi tiết TN 39"/>
      <sheetName val="DT. NHA XUONG"/>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I_ESTI"/>
      <sheetName val="4.2.1 Đo bóc KL OLK-06"/>
      <sheetName val="4.1.1 CHI TIET OLK-06"/>
      <sheetName val="Gia VT-TB"/>
      <sheetName val="noi suy xa"/>
      <sheetName val="noi suy xa thu hoi"/>
      <sheetName val="Painting"/>
      <sheetName val="CAUDIT"/>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sh Flow"/>
      <sheetName val="Yield"/>
      <sheetName val="Electrical Works"/>
      <sheetName val="H_T_ INCOMING SYSTEM"/>
      <sheetName val="SUMDETAIL"/>
      <sheetName val="Factory"/>
      <sheetName val="Matchung"/>
      <sheetName val="BU LONG"/>
      <sheetName val="ĐNVT"/>
      <sheetName val="ĐNBL"/>
      <sheetName val="CTLK"/>
      <sheetName val="DG Chi tiet"/>
      <sheetName val=" 1710 HOINGHINLD"/>
      <sheetName val="99"/>
      <sheetName val="99 (2)"/>
      <sheetName val="134 "/>
      <sheetName val="DG-1776KV4"/>
      <sheetName val="DG 4970"/>
      <sheetName val="DM-1776"/>
      <sheetName val="Thuyết minh"/>
      <sheetName val="Đơn giá máy"/>
      <sheetName val="DCQ"/>
      <sheetName val="DCS"/>
      <sheetName val="DD"/>
      <sheetName val="dulieumong"/>
      <sheetName val="Unit price"/>
      <sheetName val="112016"/>
      <sheetName val="Bán đợt 1 trang"/>
      <sheetName val="Bill No.1.6"/>
      <sheetName val="Bill No.1.10"/>
      <sheetName val="Bill No.3.3"/>
      <sheetName val="Bill No.1.4"/>
      <sheetName val="Bill No.1.7"/>
      <sheetName val="Summary Bill No. 3"/>
      <sheetName val="Package1"/>
      <sheetName val="係数"/>
      <sheetName val="8521"/>
      <sheetName val="현장별"/>
      <sheetName val="Tong DT"/>
      <sheetName val="phan tich don gia"/>
      <sheetName val="BID"/>
      <sheetName val="dg-VTu"/>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DI-ESTI"/>
      <sheetName val="3. KC - PODIUM"/>
      <sheetName val="Cashflow Analysis"/>
      <sheetName val="R2564AHDTS"/>
      <sheetName val="Links"/>
      <sheetName val="Lead"/>
      <sheetName val="Bù giá CM"/>
      <sheetName val="Tien Luong"/>
      <sheetName val="Luong BN"/>
      <sheetName val="Luong TB"/>
      <sheetName val="Ca may TB"/>
      <sheetName val="Ca máy BN"/>
      <sheetName val="Vật liệu"/>
      <sheetName val="LX -TT05"/>
      <sheetName val="NC Moi TT05"/>
      <sheetName val="설계내역서"/>
      <sheetName val="Chiet tinh dz35"/>
      <sheetName val="DG3285"/>
      <sheetName val="Breakdown (B)"/>
      <sheetName val="U.P_Breakdown"/>
      <sheetName val="기안"/>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Unit price(Updateting)"/>
      <sheetName val="DW"/>
      <sheetName val="DWD"/>
      <sheetName val="DW1"/>
      <sheetName val="pctg"/>
      <sheetName val="M-work"/>
      <sheetName val="WORK"/>
      <sheetName val="DWi"/>
      <sheetName val="PC=FLAT"/>
      <sheetName val="Cert1"/>
      <sheetName val="tuo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inputcua"/>
      <sheetName val="Phu Bai Bridge"/>
      <sheetName val="COAT&amp;WRAP-QIOT-#3"/>
      <sheetName val="tifico"/>
      <sheetName val="dats"/>
      <sheetName val="CHITIET VL-NCHT1 (2)"/>
      <sheetName val="CashFlows"/>
      <sheetName val="DSNV"/>
      <sheetName val="Bia lot"/>
      <sheetName val="DSKH"/>
      <sheetName val="DT san XD-So lieu cu"/>
      <sheetName val="Chu dau tu"/>
      <sheetName val="don gia 1426"/>
      <sheetName val="입찰내역 발주처 양식"/>
      <sheetName val="Labor Sum"/>
      <sheetName val="Bangia"/>
      <sheetName val="D+W"/>
      <sheetName val="Subsidiary Calculation"/>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변경내역"/>
      <sheetName val="내역"/>
      <sheetName val="Cau tao gia xay to"/>
      <sheetName val="ThongtinDN"/>
      <sheetName val="DM DU AN"/>
      <sheetName val="DM TP."/>
      <sheetName val="File Chi tiet"/>
      <sheetName val="Takeoff"/>
      <sheetName val="ERECIN"/>
      <sheetName val="주식"/>
      <sheetName val="chitiet"/>
      <sheetName val="kl3p"/>
      <sheetName val="kl3pct"/>
      <sheetName val="kl3pcto"/>
      <sheetName val="THPDMoi  (2)"/>
      <sheetName val="thao-go"/>
      <sheetName val="t-h HA THE"/>
      <sheetName val="TH XL"/>
      <sheetName val="Tiepdia"/>
      <sheetName val="CHITIET VL-NC"/>
      <sheetName val="SGC RATE"/>
      <sheetName val="Tru TT"/>
      <sheetName val="Thg 04"/>
      <sheetName val="Thg 05"/>
      <sheetName val="Thg 06"/>
      <sheetName val="Thg 07"/>
      <sheetName val="Thg 08"/>
      <sheetName val="Thg 09"/>
      <sheetName val="Thg 10"/>
      <sheetName val="Thg 11"/>
      <sheetName val="Thg 12"/>
      <sheetName val="Abutment"/>
      <sheetName val="beam"/>
      <sheetName val="COST_ACC"/>
      <sheetName val="Probbl - Production"/>
      <sheetName val="Backup"/>
      <sheetName val="NTCV1"/>
      <sheetName val="THÔNG TIN"/>
      <sheetName val="CTGS"/>
      <sheetName val="Dashboard - BQL - VHL"/>
      <sheetName val="DG05new"/>
      <sheetName val="CauHinh"/>
      <sheetName val="DLTA"/>
      <sheetName val="Solieu"/>
      <sheetName val="BẢNG DIỄN GIẢI KL (7)"/>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BOM-13.11-Other(PS1+PS2)"/>
      <sheetName val="Tra_thep"/>
      <sheetName val="PAINT_SPEC"/>
      <sheetName val="Danh mục khối"/>
      <sheetName val="Danh mục đơn vị -phòng chức năn"/>
      <sheetName val="KEILA TP 2020-07"/>
      <sheetName val="lookups"/>
      <sheetName val="CHI PHÍ NHÔM"/>
      <sheetName val="Currency Rate"/>
      <sheetName val="BQ"/>
      <sheetName val="TABLE-A"/>
      <sheetName val="g-vl"/>
      <sheetName val="toyota"/>
      <sheetName val="2. BBNT KLHT"/>
      <sheetName val="石炭性状"/>
      <sheetName val="Cost Summary"/>
      <sheetName val="DG "/>
      <sheetName val="BILL 34Āᐁë"/>
      <sheetName val="Cot"/>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Menu"/>
      <sheetName val="Bordereau"/>
      <sheetName val="SucChiuTaiCuaCoc"/>
      <sheetName val="BANGTRA"/>
      <sheetName val="CHITIET VL-NC-TT1p"/>
      <sheetName val="CFA (ME)"/>
      <sheetName val="MEP Building"/>
      <sheetName val="AASHTO92"/>
      <sheetName val="KUNGDEVI"/>
      <sheetName val="CFA"/>
      <sheetName val="TKLD"/>
      <sheetName val="NHOM KINH"/>
      <sheetName val="B3A-APARTMENT"/>
      <sheetName val="QSUM"/>
      <sheetName val="TH khoi luong"/>
      <sheetName val="Chi tiet khoi luong"/>
      <sheetName val="TK thep"/>
      <sheetName val="CT THOÁT WC VP"/>
      <sheetName val="CT CẤP WC VP"/>
      <sheetName val="CT THOÁT MƯA VP TRỤC LỚN"/>
      <sheetName val="CT THOÁT MƯA VP TRỤC NHỎ"/>
      <sheetName val="LUONG SCL"/>
      <sheetName val="Breakdown"/>
      <sheetName val="DTCT"/>
      <sheetName val="TKXM"/>
      <sheetName val="재료비단가(VALVE)"/>
      <sheetName val="SCHEDULE"/>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Sum ELE  CAP S1-4  "/>
      <sheetName val="CFS3"/>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Auto Monthly Inputs "/>
      <sheetName val="MSB-DB"/>
      <sheetName val="TienLuong"/>
      <sheetName val="Para"/>
      <sheetName val="PNTEXT"/>
      <sheetName val="DFA"/>
      <sheetName val="Gia NC theo TT05"/>
      <sheetName val="sortÔ"/>
      <sheetName val="ChiTietDZ"/>
      <sheetName val="VuaBT"/>
      <sheetName val="기본DATA"/>
      <sheetName val="datta"/>
      <sheetName val="BCC_4054-05"/>
      <sheetName val="Tra1"/>
      <sheetName val="SLTh.ke"/>
      <sheetName val="Luong_BN"/>
      <sheetName val="Luong_TB"/>
      <sheetName val="Ca_may_TB"/>
      <sheetName val="Ca_máy_BN"/>
      <sheetName val="Vật_liệu"/>
      <sheetName val="Chênh lệch máy thi công"/>
      <sheetName val="Chênh lệch nhân công"/>
      <sheetName val="Chênh lệch vật liệu"/>
      <sheetName val="Dai tu"/>
      <sheetName val="Gia-VL"/>
      <sheetName val="chitietCS"/>
      <sheetName val="chitietTD"/>
      <sheetName val="PL02"/>
      <sheetName val="So sanh gia"/>
      <sheetName val="Luong 2622EVN"/>
      <sheetName val="DNTT_2"/>
      <sheetName val="DNTT_3"/>
      <sheetName val="DNTT_4"/>
      <sheetName val="0,SO LIEU DAU VAO"/>
      <sheetName val="GIAVLIEU"/>
      <sheetName val="BTH"/>
      <sheetName val="Chao gia T12_RE"/>
      <sheetName val="SLabs"/>
      <sheetName val="BP"/>
      <sheetName val="DEF"/>
      <sheetName val="Share Price 2002"/>
      <sheetName val="Case"/>
      <sheetName val="SumVal"/>
      <sheetName val="CTtr"/>
      <sheetName val="caocot"/>
      <sheetName val="Bia1"/>
      <sheetName val="PHẦN KIẾN TRÚC"/>
      <sheetName val="Tabela1"/>
      <sheetName val="Don gia XD"/>
      <sheetName val="Currency"/>
      <sheetName val="tra-vat-lieu"/>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DSV6 Summ"/>
      <sheetName val="NTKL"/>
      <sheetName val="Luong (TP Việt Trì)"/>
      <sheetName val="Boc KL DAT+CAT+BT"/>
      <sheetName val="Boc KL thép"/>
      <sheetName val="Bieu do nhan luc"/>
      <sheetName val="Land Dev't. Ph-1"/>
      <sheetName val="Hac.Lots"/>
      <sheetName val="4-Lane bridge"/>
      <sheetName val="Res.Lots"/>
      <sheetName val="Spine Road"/>
      <sheetName val="264"/>
      <sheetName val="BangQuiDoi"/>
      <sheetName val="CaiDat"/>
      <sheetName val="CPK"/>
      <sheetName val="Invoice"/>
      <sheetName val="Utilities"/>
      <sheetName val="Civil_B1"/>
      <sheetName val="Civil_B4"/>
      <sheetName val="CONSOIDATE 4"/>
      <sheetName val="CONSOIDATE 2"/>
      <sheetName val="1CT-CAUTHANG-TT-T13(TRIU)&lt;16&gt;16"/>
      <sheetName val="3,CT-CAUTHANG-T23-24&gt;50"/>
      <sheetName val="공사개요-C"/>
      <sheetName val="HSTV"/>
      <sheetName val="GCM"/>
      <sheetName val="GVT"/>
      <sheetName val="NC CU"/>
      <sheetName val="PLV"/>
      <sheetName val="CT_trtreo"/>
      <sheetName val="pphtAV"/>
      <sheetName val="Cuoc "/>
      <sheetName val="gia chao"/>
      <sheetName val="Vat lieu BTN"/>
      <sheetName val="B1_HT"/>
      <sheetName val="DS_GioiTinh"/>
      <sheetName val="DS_LoaiNhanVien"/>
      <sheetName val="DS_QuocTich"/>
      <sheetName val="DS_TinhTrangGiaDinh"/>
      <sheetName val="DS_TonGiao"/>
      <sheetName val="5.2.1 Đo bóc KL OLK-07"/>
      <sheetName val="DGKL_TRỤC NGOAI NHA"/>
      <sheetName val="PHG"/>
      <sheetName val="THKP"/>
      <sheetName val="BAG-2"/>
      <sheetName val="COPING"/>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PTdam"/>
      <sheetName val="CTG-PRECHEx1_4ꀋ"/>
      <sheetName val="CAU"/>
      <sheetName val="Cước CG"/>
      <sheetName val="노임이"/>
      <sheetName val="02. PHAN TICH"/>
      <sheetName val="03. NGAN SACH"/>
      <sheetName val="DoanhNghiệp"/>
      <sheetName val="ThôngTin"/>
      <sheetName val="0.Data"/>
      <sheetName val="0.Data_new"/>
      <sheetName val="Aging Sept"/>
      <sheetName val="Aging_Sept"/>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ctiet-KVThanhTri-YUR"/>
      <sheetName val="242_3 summaryOPC"/>
      <sheetName val="afis"/>
      <sheetName val="TAKE-OFF"/>
      <sheetName val="Elemental Breakdown+20%"/>
      <sheetName val="Khoi luong kenh dan"/>
      <sheetName val="Thep_Be TN(tai_C10)"/>
      <sheetName val="De11A"/>
      <sheetName val="MTO REV.0"/>
      <sheetName val="NPCPP-70-DS-017"/>
      <sheetName val="Input - Facilities"/>
      <sheetName val="Norms"/>
      <sheetName val="BP CAPEX MoD-100% Area 4 USD"/>
      <sheetName val="Committed Items"/>
      <sheetName val="XL4Poppy (2)"/>
      <sheetName val="XL4Poppy_(2)"/>
      <sheetName val="rc"/>
      <sheetName val="L-Mechanical"/>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6. Scope of work "/>
      <sheetName val="4.6 Phân tích nhân sự "/>
      <sheetName val="4.5 Mức độ tham gia dự án"/>
      <sheetName val="토목주소"/>
      <sheetName val="프랜트면허"/>
      <sheetName val="List of Staff"/>
      <sheetName val="_ QUOTATION.xlsx"/>
      <sheetName val="1.1General"/>
      <sheetName val="sales current month"/>
      <sheetName val="View Variance"/>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NDN"/>
      <sheetName val="DO AM DT"/>
      <sheetName val="01. Nha xuong"/>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Define finishing"/>
      <sheetName val="GGBC"/>
      <sheetName val="THONG SO KICH THUOC"/>
      <sheetName val="Hs_TMDT"/>
      <sheetName val="TMDT"/>
      <sheetName val="B15"/>
      <sheetName val="B16"/>
      <sheetName val="B17"/>
      <sheetName val="B4-D3"/>
      <sheetName val="B8"/>
      <sheetName val="CSDL"/>
      <sheetName val="pt10Èn"/>
      <sheetName val="he so dong thoi"/>
      <sheetName val="OVER VIEW"/>
      <sheetName val="MD"/>
      <sheetName val="比率"/>
      <sheetName val="数据库"/>
      <sheetName val="Link HG"/>
      <sheetName val="Breech_Duct"/>
      <sheetName val="THDT_goi_thauџTB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BILL 34Āᐁë_x0001_ HẦM"/>
      <sheetName val="LinerWt"/>
      <sheetName val="chi tiet TS theo so lieu ktoa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CF -Update 31Jul06"/>
      <sheetName val="Executive Summary"/>
      <sheetName val="DINH_MUCџTHI_NGHIEM3"/>
      <sheetName val="BILL 34Āᐁë_x0000__x0000__x0001__x0000__x0000__x0000_ HẦM"/>
      <sheetName val="CMS"/>
      <sheetName val="CuttingList"/>
      <sheetName val="Expediting"/>
      <sheetName val="INVENTORY"/>
      <sheetName val="MIR"/>
      <sheetName val="MIRStatus"/>
      <sheetName val="REM"/>
      <sheetName val="RevLog"/>
      <sheetName val="SUM_MIR"/>
      <sheetName val="U0030S03"/>
      <sheetName val="EQFRM2"/>
      <sheetName val="Tabel_Berat"/>
      <sheetName val="Real_Cost"/>
      <sheetName val="bill_qty"/>
      <sheetName val="REKAP_ARSITEKTUR_"/>
      <sheetName val="RAB_ADMINISTRASI_PUSAT_(1)"/>
      <sheetName val="Data_Umum_Penawaran"/>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CT -THVLNC"/>
      <sheetName val="4)유동표"/>
      <sheetName val="Price"/>
      <sheetName val="KL T16 BÀN GIAO 19.4"/>
      <sheetName val="proj"/>
      <sheetName val="TONGKE3p "/>
      <sheetName val="TNHCHINH"/>
      <sheetName val="VCV-BE-TONG"/>
      <sheetName val="NKCT"/>
      <sheetName val="Data (2)"/>
      <sheetName val="Char"/>
      <sheetName val="Book 1 Summary"/>
      <sheetName val="Civil"/>
      <sheetName val="1-Backfilling"/>
      <sheetName val="Thang 01"/>
      <sheetName val="Thống kê"/>
      <sheetName val="BAN IN"/>
      <sheetName val="DMKH"/>
      <sheetName val="DNTT"/>
      <sheetName val="ca_máy6"/>
      <sheetName val="Da xay dung"/>
      <sheetName val="ADJ 2011"/>
      <sheetName val="NOVA MEDIC"/>
      <sheetName val="DGKL MEDIC"/>
      <sheetName val="cable, lighting, switch"/>
      <sheetName val="ĐỢT 1"/>
      <sheetName val="ThiNghiemDZ04"/>
      <sheetName val="Bldg Brkdown"/>
      <sheetName val="DS Cty"/>
      <sheetName val="mahang"/>
      <sheetName val="MAHANG BHLD"/>
      <sheetName val="LUONGKHOAN"/>
      <sheetName val="CHITIETHOADON.TT"/>
      <sheetName val="mahang chinh sua moi nhat"/>
      <sheetName val="Request"/>
      <sheetName val="NHOM KINH "/>
      <sheetName val="INNOVA"/>
      <sheetName val="begin"/>
      <sheetName val="data-ma2"/>
      <sheetName val="TCVN 1651-2008"/>
      <sheetName val="QMCT"/>
      <sheetName val="Technal"/>
      <sheetName val="DG VL KS"/>
      <sheetName val="DTXL( 270)"/>
      <sheetName val="SCOPE OF WORK"/>
      <sheetName val="THÁNG 05"/>
      <sheetName val="Noise insl"/>
      <sheetName val="Hot-Piping"/>
      <sheetName val="Dynamic Ranges"/>
      <sheetName val="Cal"/>
      <sheetName val="공문"/>
      <sheetName val="struktur"/>
      <sheetName val="DIEN TICH"/>
      <sheetName val="Dgia_vat_tŵ7"/>
      <sheetName val="sht1"/>
      <sheetName val="sht2"/>
      <sheetName val="sht3"/>
      <sheetName val="bar nor"/>
      <sheetName val="table1"/>
      <sheetName val="conc nor"/>
      <sheetName val="conc frus"/>
      <sheetName val="conc trap"/>
      <sheetName val="bar frus"/>
      <sheetName val="bar trap"/>
      <sheetName val="DPVT"/>
      <sheetName val="도로경계단위"/>
      <sheetName val="Beam reinfocement schedule"/>
      <sheetName val="Thong so dam"/>
      <sheetName val="Wall Block C"/>
      <sheetName val="General Schedule"/>
      <sheetName val="DSCTEMP"/>
      <sheetName val="금액내역서"/>
      <sheetName val="Factor F Data"/>
      <sheetName val="SELISIH HARGA"/>
      <sheetName val="BBM-03"/>
      <sheetName val="(40)G&amp;A"/>
      <sheetName val="Assumption"/>
      <sheetName val="Chart"/>
      <sheetName val="02. THONG_TIN_CHUNG"/>
      <sheetName val="07. DINH_MUC HBC"/>
      <sheetName val="2. Tổng hợp"/>
      <sheetName val="List Equip"/>
      <sheetName val="LabCost"/>
      <sheetName val="MatCost"/>
      <sheetName val="Concrete"/>
      <sheetName val="Process C (1-166)"/>
      <sheetName val="BUSPLAN"/>
      <sheetName val="H.Satuan"/>
      <sheetName val="EQ_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2.5.Ducts (2)"/>
      <sheetName val="S N"/>
      <sheetName val="4.3 Scope of work "/>
      <sheetName val="THCP thiet bi"/>
      <sheetName val="dsnt"/>
      <sheetName val="dat"/>
      <sheetName val="TonDau"/>
      <sheetName val="ﾄﾞﾊﾞｲFUEL GAS追見"/>
      <sheetName val="2002년12월"/>
      <sheetName val="PipeSummary"/>
      <sheetName val="合成単価作成表_BLDG"/>
      <sheetName val="Process"/>
      <sheetName val="2020 RFS Summary"/>
      <sheetName val="Well Construction Summary"/>
      <sheetName val="Subsurface"/>
      <sheetName val="Offshore"/>
      <sheetName val="Logistics"/>
      <sheetName val="RFS 2020 - Details and Notes"/>
      <sheetName val="Product"/>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MTP"/>
      <sheetName val="3.공통공사대비"/>
      <sheetName val="Nhập_liệu"/>
      <sheetName val="Auto_Monthly_Inputs_"/>
      <sheetName val="DSV6_Summ"/>
      <sheetName val="Luong_(TP_Việt_Trì)"/>
      <sheetName val="DG_"/>
      <sheetName val="Gia_NC_theo_TT05"/>
      <sheetName val="Land_Dev't__Ph-1"/>
      <sheetName val="Hac_Lots"/>
      <sheetName val="4-Lane_bridge"/>
      <sheetName val="Res_Lots"/>
      <sheetName val="Spine_Road"/>
      <sheetName val="Bank_Rev"/>
      <sheetName val="Merit_&amp;_Market_Grid"/>
      <sheetName val="BP_DECLINE_IT"/>
      <sheetName val="Input_List"/>
      <sheetName val="Valid_data_revised"/>
      <sheetName val="DETAIL_MIX_%_REPORT"/>
      <sheetName val="Fill_this_out_first___"/>
      <sheetName val="BC_chi_tiết_TT"/>
      <sheetName val="MTO_REV_0"/>
      <sheetName val="Committed_Items"/>
      <sheetName val="Corner_Arch"/>
      <sheetName val="End_Arch"/>
      <sheetName val="Intermediate_Arch"/>
      <sheetName val="reinforcement_675"/>
      <sheetName val="ext_wall_fin_qty"/>
      <sheetName val="SL_Plum_"/>
      <sheetName val="Physical_Schedule_3D"/>
      <sheetName val="Hrg_Readymix"/>
      <sheetName val="Cuoc_"/>
      <sheetName val="gia_chao"/>
      <sheetName val="Vat_lieu_BTN"/>
      <sheetName val="Shape"/>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SPS"/>
      <sheetName val="Bang khoi luong"/>
      <sheetName val="M"/>
      <sheetName val="NC HY"/>
      <sheetName val="NC HN"/>
      <sheetName val="PhaDoMong"/>
      <sheetName val="bdkdt"/>
      <sheetName val="PTDG-CL"/>
      <sheetName val="GVL-tuyến"/>
      <sheetName val="GVL-BTN"/>
      <sheetName val="BXLDL"/>
      <sheetName val="Bill rekap"/>
      <sheetName val="Cash Flow bulanan"/>
      <sheetName val="CươcVC tinh"/>
      <sheetName val="QG"/>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Don vi"/>
      <sheetName val="PTDM"/>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Input_-_Facilities"/>
      <sheetName val="BP_CAPEX_MoD-100%_Area_4_USD"/>
      <sheetName val="PHẦN_KIẾN_TRÚC"/>
      <sheetName val="DGKL_TRỤC_NGOAI_NHA"/>
      <sheetName val="Sum_ELE__CAP_S1-4__"/>
      <sheetName val="5_2_1_Đo_bóc_KL_OLK-07"/>
      <sheetName val="Elemental_Breakdown+20%"/>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Define_finishing"/>
      <sheetName val="NC_CU"/>
      <sheetName val="0,SO_LIEU_DAU_VAO"/>
      <sheetName val="Da_xay_dung"/>
      <sheetName val="Piano Montaggio PO-02 bozza2"/>
      <sheetName val="_SYSTEM_CODE"/>
      <sheetName val="Project Info."/>
      <sheetName val="_COST_DATA_LOOKUP"/>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Summary - Budget"/>
      <sheetName val="Rate Analysis"/>
      <sheetName val="KL Chi tiết BV dự thầu"/>
      <sheetName val="KL chi tiết BV thi công"/>
      <sheetName val="DG_1"/>
      <sheetName val="Ca may"/>
      <sheetName val="Loại cọc P2"/>
      <sheetName val="TT04"/>
      <sheetName val="CDSPS"/>
      <sheetName val="NH-KY"/>
      <sheetName val="TK SX"/>
      <sheetName val="ma-pt"/>
      <sheetName val="Bearing Capacity"/>
      <sheetName val="Eq. Mobilization"/>
      <sheetName val="CẤP_THO"/>
      <sheetName val="Work-Condition"/>
      <sheetName val="PNT-QUOT-#3"/>
      <sheetName val="Tonghop theo Vendor"/>
      <sheetName val="PTcphoi"/>
      <sheetName val="Giahientruong"/>
      <sheetName val="Ten"/>
      <sheetName val="GIA NC, CM"/>
      <sheetName val="GIA VL"/>
      <sheetName val="13.Luong"/>
      <sheetName val="Be tong"/>
      <sheetName val="Vendor"/>
      <sheetName val="TLR"/>
      <sheetName val="BILL 34Āᐁë_x0001_"/>
      <sheetName val="ALL"/>
      <sheetName val="Dot_1"/>
      <sheetName val="Dot_2"/>
      <sheetName val="Dot_3"/>
      <sheetName val="KL_Tke"/>
      <sheetName val="Dot_1&gt;4"/>
      <sheetName val="KL CHI TIẾT (2)"/>
      <sheetName val="5.Gia"/>
      <sheetName val="Danh sach KV2"/>
      <sheetName val="Danh sach doan KT"/>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on gia vung III"/>
      <sheetName val="Don gia III"/>
      <sheetName val="Don gia CT"/>
      <sheetName val="Tra_bang"/>
      <sheetName val="1.INPUT"/>
      <sheetName val="Phan tich vat tu"/>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TPTai"/>
      <sheetName val="DLC DIEN AP"/>
      <sheetName val="SL dau tien"/>
      <sheetName val="HSKVUC"/>
      <sheetName val="DanhSach11"/>
      <sheetName val="Danhsach 12"/>
      <sheetName val="CP NC-MTC XD"/>
      <sheetName val="GOC"/>
      <sheetName val="MTL__INTER"/>
      <sheetName val="共機計算"/>
      <sheetName val="共機J"/>
      <sheetName val="VINYL"/>
      <sheetName val="TTL"/>
      <sheetName val="DMTL"/>
      <sheetName val="물량표(신)"/>
      <sheetName val="TTTram"/>
      <sheetName val="Giacuoc"/>
      <sheetName val="Du lieu ban dau"/>
      <sheetName val="GZ.TP"/>
      <sheetName val="GZ.VT"/>
      <sheetName val="6.9 DM CTP"/>
      <sheetName val="FORM-16"/>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Khaibao"/>
      <sheetName val="ADJ - RATE"/>
      <sheetName val="DIV INC"/>
      <sheetName val="DropZone"/>
      <sheetName val="A1 - Income Statement"/>
      <sheetName val="SCB - Annexure A"/>
      <sheetName val="PL6-Revenue Bridge"/>
      <sheetName val="APR-MAR-03-04"/>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CONSTANTES"/>
      <sheetName val="Scraps"/>
      <sheetName val="Mth-Vana"/>
      <sheetName val="DUMP"/>
      <sheetName val="AN 2000"/>
      <sheetName val="Utilization"/>
      <sheetName val="PREV_RICAVI"/>
      <sheetName val="3.NGAN_SACH"/>
      <sheetName val="2.PHAN_TICH"/>
      <sheetName val="INDEX HẠ TẦNG"/>
      <sheetName val="CTG HẠ TẦNG"/>
      <sheetName val="DGG HẠ TẦNG"/>
      <sheetName val="DGG_LB CỌC"/>
      <sheetName val="DGG_MT CỌC"/>
      <sheetName val="INFO CỌC"/>
      <sheetName val="INDEX CỌC"/>
      <sheetName val="Assignment Schedule"/>
      <sheetName val="D"/>
      <sheetName val="SDDK"/>
      <sheetName val="CTG (GIAM)"/>
      <sheetName val="DETAIL PROGRESS CLAIM"/>
      <sheetName val="TBGIA"/>
      <sheetName val="Bảng dung trọng"/>
      <sheetName val="Tong Luong Thep"/>
      <sheetName val="Kien truc"/>
      <sheetName val="SPL4"/>
      <sheetName val="Du thau dau noi"/>
      <sheetName val="Du Thau"/>
      <sheetName val="Du thau PSBS"/>
      <sheetName val="DG theo HD PSBS"/>
      <sheetName val="Du thau TC11"/>
      <sheetName val="TongHopKL"/>
      <sheetName val="2. Summary-cash"/>
      <sheetName val="Total"/>
      <sheetName val="CDPS SAU KC"/>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Du lieu TKT"/>
      <sheetName val="단면가정"/>
      <sheetName val="SLTh_ke"/>
      <sheetName val="he_so_dong_thoi"/>
      <sheetName val="Thang_01"/>
      <sheetName val="Thống_kê"/>
      <sheetName val="BAN_IN"/>
      <sheetName val="Khoi_luong_kenh_dan"/>
      <sheetName val="Thep_Be_TN(tai_C10)"/>
      <sheetName val="Gia_giao_VL_den_HT"/>
      <sheetName val="THONG_SO_KICH_THUOC"/>
      <sheetName val="CBR"/>
      <sheetName val="Gia "/>
      <sheetName val="Luong TT05"/>
      <sheetName val="bang tien luong"/>
      <sheetName val="01-BM"/>
      <sheetName val="TÍNH TOÁN KHỐI LƯỢNG P6"/>
      <sheetName val="DM_1781"/>
      <sheetName val="DM_228"/>
      <sheetName val="FINANCIAL (FLR)"/>
      <sheetName val="Norm"/>
      <sheetName val="DG-VLIEU"/>
      <sheetName val="Gia HĐ"/>
      <sheetName val="List Danh mục nghiệm thu"/>
      <sheetName val="간접비 총괄표"/>
      <sheetName val="COG"/>
      <sheetName val="merger"/>
      <sheetName val="27850"/>
      <sheetName val="model"/>
      <sheetName val="RESPSP"/>
      <sheetName val="r_vali"/>
      <sheetName val="SNMOI"/>
      <sheetName val="NDK16X20"/>
      <sheetName val="OPY"/>
      <sheetName val="PT-OPY"/>
      <sheetName val="HidePriceList"/>
      <sheetName val="BASE GRAPHE"/>
      <sheetName val="Chiet tinh dz22"/>
      <sheetName val="Phan tich don gia de xuat - cau"/>
      <sheetName val="토공분석표"/>
      <sheetName val="Vat lieu cat song rac"/>
      <sheetName val="TAIKHOAN"/>
      <sheetName val="GIA THEP"/>
      <sheetName val="Hoi gia"/>
      <sheetName val="Window Door schedule"/>
      <sheetName val="을"/>
      <sheetName val="2.1 NonVessel"/>
      <sheetName val="Modification Cost"/>
      <sheetName val="Fuel"/>
      <sheetName val="1 Max Base - Cost_rep_base"/>
      <sheetName val="Rates2011"/>
      <sheetName val="2 NonVessel"/>
      <sheetName val="MWBSpread"/>
      <sheetName val="Cable Data"/>
      <sheetName val="CBL01"/>
      <sheetName val="DB FEE"/>
      <sheetName val="BHYT Tự Nguyện - Vinschool-Mau "/>
      <sheetName val="Tu dien"/>
      <sheetName val="T.kê"/>
      <sheetName val="sat"/>
      <sheetName val="dulieu cot"/>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ssoi_dieutra"/>
      <sheetName val="DG4970"/>
      <sheetName val="DVao"/>
      <sheetName val="TT35"/>
      <sheetName val="Temp"/>
      <sheetName val="Chuong I"/>
      <sheetName val="unit weight"/>
      <sheetName val="VL-NC-M"/>
      <sheetName val="May Goc (QD2436)"/>
      <sheetName val="VC theo cuoc tinh"/>
      <sheetName val="BCVC ."/>
      <sheetName val="PTCT"/>
      <sheetName val="luong"/>
      <sheetName val="DP TRUOT GIA"/>
      <sheetName val="VL-NC-M."/>
      <sheetName val="VH"/>
      <sheetName val="bang 1 NCXD"/>
      <sheetName val="bang 1 NCXD (V.I)"/>
      <sheetName val="dg_tonghop"/>
      <sheetName val="DG THIET BI"/>
      <sheetName val="DG vat lieu"/>
      <sheetName val="Loại 2"/>
      <sheetName val="dm7606tba"/>
      <sheetName val="Chi tiet VL-NC-MTC"/>
      <sheetName val="Du thau 03xd"/>
      <sheetName val="Đơn trọng"/>
      <sheetName val="DTCT -XL.4"/>
      <sheetName val="FD"/>
      <sheetName val="EE (3)"/>
      <sheetName val="PAVEMENT"/>
      <sheetName val="TRAFFIC"/>
      <sheetName val="Beam _2_"/>
      <sheetName val="TS_Rep"/>
      <sheetName val="mep"/>
      <sheetName val="VL+NC+M"/>
      <sheetName val="TOT"/>
      <sheetName val="D.Trong"/>
      <sheetName val="PPT"/>
      <sheetName val="PTCM"/>
      <sheetName val="1651-2008"/>
      <sheetName val="DZ 35"/>
      <sheetName val="Cto"/>
      <sheetName val="VL.NC.M"/>
      <sheetName val="BK04"/>
      <sheetName val="BQD"/>
      <sheetName val="Tra Cứu"/>
      <sheetName val="Ban Qua do"/>
      <sheetName val="Dự kiến SL-NT 2013"/>
      <sheetName val="SL.HM-T1.2014"/>
      <sheetName val="A1.8"/>
      <sheetName val="Ntt_Form"/>
      <sheetName val="DGChung"/>
      <sheetName val="TT 16-2019"/>
      <sheetName val="SUMMARY QUANTITIES"/>
      <sheetName val="Data Summary"/>
      <sheetName val="Export Estimate_BASE_MDOC_2008"/>
      <sheetName val="Price Summary"/>
      <sheetName val="DA01.HD-List"/>
      <sheetName val="DM01.CDT"/>
      <sheetName val="DM02.NT"/>
      <sheetName val="NT01.HD-List"/>
      <sheetName val="PHÁT_SINH_TẦNG_290"/>
      <sheetName val="CẤP_THO_x0000__x0000__x0000__x0000__x0000__x0000__x0000_"/>
      <sheetName val="BILL 34Āᐁë_x0000__x0000__x0001_"/>
      <sheetName val="Renf_flat_center"/>
      <sheetName val="HEADER &amp; NOZZLES"/>
      <sheetName val="Noise (3)"/>
      <sheetName val="Estimation of splitter length"/>
      <sheetName val="Radiation (6)"/>
      <sheetName val="Material for Silencers (8)"/>
      <sheetName val="Rates"/>
      <sheetName val="Input (1)"/>
      <sheetName val="finishing"/>
      <sheetName val="DL1"/>
      <sheetName val="DL2"/>
      <sheetName val="MHSCT"/>
      <sheetName val="B-B"/>
      <sheetName val="Analysis"/>
      <sheetName val="C-C"/>
      <sheetName val="D-D"/>
      <sheetName val="Varible"/>
      <sheetName val="Competitors"/>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Thong tin DA"/>
      <sheetName val="TH_DZ3518"/>
      <sheetName val="Tro_giup29"/>
      <sheetName val="RAB_AR&amp;STR16"/>
      <sheetName val="chi_tiet_TBA16"/>
      <sheetName val="chi_tiet_C16"/>
      <sheetName val="Customize_Your_Purchase_Order16"/>
      <sheetName val="CHITIET_VL-NC-TT_-1p16"/>
      <sheetName val="CHITIET_VL-NC-TT-3p15"/>
      <sheetName val="TONG_HOP_VL-NC_TT16"/>
      <sheetName val="KPVC-BD_16"/>
      <sheetName val="Don_gia16"/>
      <sheetName val="DON_GIA_TRAM_(3)16"/>
      <sheetName val="DON_GIA_CAN_THO18"/>
      <sheetName val="Don_gia_chi_tiet16"/>
      <sheetName val="HĐ_ngoài15"/>
      <sheetName val="XT_Buoc_315"/>
      <sheetName val="dongia_(2)15"/>
      <sheetName val="7606_DZ16"/>
      <sheetName val="project_management15"/>
      <sheetName val="Adix_A15"/>
      <sheetName val="S-curve_15"/>
      <sheetName val="REINF_15"/>
      <sheetName val="Rates_200915"/>
      <sheetName val="So_doi_chieu_LC15"/>
      <sheetName val="MAIN_GATE_HOUSE15"/>
      <sheetName val="Commercial_value15"/>
      <sheetName val="Du_toan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MH_RATE15"/>
      <sheetName val="TONG_HOP_VL-NC15"/>
      <sheetName val="Bang_KL15"/>
      <sheetName val="Đầu_vào14"/>
      <sheetName val="Lcau_-_Lxuc15"/>
      <sheetName val="Chi_tiet_XD_TBA14"/>
      <sheetName val="DM_606115"/>
      <sheetName val="DG_thep_ma_kem15"/>
      <sheetName val="CT_vat_lieu15"/>
      <sheetName val="Equip_14"/>
      <sheetName val="A1_CN14"/>
      <sheetName val="TONG_HOP_T5_199814"/>
      <sheetName val="Chenh_lech_vat_tu14"/>
      <sheetName val="Trạm_biến_áp14"/>
      <sheetName val="Đơn_Giá_14"/>
      <sheetName val="Diện_tích14"/>
      <sheetName val="1_Khái_toán14"/>
      <sheetName val="CT-0_4KV14"/>
      <sheetName val="DG_DZ15"/>
      <sheetName val="DG_TBA15"/>
      <sheetName val="rate_material14"/>
      <sheetName val="KL_Chi_tiết_Xây_tô14"/>
      <sheetName val="07Base_Cost14"/>
      <sheetName val="GV1-D13_(Casement_door)14"/>
      <sheetName val="Bill_1_Quy_dinh_chung14"/>
      <sheetName val="1_R18_BF14"/>
      <sheetName val="6_External_works-R1814"/>
      <sheetName val="Phan_khai_KLuong14"/>
      <sheetName val="Chi_tiet_KL14"/>
      <sheetName val="Tổng_hợp_KL14"/>
      <sheetName val="04_-_XUONG_DET_B14"/>
      <sheetName val="_0314"/>
      <sheetName val="chieu_day_san14"/>
      <sheetName val="Podium_Concrete_Works14"/>
      <sheetName val="KLCT-_TOWER14"/>
      <sheetName val="KLCT-_PODIUM14"/>
      <sheetName val="Area_Cal14"/>
      <sheetName val="Gia_thanh_chuoi_su14"/>
      <sheetName val="Tiep_dia14"/>
      <sheetName val="Don_gia_vung_III-Can_Tho14"/>
      <sheetName val="Loại_Vật_tư14"/>
      <sheetName val="Elect_(3)14"/>
      <sheetName val="plan&amp;section_of_foundation14"/>
      <sheetName val="design_criteria14"/>
      <sheetName val="Bond_수수료_계산_포맷14"/>
      <sheetName val="ITB_COST14"/>
      <sheetName val="PAGE_114"/>
      <sheetName val="Xay_lapduongR314"/>
      <sheetName val="DM_6714"/>
      <sheetName val="Project_Data14"/>
      <sheetName val="6787CWFASE2CASE2_00_xls14"/>
      <sheetName val="Đầu_tư14"/>
      <sheetName val="EIRR&gt;_2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dg_tphcm14"/>
      <sheetName val="T_KÊ_K_CẤU14"/>
      <sheetName val="gia_cong_tac14"/>
      <sheetName val="4_PTDG14"/>
      <sheetName val="A1,_May14"/>
      <sheetName val="Vat_lieu14"/>
      <sheetName val="Data_Input15"/>
      <sheetName val="Measure_130614"/>
      <sheetName val="HÐ_ngoài15"/>
      <sheetName val="6PILE__(돌출)14"/>
      <sheetName val="Bill_01_-_CTN14"/>
      <sheetName val="Bill_2_2_Villa_2_beds14"/>
      <sheetName val="Analisa_Gabungan14"/>
      <sheetName val="Isolasi_Luar_Dalam14"/>
      <sheetName val="Isolasi_Luar14"/>
      <sheetName val="Harga_ME_14"/>
      <sheetName val="TH_N_Cong14"/>
      <sheetName val="ESTI_14"/>
      <sheetName val="KL_san_lap14"/>
      <sheetName val="TH_Vat_tu14"/>
      <sheetName val="_Bill_5-Earthing_2_-_Add_Work14"/>
      <sheetName val="Chenh_lech_ca_may14"/>
      <sheetName val="TLg_CN&amp;Laixe14"/>
      <sheetName val="TLg_CN&amp;Laixe_(2)14"/>
      <sheetName val="TLg_Laitau14"/>
      <sheetName val="TLg_Laitau_(2)14"/>
      <sheetName val="Bang_trong_luong_rieng_thep14"/>
      <sheetName val="Cước_VC_+_ĐM_CP_Tư_vấn14"/>
      <sheetName val="Hệ_số14"/>
      <sheetName val="DETAIL_14"/>
      <sheetName val="final_list_200530"/>
      <sheetName val="LV_data14"/>
      <sheetName val="Gia_vat_tu14"/>
      <sheetName val="CẤP_THOÁT_NƯỚC14"/>
      <sheetName val="THDT_goi_thau_TB14"/>
      <sheetName val="Tien_do_TV14"/>
      <sheetName val="bridge_#_114"/>
      <sheetName val="Bang_3_Chi_tiet_phan_Dz14"/>
      <sheetName val="KHOI_LUONG14"/>
      <sheetName val="TH_MTC14"/>
      <sheetName val="CTKL_KTX_HT13"/>
      <sheetName val="Buy_vs__Lease_Car14"/>
      <sheetName val="DATA_BASE14"/>
      <sheetName val="Equipment_list_(PAC)14"/>
      <sheetName val="TINH_KHOI_LUONG14"/>
      <sheetName val="Chi_tiet14"/>
      <sheetName val="subcon_sched14"/>
      <sheetName val="NHÀ_NHẬP_LIỆU13"/>
      <sheetName val="MÓNG_SILO13"/>
      <sheetName val="PRE_(E)14"/>
      <sheetName val="HVAC_BLOCK_B414"/>
      <sheetName val="2_Chiet_tinh13"/>
      <sheetName val="BẢNG_KHỐI_LƯỢNG_TỔNG_HỢP13"/>
      <sheetName val="CP_Khac_cuoc_VC13"/>
      <sheetName val="Budget_Code13"/>
      <sheetName val="Tong_du_toan13"/>
      <sheetName val="Bill_2_-_ketcau13"/>
      <sheetName val="Chi_tiet_lan_can13"/>
      <sheetName val="13-Cốt_thép_(10mm&lt;D≤18mm)_FO113"/>
      <sheetName val="du_lieu_du_toan13"/>
      <sheetName val="BOQ_THAN13"/>
      <sheetName val="DL_ĐẦU_VÀO13"/>
      <sheetName val="Purchase_Order13"/>
      <sheetName val="D_&amp;_W_sizes13"/>
      <sheetName val="Analisa_&amp;_Upah13"/>
      <sheetName val="Du_lieu14"/>
      <sheetName val="Phan_tich13"/>
      <sheetName val="Luong_NII13"/>
      <sheetName val="DINH_MUC_THI_NGHIEM13"/>
      <sheetName val="Luong_NI13"/>
      <sheetName val="CT_Thang_Mo13"/>
      <sheetName val="CT__PL13"/>
      <sheetName val="cash_budget13"/>
      <sheetName val="dongia__2_13"/>
      <sheetName val="GOC-KO_IN13"/>
      <sheetName val="MAU_8A13"/>
      <sheetName val="MAU_8B13"/>
      <sheetName val="MAU_913"/>
      <sheetName val="MAU_1013"/>
      <sheetName val="Thép_CKN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VC_xd11"/>
      <sheetName val="Gia_VLTB11"/>
      <sheetName val="B_Luong11"/>
      <sheetName val="C_May11"/>
      <sheetName val="Dlieu_dau_vao13"/>
      <sheetName val="Income_Statement13"/>
      <sheetName val="Shareholders'_Equity13"/>
      <sheetName val="BANCO_(2)13"/>
      <sheetName val="MT_DPin_(2)13"/>
      <sheetName val="02__PTDG13"/>
      <sheetName val="Chiết_tính13"/>
      <sheetName val="TB_NẶNG11"/>
      <sheetName val="Du_tru_CP-Bieu_0111"/>
      <sheetName val="Don_gia_(khong_in)13"/>
      <sheetName val="DK1_Don_gia13"/>
      <sheetName val="1_MONG_1-213"/>
      <sheetName val="THEP_TAM11"/>
      <sheetName val="THEP_HÌNH11"/>
      <sheetName val="THEP_HINH11"/>
      <sheetName val="XA_GO11"/>
      <sheetName val="BANG_TRA11"/>
      <sheetName val="wk_prgs11"/>
      <sheetName val="Ma_don_vi11"/>
      <sheetName val="bang_cc11"/>
      <sheetName val="dm_36611"/>
      <sheetName val="DM_606011"/>
      <sheetName val="Dự_thầu11"/>
      <sheetName val="Nhap_VT_oto11"/>
      <sheetName val="Hao_phí11"/>
      <sheetName val="Structure_data11"/>
      <sheetName val="đọc_số11"/>
      <sheetName val="Bill_No_3_-_Prov__Sum_(Ph2&amp;3)11"/>
      <sheetName val="TH_TN11"/>
      <sheetName val="CP_Du_phong11"/>
      <sheetName val="THCP_Lap_dat11"/>
      <sheetName val="THCP_xay_dung11"/>
      <sheetName val="Tong_hop_kinh_phi11"/>
      <sheetName val="Dự_toán11"/>
      <sheetName val="Đơn_Giá_TH11"/>
      <sheetName val="Nhân_công11"/>
      <sheetName val="Phân_tích11"/>
      <sheetName val="C_P_Thiết_bị11"/>
      <sheetName val="T_H_Kinh_phí11"/>
      <sheetName val="Vật_tư11"/>
      <sheetName val="Trang_bìa11"/>
      <sheetName val="Don_gia_chi_tiet_DIEN_210"/>
      <sheetName val="Data_Wall11"/>
      <sheetName val="2_1Warehouse_111"/>
      <sheetName val="AG_Pipe_Qty_Analysis11"/>
      <sheetName val="Main_Bldg-Rev0211"/>
      <sheetName val="D&amp;W_def_11"/>
      <sheetName val="Nhan_cong11"/>
      <sheetName val="Thiet_bi11"/>
      <sheetName val="Vat_tu11"/>
      <sheetName val="DM_ChiPhi11"/>
      <sheetName val="May_TC11"/>
      <sheetName val="TH_Kinh_phi11"/>
      <sheetName val="Ptvl_11"/>
      <sheetName val="Ｎｏ_1311"/>
      <sheetName val="DGchitiet_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CHI_PHI11"/>
      <sheetName val="TK_chi_tiet11"/>
      <sheetName val="Bill_2-Road_HR211"/>
      <sheetName val="Bill_3_-_Softscape_HR211"/>
      <sheetName val="CĂN_HỘ_T16-17_11"/>
      <sheetName val="TRỤC_ĐỨNG_THOÁT_BẨN_T15-1711"/>
      <sheetName val="TRỤC_ĐỨNG_TM_T15-1711"/>
      <sheetName val="Móng,_nền_11"/>
      <sheetName val="1_Requisition(E)11"/>
      <sheetName val="TONG_HOP11"/>
      <sheetName val="Tổng_GT11"/>
      <sheetName val="Chi_tiết_KL11"/>
      <sheetName val="khấu_trừ_phạt11"/>
      <sheetName val="GT__KHAU_TRU11"/>
      <sheetName val="HAO_HUT_VAT_TU_(2)11"/>
      <sheetName val="cao_độ11"/>
      <sheetName val="phan_tic_chi_tiet11"/>
      <sheetName val="DG_142610"/>
      <sheetName val="Theo_doi_Doanh_thu_201710"/>
      <sheetName val="KL_THEP__GIAM_DO_DUNG_COUPLER10"/>
      <sheetName val="01_KL_THÉP_NHẬP_VỀ10"/>
      <sheetName val="2__NT_VLDV10"/>
      <sheetName val="GHI_CHU10"/>
      <sheetName val="1_BB_LMHT10"/>
      <sheetName val="gui_BKCT10"/>
      <sheetName val="Gia_vat_lieu10"/>
      <sheetName val="Precios_unitarios_AXH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MB_DT_029"/>
      <sheetName val="Chi_tiet_-tong_9_thang10"/>
      <sheetName val="3__CNT10"/>
      <sheetName val="unit_price_list(M)10"/>
      <sheetName val="So_lieu_chung10"/>
      <sheetName val="TH_VL,_NC,_DDHT_Thanhphuoc10"/>
      <sheetName val="BẢNG_ÁP_GIÁ_(in)10"/>
      <sheetName val="NT_(KL)_IN10"/>
      <sheetName val="DOM_D210"/>
      <sheetName val="nhà_ăn10"/>
      <sheetName val="Công_nhật10"/>
      <sheetName val="btkt_cột10"/>
      <sheetName val="Bê_tông_bảo_vệ10"/>
      <sheetName val="01__Data10"/>
      <sheetName val="Neo,_nối_cốt_thép_dầm,_cột10"/>
      <sheetName val="Uốn_móc_cốt_thép10"/>
      <sheetName val="Tiêu_chuẩn_cốt_thép10"/>
      <sheetName val="Doi_so10"/>
      <sheetName val="1_2_Staff_Schedule10"/>
      <sheetName val="0__Input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MTO_REV_2(ARMOR)10"/>
      <sheetName val="Cotthep_NPT10"/>
      <sheetName val="vl_nc_mtc10"/>
      <sheetName val="Heso_DZ10"/>
      <sheetName val="DM_336cai_tao10"/>
      <sheetName val="DG_BINH_THUAN10"/>
      <sheetName val="Tien_Thuong10"/>
      <sheetName val="NC_XL_6T_cuoi_01_CTy10"/>
      <sheetName val="Data_-6T_dau10"/>
      <sheetName val="Cong_6T10"/>
      <sheetName val="KL_thep_lam_sat10"/>
      <sheetName val="B3A_-_TOWER_A10"/>
      <sheetName val="Annex_B10"/>
      <sheetName val="Bill_Prelim-CDT10"/>
      <sheetName val="Bill_BPTC-CDT10"/>
      <sheetName val="Chi_tiết_BPTC10"/>
      <sheetName val="Bill_BPTC-CDT_(PA_MCT_CDT)10"/>
      <sheetName val="Chi_tiết_BPTC_(PA_MCT_CDT)10"/>
      <sheetName val="1_Civil_(Org)10"/>
      <sheetName val="DM-VNT_ko_sd10"/>
      <sheetName val="Bảng_đo_bóc_KL_OLK-0910"/>
      <sheetName val="6_3_CHI_TIET_OLK-0910"/>
      <sheetName val="1__Office10"/>
      <sheetName val="KHOI_LUONG15-410"/>
      <sheetName val="Tong_hop_vat_tu10"/>
      <sheetName val="1_San_10"/>
      <sheetName val="TLG_Type10"/>
      <sheetName val="Dgia_vat_tu10"/>
      <sheetName val="Don_gia_III10"/>
      <sheetName val="D÷_liÖu10"/>
      <sheetName val="Dot_4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HRG_BHN10"/>
      <sheetName val="CĂN_ĐH10"/>
      <sheetName val="Chi_phi_van_chuyen10"/>
      <sheetName val="TH_các_CC10"/>
      <sheetName val="Div26_-_Elect10"/>
      <sheetName val="7_Khau_tru_10"/>
      <sheetName val="Q_A01_2-Sh10"/>
      <sheetName val="4_CĂN10"/>
      <sheetName val="2_CDPS10"/>
      <sheetName val="Don_gia_NC10"/>
      <sheetName val="DT_hợp_đồng9"/>
      <sheetName val="Bảng_KL_đợt_19"/>
      <sheetName val="Danh_mục9"/>
      <sheetName val="Bieu_gia_HD9"/>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BTK-Dai_Hoc_Kien_Giang9"/>
      <sheetName val="PV_Graph_Data9"/>
      <sheetName val="doanh_thu9"/>
      <sheetName val="Dutoan_KL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2__(DPP)10"/>
      <sheetName val="Huong_dan9"/>
      <sheetName val="gia_vt,nc,may9"/>
      <sheetName val="5_2_1_Đo_bóc_KL_OLK-069"/>
      <sheetName val="Financ__Overview9"/>
      <sheetName val="TINH_GIA_-_SAN_XUAT_Vertico9"/>
      <sheetName val="13_BANG_CT9"/>
      <sheetName val="14_MMUS_GIUA_NHIP9"/>
      <sheetName val="4_HSPBngang9"/>
      <sheetName val="6_Tinh_tai9"/>
      <sheetName val="2_NSl9"/>
      <sheetName val="17_US_CHU_tho_a_b9"/>
      <sheetName val="15_MMUS_GOI9"/>
      <sheetName val="Tổng_hợp_KPHM9"/>
      <sheetName val="Dinh_muc9"/>
      <sheetName val="DZ_22KV9"/>
      <sheetName val="GIÁ_DỰ_THẦU_30_CĂ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KS_tuyen9"/>
      <sheetName val="Bang_chiet_tinh_TBA9"/>
      <sheetName val="4_2_1_Đo_bóc_KL_OLK-069"/>
      <sheetName val="4_1_1_CHI_TIET_OLK-069"/>
      <sheetName val="DG_Chi_tiet9"/>
      <sheetName val="_1710_HOINGHINLD9"/>
      <sheetName val="99_(2)9"/>
      <sheetName val="134_9"/>
      <sheetName val="DG_49709"/>
      <sheetName val="Cash_Flow9"/>
      <sheetName val="BU_LONG9"/>
      <sheetName val="DT__NHA_XUONG9"/>
      <sheetName val="EQUIP_LIST9"/>
      <sheetName val="THONG_SO9"/>
      <sheetName val="Đơn_giá_chi_tiết_TN_39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Electrical_Works9"/>
      <sheetName val="H_T__INCOMING_SYSTEM9"/>
      <sheetName val="Tính_giá_NC9"/>
      <sheetName val="Tiên_lượng9"/>
      <sheetName val="SL_cước9"/>
      <sheetName val="¥_9"/>
      <sheetName val="Gia_VT-TB9"/>
      <sheetName val="noi_suy_xa9"/>
      <sheetName val="noi_suy_xa_thu_hoi9"/>
      <sheetName val="Thuyết_minh9"/>
      <sheetName val="Đơn_giá_máy9"/>
      <sheetName val="Tong_DT8"/>
      <sheetName val="phan_tich_don_gia8"/>
      <sheetName val="Bill_No_1_69"/>
      <sheetName val="Bill_No_1_109"/>
      <sheetName val="Bill_No_3_39"/>
      <sheetName val="Bill_No_1_49"/>
      <sheetName val="Bill_No_1_79"/>
      <sheetName val="Summary_Bill_No__39"/>
      <sheetName val="Unit_price8"/>
      <sheetName val="Chiet_tinh_dz358"/>
      <sheetName val="DT_san_XD-So_lieu_cu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án_đợt_1_trang8"/>
      <sheetName val="3__KC_-_PODIUM8"/>
      <sheetName val="CTDZ6kv_(gd1)_8"/>
      <sheetName val="CTDZ_0_4+cto_(GD1)8"/>
      <sheetName val="CTTBA_(gd1)8"/>
      <sheetName val="03_Detailed8"/>
      <sheetName val="01_Bid_Price_summary8"/>
      <sheetName val="Home_Office_Manhours8"/>
      <sheetName val="Field_SPV_Barchart8"/>
      <sheetName val="Tien_Luong8"/>
      <sheetName val="Unit_price(Updateting)8"/>
      <sheetName val="Cost_List8"/>
      <sheetName val="Detail_Cost8"/>
      <sheetName val="IC_Price_New8"/>
      <sheetName val="Summary_Table8"/>
      <sheetName val="Sales_Person8"/>
      <sheetName val="Bidding_Entity8"/>
      <sheetName val="CHITIET_VL-NCHT1_(2)8"/>
      <sheetName val="Bù_giá_CM8"/>
      <sheetName val="Breakdown_(B)8"/>
      <sheetName val="U_P_Breakdown8"/>
      <sheetName val="IMF_Code8"/>
      <sheetName val="Subsidiary_Calculation8"/>
      <sheetName val="Phu_Bai_Bridge8"/>
      <sheetName val="5_2_1_Đo_bóc_KL_OLK-108"/>
      <sheetName val="BẢNG_DIỄN_GIẢI_KL_(7)8"/>
      <sheetName val="don_gia_14268"/>
      <sheetName val="Luong_BN8"/>
      <sheetName val="Luong_TB8"/>
      <sheetName val="Ca_may_TB8"/>
      <sheetName val="Ca_máy_BN8"/>
      <sheetName val="Vật_liệu8"/>
      <sheetName val="LX_-TT058"/>
      <sheetName val="NC_Moi_TT058"/>
      <sheetName val="Bia_lot8"/>
      <sheetName val="Chu_dau_tu4"/>
      <sheetName val="Cau_tao_gia_xay_to4"/>
      <sheetName val="THÔNG_TIN4"/>
      <sheetName val="THPDMoi__(2)4"/>
      <sheetName val="t-h_HA_THE4"/>
      <sheetName val="TH_XL4"/>
      <sheetName val="CHITIET_VL-NC4"/>
      <sheetName val="Wall Pier"/>
      <sheetName val="p2-1"/>
      <sheetName val="BSD (2)"/>
      <sheetName val="AUTOMATIC SELECT"/>
      <sheetName val="U.P List"/>
      <sheetName val="TinhToan"/>
      <sheetName val="accom cash"/>
      <sheetName val="Du toan XD"/>
      <sheetName val="DGCT_TRẦN_NLW7"/>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DG_VL_KS"/>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dgctqn"/>
      <sheetName val="정부노임단가"/>
      <sheetName val="factory area"/>
      <sheetName val="Floor area"/>
      <sheetName val="V.c noi bo"/>
      <sheetName val="質疑回答書"/>
      <sheetName val="5201.2004"/>
      <sheetName val="sub struc-Omission"/>
      <sheetName val="SUMMARY "/>
      <sheetName val="General_Item&amp;General_Requireme@"/>
      <sheetName val="MVT"/>
      <sheetName val="MÁY_PHÁT_x0000__x0000__x0000__x0000_N1"/>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분석"/>
      <sheetName val="wall"/>
      <sheetName val="Door_and_window8"/>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w't_table3"/>
      <sheetName val="Tru_TT3"/>
      <sheetName val="Thg_043"/>
      <sheetName val="Thg_053"/>
      <sheetName val="Thg_063"/>
      <sheetName val="Thg_073"/>
      <sheetName val="Thg_083"/>
      <sheetName val="Thg_093"/>
      <sheetName val="Thg_103"/>
      <sheetName val="Thg_113"/>
      <sheetName val="Thg_123"/>
      <sheetName val="DM_DU_AN3"/>
      <sheetName val="DM_TP_3"/>
      <sheetName val="File_Chi_tiet3"/>
      <sheetName val="Currency_Rate3"/>
      <sheetName val="Probbl_-_Production3"/>
      <sheetName val="Danh_mục_khối3"/>
      <sheetName val="Danh_mục_đơn_vị_-phòng_chức_nă3"/>
      <sheetName val="CHI_PHÍ_NHÔM3"/>
      <sheetName val="BILL_34Āᐁë3"/>
      <sheetName val="Dashboard_-_BQL_-_VHL3"/>
      <sheetName val="KEILA_TP_2020-073"/>
      <sheetName val="CFA_(ME)3"/>
      <sheetName val="MEP_Building3"/>
      <sheetName val="BOM-13_11-Other(PS1+PS2)3"/>
      <sheetName val="2__BBNT_KLHT3"/>
      <sheetName val="Dinh_Muc_Vat_Tu3"/>
      <sheetName val="mã_3"/>
      <sheetName val="CHITIET_VL-NC-TT1p3"/>
      <sheetName val="TH_khoi_luong3"/>
      <sheetName val="Chi_tiet_khoi_luong3"/>
      <sheetName val="TK_thep3"/>
      <sheetName val="CT_THOÁT_WC_VP3"/>
      <sheetName val="CT_CẤP_WC_VP3"/>
      <sheetName val="CT_THOÁT_MƯA_VP_TRỤC_LỚN3"/>
      <sheetName val="CT_THOÁT_MƯA_VP_TRỤC_NHỎ3"/>
      <sheetName val="NHOM_KINH2"/>
      <sheetName val="LUONG_SCL3"/>
      <sheetName val="Service_Cost_2"/>
      <sheetName val="Don_gia_Tay_Ninh2"/>
      <sheetName val="Don_gia_Dak_Lak2"/>
      <sheetName val="streeta_and_cacth_pit2"/>
      <sheetName val="Daf_12"/>
      <sheetName val="Share_Price_20022"/>
      <sheetName val="Auto_Monthly_Inputs_1"/>
      <sheetName val="Gia_NC_theo_TT051"/>
      <sheetName val="Land_Dev't__Ph-11"/>
      <sheetName val="Hac_Lots1"/>
      <sheetName val="4-Lane_bridge1"/>
      <sheetName val="Res_Lots1"/>
      <sheetName val="Spine_Road1"/>
      <sheetName val="Nhập_liệu1"/>
      <sheetName val="Chênh_lệch_máy_thi_công2"/>
      <sheetName val="Chênh_lệch_nhân_công2"/>
      <sheetName val="Chênh_lệch_vật_liệu2"/>
      <sheetName val="Chao_gia_T12_RE2"/>
      <sheetName val="Don_gia_XD2"/>
      <sheetName val="DSV6_Summ1"/>
      <sheetName val="Luong_(TP_Việt_Trì)1"/>
      <sheetName val="Bill_21"/>
      <sheetName val="Bill_31"/>
      <sheetName val="Bill_4a_-_1A1"/>
      <sheetName val="Bill_4a_(Fiber)_-_1A1"/>
      <sheetName val="Bill_4b1"/>
      <sheetName val="Bill_4c1"/>
      <sheetName val="Bill_51"/>
      <sheetName val="Bill_4a_-_1B1"/>
      <sheetName val="Bill_4a_(Fiber)_-_1B1"/>
      <sheetName val="DO_AM_DT1"/>
      <sheetName val="Elemental_Breakdown+20%1"/>
      <sheetName val="Boc_KL_DAT+CAT+BT1"/>
      <sheetName val="Boc_KL_thép1"/>
      <sheetName val="Bieu_do_nhan_luc1"/>
      <sheetName val="PHẦN_KIẾN_TRÚC1"/>
      <sheetName val="DGKL_TRỤC_NGOAI_NHA1"/>
      <sheetName val="Sum_ELE__CAP_S1-4__1"/>
      <sheetName val="5_2_1_Đo_bóc_KL_OLK-071"/>
      <sheetName val="Bank_Rev1"/>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0_Data1"/>
      <sheetName val="0_Data_new1"/>
      <sheetName val="Aging_Sept2"/>
      <sheetName val="6__Scope_of_work_1"/>
      <sheetName val="4_6_Phân_tích_nhân_sự_1"/>
      <sheetName val="4_5_Mức_độ_tham_gia_dự_án1"/>
      <sheetName val="CONSOIDATE_41"/>
      <sheetName val="CONSOIDATE_21"/>
      <sheetName val="Dai_tu1"/>
      <sheetName val="01__Nha_xuong1"/>
      <sheetName val="Committed_Items1"/>
      <sheetName val="Corner_Arch1"/>
      <sheetName val="End_Arch1"/>
      <sheetName val="Intermediate_Arch1"/>
      <sheetName val="reinforcement_6751"/>
      <sheetName val="ext_wall_fin_qty1"/>
      <sheetName val="SL_Plum_1"/>
      <sheetName val="Physical_Schedule_3D1"/>
      <sheetName val="Hrg_Readymix1"/>
      <sheetName val="Define_finishing1"/>
      <sheetName val="Cuoc_1"/>
      <sheetName val="gia_chao1"/>
      <sheetName val="Vat_lieu_BTN1"/>
      <sheetName val="Input_-_Facilities1"/>
      <sheetName val="BP_CAPEX_MoD-100%_Area_4_USD1"/>
      <sheetName val="So_sanh_gia1"/>
      <sheetName val="Luong_2622EVN1"/>
      <sheetName val="0,SO_LIEU_DAU_VAO1"/>
      <sheetName val="NC_CU1"/>
      <sheetName val="MTO_REV_01"/>
      <sheetName val="02__PHAN_TICH1"/>
      <sheetName val="03__NGAN_SACH1"/>
      <sheetName val="입찰내역_발주처_양식"/>
      <sheetName val="Da_xay_dung1"/>
      <sheetName val="Don_vi"/>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Bill_rekap"/>
      <sheetName val="Cash_Flow_bulanan"/>
      <sheetName val="Ca_may"/>
      <sheetName val="GIA_NC,_CM"/>
      <sheetName val="GIA_VL"/>
      <sheetName val="13_Luong"/>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CươcVC_tinh"/>
      <sheetName val="KL_CHI_TIẾT_(2)"/>
      <sheetName val="Loại_cọc_P2"/>
      <sheetName val="5_Gia"/>
      <sheetName val="CP_NC-MTC_XD"/>
      <sheetName val="Danh_sach_KV2"/>
      <sheetName val="Danh_sach_doan_KT"/>
      <sheetName val="bar_nor"/>
      <sheetName val="conc_nor"/>
      <sheetName val="conc_frus"/>
      <sheetName val="conc_trap"/>
      <sheetName val="bar_frus"/>
      <sheetName val="bar_trap"/>
      <sheetName val="Don_gia_vung_III"/>
      <sheetName val="Don_gia_III11"/>
      <sheetName val="Don_gia_CT"/>
      <sheetName val="ĐM4970_2016(Lap_dat_TBA)"/>
      <sheetName val="Gia_Nhan_công"/>
      <sheetName val="Đon_gia_228_sua_chua"/>
      <sheetName val="ĐM01_2000(thinghiem_ĐZTTĐL)"/>
      <sheetName val="ĐM1781_2007(T_N_đien_ĐZ&amp;TBA)"/>
      <sheetName val="Cuoc_van_chuyen"/>
      <sheetName val="Gia_HĐ"/>
      <sheetName val="Piano_Montaggio_PO-02_bozza2"/>
      <sheetName val="List_Danh_mục_nghiệm_thu"/>
      <sheetName val="Luong_TT05"/>
      <sheetName val="Danhsach_12"/>
      <sheetName val="PLHD_doi_cot_ham_0101-04"/>
      <sheetName val="unit_weight"/>
      <sheetName val="Beam_reinfocement_schedule"/>
      <sheetName val="Thong_so_dam"/>
      <sheetName val="Wall_Block_C"/>
      <sheetName val="General_Schedule"/>
      <sheetName val="Factor_F_Data"/>
      <sheetName val="bang_1_NCXD"/>
      <sheetName val="bang_1_NCXD_(V_I)"/>
      <sheetName val="3_공통공사대비"/>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Ctiet Cthe"/>
      <sheetName val="khongin"/>
      <sheetName val="TK22kV"/>
      <sheetName val="Chung"/>
      <sheetName val="cPanel"/>
      <sheetName val="GC"/>
      <sheetName val="HG_Info"/>
      <sheetName val="Nghỉ lễ"/>
      <sheetName val="Mác"/>
      <sheetName val="QC"/>
      <sheetName val="CO"/>
      <sheetName val="MMTB"/>
      <sheetName val="DGNC"/>
      <sheetName val="F04-CPNC"/>
      <sheetName val="F05-CFVT"/>
      <sheetName val="VLP"/>
      <sheetName val="Main Model"/>
      <sheetName val="Totals"/>
      <sheetName val="FInput"/>
      <sheetName val="extruder"/>
      <sheetName val="Sheet10"/>
      <sheetName val="Sheet19"/>
      <sheetName val="Sheet16"/>
      <sheetName val="Sheet6"/>
      <sheetName val="Sheet5"/>
      <sheetName val="Sheet11"/>
      <sheetName val="Sheet12"/>
      <sheetName val="Tuning SF"/>
      <sheetName val="Anx 10"/>
      <sheetName val="6. Pig walk way (have roof GOC)"/>
      <sheetName val="BANG TONGHOP"/>
      <sheetName val="XZLC003_PART1"/>
      <sheetName val="이토변실(A3-LINE)"/>
      <sheetName val="A(Rev.3)"/>
      <sheetName val="Page 1 - Front Sheet"/>
      <sheetName val="Bangtrachieudaicoc"/>
      <sheetName val="Bar"/>
      <sheetName val="cot_xa"/>
      <sheetName val="IV.1.Lkdt"/>
      <sheetName val="III.2.dah"/>
      <sheetName val="II.2.dn"/>
      <sheetName val="IV.2.Lkdd"/>
      <sheetName val="III.1.tai"/>
      <sheetName val="Du lieu dau vao"/>
      <sheetName val="Đường dây"/>
      <sheetName val="Vị trí"/>
      <sheetName val="Tổng kê"/>
      <sheetName val="NKSC"/>
      <sheetName val="CT bê tông"/>
      <sheetName val="CT trát. láng. sơn bả"/>
      <sheetName val="CT Ván khuôn, cốt thép"/>
      <sheetName val="Dinh Muc VT"/>
      <sheetName val="consilidate"/>
      <sheetName val="Building"/>
      <sheetName val="Bang gia 2011.10.12"/>
      <sheetName val="NK"/>
      <sheetName val="COST"/>
      <sheetName val="PRICE LIST"/>
      <sheetName val="Areas"/>
      <sheetName val="SL.DT 2011so sanh"/>
      <sheetName val="hinhhoc"/>
      <sheetName val="Bang phan tich"/>
      <sheetName val="valeurs de base"/>
      <sheetName val="CK1+CK2_*VS_SAN_CHOI_23)12"/>
      <sheetName val="M 67"/>
      <sheetName val="2-Genset print"/>
      <sheetName val="ALEK"/>
      <sheetName val="Fill this out first___"/>
      <sheetName val="rab me (by owner) "/>
      <sheetName val="BQ (by owner)"/>
      <sheetName val="rab me (fisik)"/>
      <sheetName val="Koefisien"/>
      <sheetName val="BQ-1A"/>
      <sheetName val="Analisa"/>
      <sheetName val="Pag_hal"/>
      <sheetName val="Bunga"/>
      <sheetName val="Summary IP"/>
      <sheetName val="HS Alat"/>
      <sheetName val="HS Upah"/>
      <sheetName val="HS Bahan"/>
      <sheetName val="Hargamat"/>
      <sheetName val="REKAP."/>
      <sheetName val="jadw"/>
      <sheetName val="BLDG_DCI"/>
      <sheetName val="BLDG_MCI"/>
      <sheetName val="DAFTAR HARGA"/>
      <sheetName val="O&amp;O-Alat"/>
      <sheetName val="Daftar Upah"/>
      <sheetName val="XÁC  NHẬN THANH TOÁN"/>
      <sheetName val="XÁC NHẬN GIÁ TRỊ"/>
      <sheetName val="XÁC NHẬN KL"/>
      <sheetName val="Data-SỔ KHO"/>
      <sheetName val="SỔ KHO"/>
      <sheetName val="KL thanh toan-Xuan Dao"/>
      <sheetName val="TEST1"/>
      <sheetName val="Cốt thép"/>
      <sheetName val="MBW"/>
      <sheetName val="Quotation"/>
      <sheetName val="분양가표"/>
      <sheetName val="HAO_HUP_VAT_TU_(2)5"/>
      <sheetName val="Sheet1 (2)"/>
      <sheetName val="Chi Thao"/>
      <sheetName val="M02 TH SP XKGC"/>
      <sheetName val="CIM"/>
      <sheetName val="Tinh toan"/>
      <sheetName val="4. Đo bóc KL"/>
      <sheetName val="DMHHOA"/>
      <sheetName val="Ghi Chú Chung"/>
      <sheetName val="Dinh muc CP KTCB khac"/>
      <sheetName val="TH May TC"/>
      <sheetName val="KLDT DIEN"/>
      <sheetName val="PTVT DIEN"/>
      <sheetName val="Thong ke thiet bi"/>
      <sheetName val="21"/>
      <sheetName val="TEN CONG TRINH"/>
      <sheetName val="DG SUA CHUA"/>
      <sheetName val="DGTBA"/>
      <sheetName val="TAM TINH"/>
      <sheetName val="CPKS_TK"/>
      <sheetName val="DM 1781"/>
      <sheetName val="DM203"/>
      <sheetName val="Giá đến hiện trường"/>
      <sheetName val="DG 285"/>
      <sheetName val="DG  286"/>
      <sheetName val="DG 85"/>
      <sheetName val="DG 89"/>
      <sheetName val="DGVCTC 285"/>
      <sheetName val="M6A-208 Steering dust"/>
      <sheetName val="JT3.0견적-구1"/>
      <sheetName val="DG CANTHO"/>
      <sheetName val="Check C"/>
      <sheetName val="CPTNo"/>
      <sheetName val="Ban QD"/>
      <sheetName val="Xuly Data"/>
      <sheetName val="DAH-2"/>
      <sheetName val="Cst Pkg-Eden"/>
      <sheetName val="Kich thuoc mo M1-nam lay"/>
      <sheetName val="MayTC"/>
      <sheetName val="Dau vào"/>
      <sheetName val="Thông tin chung"/>
      <sheetName val="B1.CN"/>
      <sheetName val="Formula_Code"/>
      <sheetName val="UnitWeight"/>
      <sheetName val="新᐀"/>
      <sheetName val="datamong"/>
      <sheetName val="Đơn giá-NC"/>
      <sheetName val="Đơn giá-VL-CM"/>
      <sheetName val="MD4970"/>
      <sheetName val="Tke"/>
      <sheetName val="KL CHI TIET"/>
      <sheetName val="INPUT1_THONG_TIN_HD"/>
      <sheetName val="DATA_WBS"/>
      <sheetName val="DIV_INC1"/>
      <sheetName val="A1_-_Income_Statement1"/>
      <sheetName val="concil"/>
      <sheetName val="Full 2012"/>
      <sheetName val="PL"/>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Template"/>
      <sheetName val="DSQL"/>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nhat ky "/>
      <sheetName val="CTG BOQ HT"/>
      <sheetName val="Description of Beam"/>
      <sheetName val="EstData"/>
      <sheetName val="DW ok"/>
      <sheetName val="calc_menu_déroulant"/>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G1426NEW"/>
      <sheetName val="MÁY_PHÁTN1"/>
      <sheetName val="surwaterdr"/>
      <sheetName val="JKR66"/>
      <sheetName val="alpha1"/>
      <sheetName val="FF"/>
      <sheetName val="khoiphong"/>
      <sheetName val="1.Staffing"/>
      <sheetName val="TOWN"/>
      <sheetName val="Floor area "/>
      <sheetName val="Binderies"/>
      <sheetName val="Company"/>
      <sheetName val="CDPS"/>
      <sheetName val="Tổng hợp Z"/>
      <sheetName val="Currency Codes"/>
      <sheetName val="Scoping"/>
      <sheetName val="Expectation"/>
      <sheetName val="Variance threshold"/>
      <sheetName val="VIKAR"/>
      <sheetName val="Record CR"/>
      <sheetName val="TB Worksheet"/>
      <sheetName val="營業額"/>
      <sheetName val="Risk Assessment"/>
      <sheetName val="Exhibit 2"/>
      <sheetName val="PU_ITALY_46"/>
      <sheetName val="sales_current_month46"/>
      <sheetName val="View_Variance46"/>
      <sheetName val="Inventory_data46"/>
      <sheetName val="FORECAST_x_FAMILIA43"/>
      <sheetName val="Space_Analysis43"/>
      <sheetName val="CADE_DETAIL19"/>
      <sheetName val="PRB_Expense_Q4_201316"/>
      <sheetName val="P&amp;L_by_Month1"/>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Lương nhân công"/>
      <sheetName val="bdm"/>
      <sheetName val="DGIAVLXD"/>
      <sheetName val="DM6060TBA"/>
      <sheetName val="DM6061DZ"/>
      <sheetName val="Ngay"/>
      <sheetName val="NC THEO QĐ 1396 QĐ-SXD"/>
      <sheetName val="CTdongia"/>
      <sheetName val="S - Sugar production"/>
      <sheetName val="실행기성 갑지"/>
      <sheetName val="242-3 summaryOPC"/>
      <sheetName val="주주명부&lt;끝&gt;"/>
      <sheetName val="GDLQ"/>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Merit_&amp;_Market_Gri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DB_FEE"/>
      <sheetName val="BHYT_Tự_Nguyện_-_Vinschool-Mau_"/>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6_9_DM_CTP"/>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DLC_DIEN_AP"/>
      <sheetName val="SL_dau_tien"/>
      <sheetName val="BASE_GRAPHE"/>
      <sheetName val="ADJ_-_RATE"/>
      <sheetName val="Tonghop_theo_Vendor"/>
      <sheetName val="Tu_dien"/>
      <sheetName val="T_kê"/>
      <sheetName val="dulieu_cot"/>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Sales Seasonality by Month"/>
      <sheetName val="THAM CHIẾU"/>
      <sheetName val="Nhân_cô_x0000_g6"/>
      <sheetName val="Bang luong"/>
      <sheetName val="Sheet1_(2)"/>
      <sheetName val="Chi_Thao"/>
      <sheetName val="Bang_luong"/>
      <sheetName val="2012"/>
      <sheetName val="B30"/>
      <sheetName val="PHU_LUC"/>
      <sheetName val="TONGHOPCHIPHIXAYLAP"/>
      <sheetName val="DGKL L2 THÉP MÓNG"/>
      <sheetName val="Bieu chi tiet gia du thau"/>
      <sheetName val="Gia vat lieu trong gia du thau"/>
      <sheetName val="Bang phan tich don gia du thau"/>
      <sheetName val="Ky bien ban"/>
      <sheetName val="Danh muc NT cong viec"/>
      <sheetName val="Danh muc NT giai doan"/>
      <sheetName val="Danh muc NT vat lieu"/>
      <sheetName val="THCP tu van"/>
      <sheetName val="Categories"/>
      <sheetName val="Ctinh 10kV"/>
      <sheetName val="TCS"/>
      <sheetName val="Nhân_côg6"/>
      <sheetName val="1111"/>
      <sheetName val="AnalisaSIPIL RIIL"/>
      <sheetName val="HDLD"/>
      <sheetName val="1,TMĐT "/>
      <sheetName val="TraBienbao"/>
      <sheetName val="HDTU"/>
      <sheetName val="KTTX"/>
      <sheetName val="DT "/>
      <sheetName val="Gia khoan chi tiet"/>
      <sheetName val="06b-Cau_Lap_Thach-_DGTH"/>
      <sheetName val="KL-HoThu"/>
      <sheetName val="Bảng GCM (TT13) HD"/>
      <sheetName val="May Goc (QD2438)"/>
      <sheetName val="Bảng lương M"/>
      <sheetName val="DLCoso"/>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Tabel_Berat2"/>
      <sheetName val="Data_Umum_Penawaran2"/>
      <sheetName val="Real_Cost2"/>
      <sheetName val="bill_qty2"/>
      <sheetName val="REKAP_ARSITEKTUR_2"/>
      <sheetName val="RAB_ADMINISTRASI_PUSAT_(1)2"/>
      <sheetName val="Chuong_I"/>
      <sheetName val="Kien_truc"/>
      <sheetName val="NC_HY"/>
      <sheetName val="NC_HN"/>
      <sheetName val="DZ_35"/>
      <sheetName val="Chiet_tinh_dz22"/>
      <sheetName val="DG_THIET_BI"/>
      <sheetName val="DG_vat_lieu"/>
      <sheetName val="Loại_2"/>
      <sheetName val="Chi_tiet_VL-NC-MTC"/>
      <sheetName val="A1_8"/>
      <sheetName val="Tra_Cứu"/>
      <sheetName val="DP_TRUOT_GIA"/>
      <sheetName val="VL-NC-M_"/>
      <sheetName val="Assignment_Schedule"/>
      <sheetName val="DTCT_-XL_4"/>
      <sheetName val="Du_thau_dau_noi"/>
      <sheetName val="Du_Thau"/>
      <sheetName val="Du_thau_PSBS"/>
      <sheetName val="DG_theo_HD_PSBS"/>
      <sheetName val="Du_thau_TC11"/>
      <sheetName val="VL_NC_M"/>
      <sheetName val="TT_16-2019"/>
      <sheetName val="Đơn_trọng"/>
      <sheetName val="KL_Chi_tiết_BV_dự_thầu"/>
      <sheetName val="KL_chi_tiết_BV_thi_công"/>
      <sheetName val="3_NGAN_SACH"/>
      <sheetName val="2_PHAN_TICH"/>
      <sheetName val="D_Trong"/>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NC2"/>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Đắp đất K95"/>
      <sheetName val="Phân khai"/>
      <sheetName val="Luong-BT"/>
      <sheetName val="Luong-NT"/>
      <sheetName val="DM TN"/>
      <sheetName val="Danh muc"/>
      <sheetName val="00.List"/>
      <sheetName val="ĐBGT"/>
      <sheetName val="PTKS"/>
      <sheetName val="Don gia LD"/>
      <sheetName val="T.Tinh"/>
      <sheetName val="Lç khoan LK1"/>
      <sheetName val="DAO DAP CONG"/>
      <sheetName val="KL-CHITIET"/>
      <sheetName val="son ke duong"/>
      <sheetName val="for Summary"/>
      <sheetName val="Trường Sơn"/>
      <sheetName val="KLdon vi"/>
      <sheetName val="FUC-01"/>
      <sheetName val="KB"/>
      <sheetName val="DZ 0.4"/>
      <sheetName val="CTDG"/>
      <sheetName val="Girder"/>
      <sheetName val="CSG SXD"/>
      <sheetName val="CTDZ0,4"/>
      <sheetName val="DGVT"/>
      <sheetName val="DG vua BT 269"/>
      <sheetName val="ctdz35"/>
      <sheetName val="DGXDCB_DD"/>
      <sheetName val="Gia_GC_Satthep"/>
      <sheetName val="btraR,f"/>
      <sheetName val="Loading"/>
      <sheetName val="KL11"/>
      <sheetName val="KL12"/>
      <sheetName val="4.0 unit cost-ko in"/>
      <sheetName val="4.DGCT"/>
      <sheetName val="PL08"/>
      <sheetName val="HG"/>
      <sheetName val="Jobs"/>
      <sheetName val="Mốc"/>
      <sheetName val="Weather"/>
      <sheetName val="TH_DZ3519"/>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Nghỉ_lễ"/>
      <sheetName val="Check_C"/>
      <sheetName val="Kich_thuoc_mo_M1-nam_lay"/>
      <sheetName val="Gia_khoan_chi_tiet"/>
      <sheetName val="DA01_HD-List"/>
      <sheetName val="DM01_CDT"/>
      <sheetName val="DM02_NT"/>
      <sheetName val="NT01_HD-List"/>
      <sheetName val="1,TMĐT_"/>
      <sheetName val="DG_CANTHO"/>
      <sheetName val="BB 00"/>
      <sheetName val="DGTH (3 cau"/>
      <sheetName val="M+MC"/>
      <sheetName val="DGKL_L2_THÉP_MÓNG"/>
      <sheetName val="Bieu_chi_tiet_gia_du_thau"/>
      <sheetName val="Gia_vat_lieu_trong_gia_du_thau"/>
      <sheetName val="Bang_phan_tich_don_gia_du_thau"/>
      <sheetName val="NT VK ckds"/>
      <sheetName val="PYC"/>
      <sheetName val="Out"/>
      <sheetName val="NC3"/>
      <sheetName val="Bang gia tong hop"/>
      <sheetName val="1_1_Barrette pile"/>
      <sheetName val="Qty_foundation"/>
      <sheetName val="Qty_pile"/>
      <sheetName val="Steel_column"/>
      <sheetName val="Steel_Foundation"/>
      <sheetName val="steel_Gbeam"/>
      <sheetName val="Steel_ramp"/>
      <sheetName val="Steel_slab"/>
      <sheetName val="Steel_tank"/>
      <sheetName val="Steel_wall"/>
      <sheetName val="D.W"/>
      <sheetName val="Unit Mix"/>
      <sheetName val="Unt rate"/>
      <sheetName val="Equipment List Guideline"/>
      <sheetName val="Model List"/>
      <sheetName val="tcvn "/>
      <sheetName val="Combos"/>
      <sheetName val="qty"/>
      <sheetName val="KHOILUONGTHICONG"/>
      <sheetName val="Apt내역"/>
      <sheetName val="단중표"/>
      <sheetName val="DATA NX3"/>
      <sheetName val="2. A&amp;C Database"/>
      <sheetName val="CMT retrive"/>
      <sheetName val="HDnhap"/>
      <sheetName val="Drop.Down"/>
      <sheetName val="Gia tri vat tu"/>
      <sheetName val="NB"/>
      <sheetName val="NM"/>
      <sheetName val="PhÇnCK"/>
      <sheetName val="daywork-nop"/>
      <sheetName val="Bill Pre_B1"/>
      <sheetName val="Bill Pre_B2+3"/>
      <sheetName val="Ham(CT32-33)"/>
      <sheetName val="HThien (B1)"/>
      <sheetName val="HThien (B2)"/>
      <sheetName val="KC (B3)"/>
      <sheetName val="HThien (B3)"/>
      <sheetName val="BMW.B2"/>
      <sheetName val="CTG CGO"/>
      <sheetName val="Phat sinh 09"/>
      <sheetName val="CTG Xây tô"/>
      <sheetName val="DTHU-T8"/>
      <sheetName val="25.04.14 TL-Goc Ko in"/>
      <sheetName val="fromNga"/>
      <sheetName val="PL3a dot1"/>
      <sheetName val="97 사업추정(WEKI)"/>
      <sheetName val="Data NT"/>
      <sheetName val="UP1"/>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BOQ-1"/>
      <sheetName val="thongtinchung"/>
      <sheetName val="khung ten TD"/>
      <sheetName val="DGSR"/>
      <sheetName val="bo tri ngày"/>
      <sheetName val="May Hue"/>
      <sheetName val="BILL 34Āᐁë??_x0001_??? HẦM"/>
      <sheetName val="DG vat tu"/>
      <sheetName val="BLUONG_DANCU"/>
      <sheetName val="BLUONG_CU"/>
      <sheetName val="BLUONG_MOI"/>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gia2"/>
      <sheetName val="Bang TH"/>
      <sheetName val="O3 VL-NC-MTC - ĐLPC"/>
      <sheetName val="Chi tiet gia DT"/>
      <sheetName val="Gia DT bo Sung"/>
      <sheetName val="PT gia DT"/>
      <sheetName val="PTgia DT BS"/>
      <sheetName val="Nha dieu hanh"/>
      <sheetName val="Lighting for Guestroom "/>
      <sheetName val="Kho số 6e"/>
      <sheetName val="Dinh nghia"/>
      <sheetName val="Nhân_cô"/>
      <sheetName val="BANG NGUYEN NHAN"/>
      <sheetName val="DTCPNB"/>
      <sheetName val="1-TH"/>
      <sheetName val="Guidelines"/>
      <sheetName val="LIGHTING &amp; GROUNDING"/>
      <sheetName val="Building Blocks"/>
      <sheetName val="CongNo"/>
      <sheetName val="待摊费用明细表"/>
      <sheetName val="Details_Sales_(local)1"/>
      <sheetName val="To tied 2001 opening RE"/>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8"/>
      <sheetName val="LS"/>
      <sheetName val="FA_list"/>
      <sheetName val="_Payroll_Empl_(Wkng)"/>
      <sheetName val="1__Questionnaire"/>
      <sheetName val="Anx_10"/>
      <sheetName val="DG_SUA_CHUA"/>
      <sheetName val="TAM_TINH"/>
      <sheetName val="Cost_center"/>
      <sheetName val="Enc_3A"/>
      <sheetName val="Fixed_Prof_Fees"/>
      <sheetName val="BS,_PL,_Sch_5_to_9"/>
      <sheetName val="301_RTI"/>
      <sheetName val="Excise_on_RM"/>
      <sheetName val="Insight_28-6-00"/>
      <sheetName val="DL_codes"/>
      <sheetName val="Simulator_Detail"/>
      <sheetName val="Trnf_to_Reimb_"/>
      <sheetName val="Power_&amp;_Fuel_(S)"/>
      <sheetName val="Book_details"/>
      <sheetName val="July_06-Mar_07"/>
      <sheetName val="Record_CR"/>
      <sheetName val="Full_2012"/>
      <sheetName val="Summary_Page_VDF"/>
      <sheetName val="Invested_capital_VDF"/>
      <sheetName val="DS"/>
      <sheetName val="ConversionNames"/>
      <sheetName val="Interdependent CAT"/>
      <sheetName val="Interdependent_CAT"/>
      <sheetName val="PL-F&amp;B"/>
      <sheetName val="Pcos"/>
      <sheetName val="Sales"/>
      <sheetName val="Total_Cost"/>
      <sheetName val="COMBBOYEOY"/>
      <sheetName val="COA"/>
      <sheetName val="GeneralInfo"/>
      <sheetName val="0220"/>
      <sheetName val="SVA"/>
      <sheetName val="Parem"/>
      <sheetName val="TH_DZ3521"/>
      <sheetName val="RAB_AR&amp;STR19"/>
      <sheetName val="chi_tiet_TBA19"/>
      <sheetName val="chi_tiet_C19"/>
      <sheetName val="DON_GIA_CAN_THO21"/>
      <sheetName val="Don_gia19"/>
      <sheetName val="Don_gia_chi_tiet19"/>
      <sheetName val="Customize_Your_Purchase_Order19"/>
      <sheetName val="DON_GIA_TRAM_(3)19"/>
      <sheetName val="CHITIET_VL-NC-TT_-1p19"/>
      <sheetName val="CHITIET_VL-NC-TT-3p18"/>
      <sheetName val="TONG_HOP_VL-NC_TT19"/>
      <sheetName val="KPVC-BD_19"/>
      <sheetName val="HĐ_ngoài18"/>
      <sheetName val="XT_Buoc_318"/>
      <sheetName val="dongia_(2)18"/>
      <sheetName val="S-curve_18"/>
      <sheetName val="Commercial_value18"/>
      <sheetName val="7606_DZ19"/>
      <sheetName val="Ky_Lam_Bridge18"/>
      <sheetName val="Provisional_Sums_Item18"/>
      <sheetName val="Gas_Pressure_Welding18"/>
      <sheetName val="General_Item&amp;General_Requirem18"/>
      <sheetName val="General_Items18"/>
      <sheetName val="Regenral_Requirements18"/>
      <sheetName val="TONG_HOP_VL-NC18"/>
      <sheetName val="So_doi_chieu_LC18"/>
      <sheetName val="project_management18"/>
      <sheetName val="Adix_A18"/>
      <sheetName val="MAIN_GATE_HOUSE18"/>
      <sheetName val="REINF_18"/>
      <sheetName val="Rates_200918"/>
      <sheetName val="Đầu_vào17"/>
      <sheetName val="MH_RATE18"/>
      <sheetName val="A1_CN17"/>
      <sheetName val="Data_Input18"/>
      <sheetName val="Du_toan18"/>
      <sheetName val="chiet_tinh18"/>
      <sheetName val="Ng_hàng_xà+bulong18"/>
      <sheetName val="Bang_KL18"/>
      <sheetName val="DM_606118"/>
      <sheetName val="Equip_17"/>
      <sheetName val="DG_thep_ma_kem18"/>
      <sheetName val="Lcau_-_Lxuc18"/>
      <sheetName val="Chi_tiet_XD_TBA17"/>
      <sheetName val="EIRR&gt;_217"/>
      <sheetName val="TONG_HOP_T5_199817"/>
      <sheetName val="CT_vat_lieu18"/>
      <sheetName val="Trạm_biến_áp17"/>
      <sheetName val="Đơn_Giá_17"/>
      <sheetName val="Chenh_lech_vat_tu17"/>
      <sheetName val="Diện_tích17"/>
      <sheetName val="1_Khái_toán17"/>
      <sheetName val="13-Cốt_thép_(10mm&lt;D≤18mm)_FO116"/>
      <sheetName val="6787CWFASE2CASE2_00_xls17"/>
      <sheetName val="CT-0_4KV17"/>
      <sheetName val="rate_material17"/>
      <sheetName val="4_PTDG17"/>
      <sheetName val="DG_DZ18"/>
      <sheetName val="DG_TBA18"/>
      <sheetName val="Chi_tiet_KL17"/>
      <sheetName val="Tổng_hợp_KL17"/>
      <sheetName val="KL_Chi_tiết_Xây_tô17"/>
      <sheetName val="07Base_Cost17"/>
      <sheetName val="Bill_1_Quy_dinh_chung17"/>
      <sheetName val="1_R18_BF17"/>
      <sheetName val="6_External_works-R1817"/>
      <sheetName val="Phan_khai_KLuong17"/>
      <sheetName val="04_-_XUONG_DET_B17"/>
      <sheetName val="Area_Cal17"/>
      <sheetName val="_0317"/>
      <sheetName val="chieu_day_san17"/>
      <sheetName val="Podium_Concrete_Works17"/>
      <sheetName val="KLCT-_TOWER17"/>
      <sheetName val="KLCT-_PODIUM17"/>
      <sheetName val="Xay_lapduongR317"/>
      <sheetName val="Gia_thanh_chuoi_su17"/>
      <sheetName val="Tiep_dia17"/>
      <sheetName val="Don_gia_vung_III-Can_Tho17"/>
      <sheetName val="Loại_Vật_tư17"/>
      <sheetName val="Measure_130617"/>
      <sheetName val="gia_cong_tac17"/>
      <sheetName val="Isolasi_Luar_Dalam17"/>
      <sheetName val="Isolasi_Luar17"/>
      <sheetName val="Analisa_Gabungan17"/>
      <sheetName val="GV1-D13_(Casement_door)17"/>
      <sheetName val="Project_Data17"/>
      <sheetName val="Elect_(3)17"/>
      <sheetName val="plan&amp;section_of_foundation17"/>
      <sheetName val="design_criteria17"/>
      <sheetName val="Bond_수수료_계산_포맷17"/>
      <sheetName val="ITB_COST17"/>
      <sheetName val="PAGE_117"/>
      <sheetName val="6PILE__(돌출)17"/>
      <sheetName val="HÐ_ngoài18"/>
      <sheetName val="DM_6717"/>
      <sheetName val="Đầu_tư17"/>
      <sheetName val="Chenh_lech_ca_may17"/>
      <sheetName val="TLg_CN&amp;Laixe17"/>
      <sheetName val="TLg_CN&amp;Laixe_(2)17"/>
      <sheetName val="TLg_Laitau17"/>
      <sheetName val="TLg_Laitau_(2)17"/>
      <sheetName val="ESTI_17"/>
      <sheetName val="KL_san_lap17"/>
      <sheetName val="Bill_01_-_CTN17"/>
      <sheetName val="Bill_2_2_Villa_2_beds17"/>
      <sheetName val="DETAIL_17"/>
      <sheetName val="dg_tphcm17"/>
      <sheetName val="T_KÊ_K_CẤU17"/>
      <sheetName val="A1,_May17"/>
      <sheetName val="Vat_lieu17"/>
      <sheetName val="Door_and_window11"/>
      <sheetName val="Harga_ME_17"/>
      <sheetName val="_Bill_5-Earthing_2_-_Add_Work17"/>
      <sheetName val="Bill_02_-_Xay_gach-Pou_17"/>
      <sheetName val="Bill_03-Chống_thấm-Pou17"/>
      <sheetName val="Bill_04-Kim_loại-Pou17"/>
      <sheetName val="Bill_05_-_Hoan_thien-Pou_17"/>
      <sheetName val="Bill_02_-_Xay_gach-Tower17"/>
      <sheetName val="Bill_03-Chống_thấm-Tower17"/>
      <sheetName val="Bill_04-Kim_loại-Tower17"/>
      <sheetName val="Bill_05_-_Hoan_thien-Tower17"/>
      <sheetName val="KL-_KHAC17"/>
      <sheetName val="BILL_3_-_KẾT_CẤU_HẦM17"/>
      <sheetName val="PTĐG_LTBT17"/>
      <sheetName val="CTG-PRECHEx1_417"/>
      <sheetName val="CTG-AB_(2)17"/>
      <sheetName val="CTG-AB_(3)17"/>
      <sheetName val="CTG-PLP-1_0817"/>
      <sheetName val="Pre_Đội_nhóm17"/>
      <sheetName val="Vat_tu_XD17"/>
      <sheetName val="CẤP_THOÁT_NƯỚC17"/>
      <sheetName val="Cước_VC_+_ĐM_CP_Tư_vấn17"/>
      <sheetName val="Hệ_số17"/>
      <sheetName val="THDT_goi_thau_TB17"/>
      <sheetName val="Tien_do_TV17"/>
      <sheetName val="Tower_-_Concrete_Works17"/>
      <sheetName val="Bill-04_ket_cau_thap-_UNI17"/>
      <sheetName val="TH_Vat_tu17"/>
      <sheetName val="Bang_trong_luong_rieng_thep17"/>
      <sheetName val="LV_data17"/>
      <sheetName val="Gia_vat_tu17"/>
      <sheetName val="TH_MTC17"/>
      <sheetName val="TH_N_Cong17"/>
      <sheetName val="Equipment_list_(PAC)17"/>
      <sheetName val="TINH_KHOI_LUONG17"/>
      <sheetName val="DATA_BASE17"/>
      <sheetName val="bridge_#_117"/>
      <sheetName val="Bang_3_Chi_tiet_phan_Dz17"/>
      <sheetName val="KHOI_LUONG17"/>
      <sheetName val="HVAC_BLOCK_B417"/>
      <sheetName val="subcon_sched17"/>
      <sheetName val="Chi_tiet17"/>
      <sheetName val="Buy_vs__Lease_Car17"/>
      <sheetName val="BẢNG_KHỐI_LƯỢNG_TỔNG_HỢP16"/>
      <sheetName val="CTKL_KTX_HT16"/>
      <sheetName val="CP_Khac_cuoc_VC16"/>
      <sheetName val="Budget_Code16"/>
      <sheetName val="2_Chiet_tinh16"/>
      <sheetName val="du_lieu_du_toan16"/>
      <sheetName val="PRE_(E)17"/>
      <sheetName val="Luong_NII16"/>
      <sheetName val="DINH_MUC_THI_NGHIEM16"/>
      <sheetName val="Luong_NI16"/>
      <sheetName val="NHÀ_NHẬP_LIỆU16"/>
      <sheetName val="MÓNG_SILO16"/>
      <sheetName val="BOQ_THAN16"/>
      <sheetName val="Tong_du_toan16"/>
      <sheetName val="Bill_2_-_ketcau16"/>
      <sheetName val="D_&amp;_W_sizes16"/>
      <sheetName val="DL_ĐẦU_VÀO16"/>
      <sheetName val="Chi_tiet_lan_can16"/>
      <sheetName val="Purchase_Order16"/>
      <sheetName val="Analisa_&amp;_Upah16"/>
      <sheetName val="Nhap_VT_oto14"/>
      <sheetName val="dm_36614"/>
      <sheetName val="DM_606014"/>
      <sheetName val="Du_lieu17"/>
      <sheetName val="Phan_tich16"/>
      <sheetName val="CT_Thang_Mo16"/>
      <sheetName val="CT__PL16"/>
      <sheetName val="dongia__2_16"/>
      <sheetName val="Thép_CKN16"/>
      <sheetName val="GOC-KO_IN16"/>
      <sheetName val="MAU_8A16"/>
      <sheetName val="MAU_8B16"/>
      <sheetName val="MAU_916"/>
      <sheetName val="MAU_1016"/>
      <sheetName val="cash_budget16"/>
      <sheetName val="sochitiettaikhoan_16"/>
      <sheetName val="Share_price_data16"/>
      <sheetName val="19_316"/>
      <sheetName val="20_316"/>
      <sheetName val="Chieu_4_316"/>
      <sheetName val="Cow_req16"/>
      <sheetName val="TỔNG_HỢP16"/>
      <sheetName val="14-LẦN_3-CHIỀU16"/>
      <sheetName val="14-LẦN_1-SÁNG16"/>
      <sheetName val="14-LẦN_2-TRƯA16"/>
      <sheetName val="1_3+1_4-TOTAL_-_Ko_IN16"/>
      <sheetName val="2_1-LẦN_3-CHIỀU16"/>
      <sheetName val="2_1-LẦN_1-SÁNG16"/>
      <sheetName val="2_1-LẦN_2-TRƯA16"/>
      <sheetName val="2_1-TOTAL-Ko_IN16"/>
      <sheetName val="1_3(TMR_4)16"/>
      <sheetName val="CHO_DE16"/>
      <sheetName val="1_1+1_2+2_2+2_3(TMR_3)16"/>
      <sheetName val="CK1+CK2_(VS_SAN_CHOI_23)16"/>
      <sheetName val="CK1+CK2_(2)16"/>
      <sheetName val="12-16_THÁNG16"/>
      <sheetName val="CAN_SỮA16"/>
      <sheetName val="54+55+56(SAU_CAI_SỮA-6)16"/>
      <sheetName val="BÊ_71-90_NGÀY16"/>
      <sheetName val="BÊ_12-16_tháng16"/>
      <sheetName val="BÊ_6-1216"/>
      <sheetName val="BÊ_1-316"/>
      <sheetName val="F01-BC_KHAU_PHAN_SANG_20_316"/>
      <sheetName val="F01-BC_KHAU_PHAN_CHIEU_19_316"/>
      <sheetName val="dinh_mưc_cty16"/>
      <sheetName val="Giá_thành16"/>
      <sheetName val="Thong_ke16"/>
      <sheetName val="Energy_for_milk_prod16"/>
      <sheetName val="DE_NGHI_XUAT_16"/>
      <sheetName val="phieu_xuat_mau16"/>
      <sheetName val="PHIEU_XUAT_CHIEU16"/>
      <sheetName val="11_rai_them_cỏ16"/>
      <sheetName val="PHU_LUC_02-_HDSD_CAC_BIEU_MAU16"/>
      <sheetName val="PhU_LUC_01-_MA_CAC_NHOM_BO16"/>
      <sheetName val="F03-BC_THUC_TRON_SANG_20_316"/>
      <sheetName val="F03-BC_THUC_TRON_CHIEU_19_316"/>
      <sheetName val="F02-BC_THEO_DOI_THUC_AN_DU16"/>
      <sheetName val="Tham_khao-_Bao_cao_xuat_thuc_16"/>
      <sheetName val="Dự_thầu14"/>
      <sheetName val="DK1_Don_gia16"/>
      <sheetName val="Dlieu_dau_vao16"/>
      <sheetName val="BANCO_(2)16"/>
      <sheetName val="MT_DPin_(2)16"/>
      <sheetName val="02__PTDG16"/>
      <sheetName val="Chiết_tính16"/>
      <sheetName val="Income_Statement18"/>
      <sheetName val="Shareholders'_Equity16"/>
      <sheetName val="VC_xd14"/>
      <sheetName val="Gia_VLTB14"/>
      <sheetName val="B_Luong14"/>
      <sheetName val="C_May14"/>
      <sheetName val="Don_gia_(khong_in)16"/>
      <sheetName val="1_MONG_1-216"/>
      <sheetName val="BẢNG_ÁP_GIÁ_(in)13"/>
      <sheetName val="NT_(KL)_IN13"/>
      <sheetName val="DOM_D213"/>
      <sheetName val="nhà_ăn13"/>
      <sheetName val="Công_nhật13"/>
      <sheetName val="btkt_cột13"/>
      <sheetName val="DG_142613"/>
      <sheetName val="wk_prgs14"/>
      <sheetName val="TH_TN14"/>
      <sheetName val="Bill_No_3_-_Prov__Sum_(Ph2&amp;3)14"/>
      <sheetName val="Du_tru_CP-Bieu_0114"/>
      <sheetName val="TB_NẶNG14"/>
      <sheetName val="Ma_don_vi14"/>
      <sheetName val="bang_cc14"/>
      <sheetName val="AG_Pipe_Qty_Analysis14"/>
      <sheetName val="TK_chi_tiet14"/>
      <sheetName val="Bill_2-Road_HR214"/>
      <sheetName val="Bill_3_-_Softscape_HR214"/>
      <sheetName val="Hao_phí14"/>
      <sheetName val="CP_HMC14"/>
      <sheetName val="gui_BKCT13"/>
      <sheetName val="đọc_số14"/>
      <sheetName val="TH_các_CC13"/>
      <sheetName val="Don_gia_chi_tiet_DIEN_213"/>
      <sheetName val="Dự_toán14"/>
      <sheetName val="Đơn_Giá_TH14"/>
      <sheetName val="Nhân_công14"/>
      <sheetName val="Phân_tích14"/>
      <sheetName val="C_P_Thiết_bị14"/>
      <sheetName val="T_H_Kinh_phí14"/>
      <sheetName val="Vật_tư14"/>
      <sheetName val="Trang_bìa14"/>
      <sheetName val="CĂN_HỘ_T16-17_14"/>
      <sheetName val="TRỤC_ĐỨNG_THOÁT_BẨN_T15-1714"/>
      <sheetName val="TRỤC_ĐỨNG_TM_T15-1714"/>
      <sheetName val="THEP_TAM14"/>
      <sheetName val="THEP_HÌNH14"/>
      <sheetName val="THEP_HINH14"/>
      <sheetName val="XA_GO14"/>
      <sheetName val="BANG_TRA14"/>
      <sheetName val="Ｎｏ_1314"/>
      <sheetName val="DGchitiet_14"/>
      <sheetName val="Structure_data14"/>
      <sheetName val="HỆ_THỐNG_PHÒNG_CHÁY_CHỮA_CHÁY14"/>
      <sheetName val="HỆ_THỐNG_CẤP_THOÁT_NƯỚC14"/>
      <sheetName val="HỆ_THỐNG_ĐHKK14"/>
      <sheetName val="MÁY_PHÁT_ĐIỆN14"/>
      <sheetName val="HỆ_THỐNG_ĐIỆN14"/>
      <sheetName val="Thiết_bị_chính14"/>
      <sheetName val="CP_Du_phong14"/>
      <sheetName val="THCP_Lap_dat14"/>
      <sheetName val="THCP_xay_dung14"/>
      <sheetName val="Tong_hop_kinh_phi14"/>
      <sheetName val="2_1Warehouse_114"/>
      <sheetName val="CHI_PHI14"/>
      <sheetName val="Main_Bldg-Rev0214"/>
      <sheetName val="D&amp;W_def_14"/>
      <sheetName val="Nhan_cong14"/>
      <sheetName val="Thiet_bi14"/>
      <sheetName val="Vat_tu14"/>
      <sheetName val="DM_ChiPhi14"/>
      <sheetName val="May_TC14"/>
      <sheetName val="TH_Kinh_phi14"/>
      <sheetName val="Ptvl_14"/>
      <sheetName val="Móng,_nền_14"/>
      <sheetName val="1_Requisition(E)14"/>
      <sheetName val="Theo_doi_Doanh_thu_201713"/>
      <sheetName val="TONG_HOP14"/>
      <sheetName val="phan_tic_chi_tiet14"/>
      <sheetName val="3__CNT13"/>
      <sheetName val="unit_price_list(M)13"/>
      <sheetName val="Data_Wall14"/>
      <sheetName val="Gia_vat_lieu13"/>
      <sheetName val="Chi_tiet_-tong_9_thang13"/>
      <sheetName val="Tổng_GT14"/>
      <sheetName val="Chi_tiết_KL14"/>
      <sheetName val="khấu_trừ_phạt14"/>
      <sheetName val="GT__KHAU_TRU14"/>
      <sheetName val="HAO_HUT_VAT_TU_(2)14"/>
      <sheetName val="cao_độ14"/>
      <sheetName val="Chi_tiet_cong_no14"/>
      <sheetName val="PHÁT_SINH_TẦNG_1_14"/>
      <sheetName val="PHÁT_SINH_TẦNG_214"/>
      <sheetName val="Hầm_chuyển_psinh14"/>
      <sheetName val="Ống_thẳng14"/>
      <sheetName val="Côn_thu14"/>
      <sheetName val="Vuông_tròn14"/>
      <sheetName val="Chân_rẽ14"/>
      <sheetName val="Chạc_ba14"/>
      <sheetName val="0__Input13"/>
      <sheetName val="KL_THEP__GIAM_DO_DUNG_COUPLER13"/>
      <sheetName val="01_KL_THÉP_NHẬP_VỀ13"/>
      <sheetName val="2__NT_VLDV13"/>
      <sheetName val="GHI_CHU13"/>
      <sheetName val="1_BB_LMHT13"/>
      <sheetName val="1_2_Staff_Schedule13"/>
      <sheetName val="Precios_unitarios_AXH13"/>
      <sheetName val="Bill_Prelim-CDT13"/>
      <sheetName val="Bill_BPTC-CDT13"/>
      <sheetName val="Chi_tiết_BPTC13"/>
      <sheetName val="Bill_BPTC-CDT_(PA_MCT_CDT)13"/>
      <sheetName val="Chi_tiết_BPTC_(PA_MCT_CDT)13"/>
      <sheetName val="Bê_tông_bảo_vệ13"/>
      <sheetName val="01__Data13"/>
      <sheetName val="Neo,_nối_cốt_thép_dầm,_cột13"/>
      <sheetName val="Uốn_móc_cốt_thép13"/>
      <sheetName val="Tiêu_chuẩn_cốt_thép13"/>
      <sheetName val="So_lieu_chung13"/>
      <sheetName val="TH_VL,_NC,_DDHT_Thanhphuoc13"/>
      <sheetName val="1__Office13"/>
      <sheetName val="KHOI_LUONG15-413"/>
      <sheetName val="Doi_so13"/>
      <sheetName val="DANH_MỤC_HỒ_SƠ13"/>
      <sheetName val="GT_PHÁT_SINH_NGOÀI_HĐ13"/>
      <sheetName val="KL_PHÁT_SINH_13"/>
      <sheetName val="PS_NGOÀI_HĐ13"/>
      <sheetName val="GT_PHÁT_SINH_VƯỢT_HĐ13"/>
      <sheetName val="PS_TĂNG_GIẢM_TRONG_HĐ13"/>
      <sheetName val="DGCT_PHÁT_SINH13"/>
      <sheetName val="DGCT_TRẦN_NLV13"/>
      <sheetName val="DGKL_chi_tiết_NLV13"/>
      <sheetName val="DGKL_chi_tiết_NHN,NK13"/>
      <sheetName val="TG_KL13"/>
      <sheetName val="DGCT_SƠN_BẢ_TƯỜNG_NLV13"/>
      <sheetName val="DGKL_TRẦN_NHN13"/>
      <sheetName val="MTO_REV_2(ARMOR)13"/>
      <sheetName val="KL_thep_lam_sat13"/>
      <sheetName val="DM-VNT_ko_sd13"/>
      <sheetName val="B3A_-_TOWER_A13"/>
      <sheetName val="Annex_B13"/>
      <sheetName val="Cotthep_NPT13"/>
      <sheetName val="vl_nc_mtc13"/>
      <sheetName val="1_Civil_(Org)13"/>
      <sheetName val="Tien_Thuong13"/>
      <sheetName val="NC_XL_6T_cuoi_01_CTy13"/>
      <sheetName val="Data_-6T_dau13"/>
      <sheetName val="Cong_6T13"/>
      <sheetName val="Bảng_đo_bóc_KL_OLK-0913"/>
      <sheetName val="6_3_CHI_TIET_OLK-0913"/>
      <sheetName val="Dot_413"/>
      <sheetName val="Chi_phi_van_chuyen13"/>
      <sheetName val="Tong_hop_vat_tu13"/>
      <sheetName val="1_San_13"/>
      <sheetName val="DT_hợp_đồng12"/>
      <sheetName val="Bảng_KL_đợt_112"/>
      <sheetName val="Dgia_vat_tu13"/>
      <sheetName val="Don_gia_III16"/>
      <sheetName val="D÷_liÖu13"/>
      <sheetName val="TLG_Type13"/>
      <sheetName val="Thop_Ksat13"/>
      <sheetName val="Thu_hoi_13"/>
      <sheetName val="HM_chung13"/>
      <sheetName val="CP_xd-thiet_bi13"/>
      <sheetName val="TH-TN_LD_TB13"/>
      <sheetName val="CP_xaydung13"/>
      <sheetName val="Thao_ha_phu_kien13"/>
      <sheetName val="VL-NC-MTC_ket_cau13"/>
      <sheetName val="KHOI_LUONG_TONG13"/>
      <sheetName val="TK_22KV13"/>
      <sheetName val="DM_366-177713"/>
      <sheetName val="Thi_nhiem13"/>
      <sheetName val="Gia_goc_VT-TB13"/>
      <sheetName val="Gia_vc_den_chan_CT13"/>
      <sheetName val="culy_2213"/>
      <sheetName val="Luong_205013"/>
      <sheetName val="ca_may_QN13"/>
      <sheetName val="TNHC1246_13"/>
      <sheetName val="Ca_may_TT06_201013"/>
      <sheetName val="Don_gia_VLXD_dia_phuong13"/>
      <sheetName val="Bang_luong_SCL13"/>
      <sheetName val="Dinh_muc_TN142613"/>
      <sheetName val="HRG_BHN13"/>
      <sheetName val="CĂN_ĐH13"/>
      <sheetName val="Div26_-_Elect13"/>
      <sheetName val="Tổng_hợp_KPHM12"/>
      <sheetName val="DM_336cai_tao13"/>
      <sheetName val="4_CĂN13"/>
      <sheetName val="PV_Graph_Data12"/>
      <sheetName val="Danh_mục12"/>
      <sheetName val="Q_A01_2-Sh13"/>
      <sheetName val="Dutoan_KL12"/>
      <sheetName val="doanh_thu12"/>
      <sheetName val="BTK-Dai_Hoc_Kien_Giang12"/>
      <sheetName val="GIÁ_DỰ_THẦU_30_CĂN12"/>
      <sheetName val="2_CDPS13"/>
      <sheetName val="DG_Chi_tiet12"/>
      <sheetName val="Kê_0,412"/>
      <sheetName val="TH_0,412"/>
      <sheetName val="Kê_2212"/>
      <sheetName val="TH_2212"/>
      <sheetName val="TBA_CAI_TAO12"/>
      <sheetName val="TBA_XDM12"/>
      <sheetName val="TONG_HOP_DU_TOAN12"/>
      <sheetName val="Thop_XAY_DUNG12"/>
      <sheetName val="CP_HANG_MUC_CHUNG12"/>
      <sheetName val="CHI_PHI_XD12"/>
      <sheetName val="CHI_PHI_THI_NGHIEM12"/>
      <sheetName val="VLDIEN_2212"/>
      <sheetName val="Dao_dat12"/>
      <sheetName val="TH_Denbu12"/>
      <sheetName val="Do_ve_DC12"/>
      <sheetName val="TH_Bommin12"/>
      <sheetName val="CHI_PHI_THI_NGHIEM-LD_thiet_b12"/>
      <sheetName val="Luong_TT0112"/>
      <sheetName val="Camay_QB12"/>
      <sheetName val="gia_ca_may_BXD12"/>
      <sheetName val="BANG_LUONG_KY_SU12"/>
      <sheetName val="Bang_luong_NHOM_I12"/>
      <sheetName val="Bangluong_NHOM_II_12"/>
      <sheetName val="09-GIA_nhien_lieu-ko_in12"/>
      <sheetName val="Tinh_V_cot_chiem_cho12"/>
      <sheetName val="ĐM_135412"/>
      <sheetName val="KHOAN_MAU12"/>
      <sheetName val="ĐO_ĐỊA_VẬT_LÝ12"/>
      <sheetName val="khoan_tiep_dia12"/>
      <sheetName val="DZ_22KV12"/>
      <sheetName val="_1710_HOINGHINLD12"/>
      <sheetName val="99_(2)12"/>
      <sheetName val="134_12"/>
      <sheetName val="DG_497012"/>
      <sheetName val="Heso_DZ13"/>
      <sheetName val="DG_BINH_THUAN13"/>
      <sheetName val="TINH_GIA_-_SAN_XUAT_Vertico12"/>
      <sheetName val="Financ__Overview12"/>
      <sheetName val="7_Khau_tru_13"/>
      <sheetName val="Don_gia_NC13"/>
      <sheetName val="Summary_Sheet12"/>
      <sheetName val="Finishing-Tower_A12"/>
      <sheetName val="Finishing-Tower_B12"/>
      <sheetName val="Finishing-Tower_C12"/>
      <sheetName val="Finishing-Tower_D12"/>
      <sheetName val="MEP-Tower_A12"/>
      <sheetName val="MEP-Tower_B12"/>
      <sheetName val="MEP-Tower_C12"/>
      <sheetName val="MEP-Tower_D12"/>
      <sheetName val="Cost_Report_Sum12"/>
      <sheetName val="Detail_Cost_Sum12"/>
      <sheetName val="RVO-VO_Sum12"/>
      <sheetName val="Potential_VOs_Sum12"/>
      <sheetName val="Cash_Flow_Sum12"/>
      <sheetName val="CAP_NUOC12"/>
      <sheetName val="cấp_nước_trục_nhà_vs12"/>
      <sheetName val="THOAT_NUOC12"/>
      <sheetName val="THOAT_MUA12"/>
      <sheetName val="Cáp_phòng12"/>
      <sheetName val="TMC_ĐIỆN_Phi12"/>
      <sheetName val="TMC_Tổng12"/>
      <sheetName val="TH_Đèn_Phòng_L112"/>
      <sheetName val="TH_Đèn_Hầm_L112"/>
      <sheetName val="TỦ_MODULE_T112"/>
      <sheetName val="B-2__(DPP)13"/>
      <sheetName val="13_BANG_CT12"/>
      <sheetName val="14_MMUS_GIUA_NHIP12"/>
      <sheetName val="4_HSPBngang12"/>
      <sheetName val="6_Tinh_tai12"/>
      <sheetName val="2_NSl12"/>
      <sheetName val="17_US_CHU_tho_a_b12"/>
      <sheetName val="15_MMUS_GOI12"/>
      <sheetName val="gia_vt,nc,may12"/>
      <sheetName val="Bieu_gia_HD12"/>
      <sheetName val="Huong_dan12"/>
      <sheetName val="5_2_1_Đo_bóc_KL_OLK-0612"/>
      <sheetName val="Dinh_muc12"/>
      <sheetName val="KS_tuyen12"/>
      <sheetName val="Bang_chiet_tinh_TBA12"/>
      <sheetName val="MB_DT_0212"/>
      <sheetName val="4_2_1_Đo_bóc_KL_OLK-0612"/>
      <sheetName val="4_1_1_CHI_TIET_OLK-0612"/>
      <sheetName val="THONG_SO12"/>
      <sheetName val="Đơn_giá_chi_tiết_TN_3912"/>
      <sheetName val="Bù_giá_CM11"/>
      <sheetName val="HERD_MOVEMENTFARM114"/>
      <sheetName val="HERD_MOVEMENTFARM214"/>
      <sheetName val="CALVES_2-414"/>
      <sheetName val="Cavles_2-414"/>
      <sheetName val="CALVES_4-714"/>
      <sheetName val="HEIFER_7-12m14"/>
      <sheetName val="HEIFER_12+14"/>
      <sheetName val="FRESH_COW_2017-1814"/>
      <sheetName val="HP_COW_201814"/>
      <sheetName val="LP_COW_2017-1814"/>
      <sheetName val="DRY_COW14"/>
      <sheetName val="FIELD_CROPS14"/>
      <sheetName val="EQUIP_LIST12"/>
      <sheetName val="So_sanh12"/>
      <sheetName val="DT__NHA_XUONG12"/>
      <sheetName val="Electrical_Works12"/>
      <sheetName val="H_T__INCOMING_SYSTEM12"/>
      <sheetName val="Cash_Flow12"/>
      <sheetName val="Gia_VT-TB12"/>
      <sheetName val="noi_suy_xa12"/>
      <sheetName val="noi_suy_xa_thu_hoi12"/>
      <sheetName val="Tính_giá_NC12"/>
      <sheetName val="Tiên_lượng12"/>
      <sheetName val="SL_cước12"/>
      <sheetName val="BU_LONG12"/>
      <sheetName val="Thuyết_minh12"/>
      <sheetName val="Đơn_giá_máy12"/>
      <sheetName val="¥_12"/>
      <sheetName val="CHITIET_VL-NCHT1_(2)11"/>
      <sheetName val="Tong_DT11"/>
      <sheetName val="phan_tich_don_gia11"/>
      <sheetName val="Bill_No_1_612"/>
      <sheetName val="Bill_No_1_1012"/>
      <sheetName val="Bill_No_3_312"/>
      <sheetName val="Bill_No_1_412"/>
      <sheetName val="Bill_No_1_712"/>
      <sheetName val="Summary_Bill_No__312"/>
      <sheetName val="Khai_toan6"/>
      <sheetName val="Phu_luc_01_1_EPC_P11-146"/>
      <sheetName val="TDT_P11-P146"/>
      <sheetName val="Chi_phi_khac_6"/>
      <sheetName val="Hang_muc_Chung6"/>
      <sheetName val="Bia_Phu_Luc6"/>
      <sheetName val="DATA_1_CHUNG6"/>
      <sheetName val="Muc_luc6"/>
      <sheetName val="Tra_cuu_9576"/>
      <sheetName val="Unit_price11"/>
      <sheetName val="3__KC_-_PODIUM11"/>
      <sheetName val="Breakdown_(B)11"/>
      <sheetName val="U_P_Breakdown11"/>
      <sheetName val="Bán_đợt_1_trang11"/>
      <sheetName val="CTDZ6kv_(gd1)_11"/>
      <sheetName val="CTDZ_0_4+cto_(GD1)11"/>
      <sheetName val="CTTBA_(gd1)11"/>
      <sheetName val="03_Detailed11"/>
      <sheetName val="01_Bid_Price_summary11"/>
      <sheetName val="Home_Office_Manhours11"/>
      <sheetName val="Field_SPV_Barchart11"/>
      <sheetName val="Luong_BN11"/>
      <sheetName val="Luong_TB11"/>
      <sheetName val="Ca_may_TB11"/>
      <sheetName val="Ca_máy_BN11"/>
      <sheetName val="Vật_liệu11"/>
      <sheetName val="LX_-TT0511"/>
      <sheetName val="NC_Moi_TT0511"/>
      <sheetName val="Tien_Luong11"/>
      <sheetName val="Cost_List11"/>
      <sheetName val="Detail_Cost11"/>
      <sheetName val="IC_Price_New11"/>
      <sheetName val="Summary_Table11"/>
      <sheetName val="Sales_Person11"/>
      <sheetName val="Bidding_Entity11"/>
      <sheetName val="Unit_price(Updateting)11"/>
      <sheetName val="Chiet_tinh_dz3511"/>
      <sheetName val="IMF_Code11"/>
      <sheetName val="Subsidiary_Calculation11"/>
      <sheetName val="Cau_tao_gia_xay_to7"/>
      <sheetName val="SGC_RATE6"/>
      <sheetName val="Tru_TT6"/>
      <sheetName val="Thg_046"/>
      <sheetName val="Thg_056"/>
      <sheetName val="Thg_066"/>
      <sheetName val="Thg_076"/>
      <sheetName val="Thg_086"/>
      <sheetName val="Thg_096"/>
      <sheetName val="Thg_106"/>
      <sheetName val="Thg_116"/>
      <sheetName val="Thg_126"/>
      <sheetName val="5_2_1_Đo_bóc_KL_OLK-1011"/>
      <sheetName val="Bia_lot11"/>
      <sheetName val="DT_san_XD-So_lieu_cu11"/>
      <sheetName val="THPDMoi__(2)7"/>
      <sheetName val="t-h_HA_THE7"/>
      <sheetName val="TH_XL7"/>
      <sheetName val="CHITIET_VL-NC7"/>
      <sheetName val="don_gia_142611"/>
      <sheetName val="Phu_Bai_Bridge11"/>
      <sheetName val="Chu_dau_tu7"/>
      <sheetName val="THÔNG_TIN7"/>
      <sheetName val="w't_table6"/>
      <sheetName val="FF-2_(1)11"/>
      <sheetName val="YTD_12'200311"/>
      <sheetName val="YTD_06'200311"/>
      <sheetName val="YTD_03'200311"/>
      <sheetName val="YTD_09'200311"/>
      <sheetName val="deferred_taxes11"/>
      <sheetName val="Eqpmnt_Plng11"/>
      <sheetName val="TRIAL_BALANCE11"/>
      <sheetName val="DPR_31st_march11"/>
      <sheetName val="current_month11"/>
      <sheetName val="Blng__Vs_Coll_11"/>
      <sheetName val="DM_DU_AN6"/>
      <sheetName val="DM_TP_6"/>
      <sheetName val="File_Chi_tiet6"/>
      <sheetName val="Danh_mục_khối6"/>
      <sheetName val="Danh_mục_đơn_vị_-phòng_chức_nă6"/>
      <sheetName val="BẢNG_DIỄN_GIẢI_KL_(7)11"/>
      <sheetName val="Probbl_-_Production6"/>
      <sheetName val="CHI_PHÍ_NHÔM6"/>
      <sheetName val="BILL_34Āᐁë6"/>
      <sheetName val="Currency_Rate6"/>
      <sheetName val="Dashboard_-_BQL_-_VHL6"/>
      <sheetName val="KEILA_TP_2020-076"/>
      <sheetName val="CFA_(ME)6"/>
      <sheetName val="MEP_Building6"/>
      <sheetName val="BOM-13_11-Other(PS1+PS2)6"/>
      <sheetName val="2__BBNT_KLHT6"/>
      <sheetName val="Dinh_Muc_Vat_Tu6"/>
      <sheetName val="mã_6"/>
      <sheetName val="CHITIET_VL-NC-TT1p6"/>
      <sheetName val="NHOM_KINH5"/>
      <sheetName val="TH_khoi_luong6"/>
      <sheetName val="Chi_tiet_khoi_luong6"/>
      <sheetName val="TK_thep6"/>
      <sheetName val="CT_THOÁT_WC_VP6"/>
      <sheetName val="CT_CẤP_WC_VP6"/>
      <sheetName val="CT_THOÁT_MƯA_VP_TRỤC_LỚN6"/>
      <sheetName val="CT_THOÁT_MƯA_VP_TRỤC_NHỎ6"/>
      <sheetName val="LUONG_SCL6"/>
      <sheetName val="Chênh_lệch_máy_thi_công5"/>
      <sheetName val="Chênh_lệch_nhân_công5"/>
      <sheetName val="Chênh_lệch_vật_liệu5"/>
      <sheetName val="Nhập_liệu4"/>
      <sheetName val="Luong_(TP_Việt_Trì)4"/>
      <sheetName val="DG_5"/>
      <sheetName val="Chao_gia_T12_RE5"/>
      <sheetName val="DSV6_Summ4"/>
      <sheetName val="Boc_KL_DAT+CAT+BT4"/>
      <sheetName val="Boc_KL_thép4"/>
      <sheetName val="Bieu_do_nhan_luc4"/>
      <sheetName val="Don_gia_XD5"/>
      <sheetName val="Aging_Sept5"/>
      <sheetName val="0_Data4"/>
      <sheetName val="0_Data_new4"/>
      <sheetName val="Auto_Monthly_Inputs_4"/>
      <sheetName val="Service_Cost_5"/>
      <sheetName val="Don_gia_Tay_Ninh5"/>
      <sheetName val="Don_gia_Dak_Lak5"/>
      <sheetName val="streeta_and_cacth_pit5"/>
      <sheetName val="Daf_15"/>
      <sheetName val="Gia_NC_theo_TT054"/>
      <sheetName val="Khoi_luong_kenh_dan3"/>
      <sheetName val="Thep_Be_TN(tai_C10)3"/>
      <sheetName val="Sum_ELE__CAP_S1-4__4"/>
      <sheetName val="CONSOIDATE_44"/>
      <sheetName val="CONSOIDATE_24"/>
      <sheetName val="PHẦN_KIẾN_TRÚC4"/>
      <sheetName val="Land_Dev't__Ph-14"/>
      <sheetName val="Hac_Lots4"/>
      <sheetName val="4-Lane_bridge4"/>
      <sheetName val="Res_Lots4"/>
      <sheetName val="Spine_Road4"/>
      <sheetName val="Bill_24"/>
      <sheetName val="Bill_34"/>
      <sheetName val="Bill_4a_-_1A4"/>
      <sheetName val="Bill_4a_(Fiber)_-_1A4"/>
      <sheetName val="Bill_4b4"/>
      <sheetName val="Bill_4c4"/>
      <sheetName val="Bill_54"/>
      <sheetName val="Bill_4a_-_1B4"/>
      <sheetName val="Bill_4a_(Fiber)_-_1B4"/>
      <sheetName val="So_sanh_gia4"/>
      <sheetName val="Luong_2622EVN4"/>
      <sheetName val="DO_AM_DT4"/>
      <sheetName val="01__Nha_xuong4"/>
      <sheetName val="Cước_CG4"/>
      <sheetName val="MTO_REV_04"/>
      <sheetName val="NC_CU4"/>
      <sheetName val="Cuoc_4"/>
      <sheetName val="gia_chao4"/>
      <sheetName val="Vat_lieu_BTN4"/>
      <sheetName val="Bank_Rev4"/>
      <sheetName val="Merit_&amp;_Market_Grid4"/>
      <sheetName val="BP_DECLINE_IT4"/>
      <sheetName val="Input_List4"/>
      <sheetName val="Valid_data_revised4"/>
      <sheetName val="DETAIL_MIX_%_REPORT4"/>
      <sheetName val="Fill_this_out_first___4"/>
      <sheetName val="BC_chi_tiết_TT4"/>
      <sheetName val="0,SO_LIEU_DAU_VAO4"/>
      <sheetName val="Corner_Arch4"/>
      <sheetName val="End_Arch4"/>
      <sheetName val="Intermediate_Arch4"/>
      <sheetName val="reinforcement_6754"/>
      <sheetName val="ext_wall_fin_qty4"/>
      <sheetName val="SL_Plum_4"/>
      <sheetName val="Physical_Schedule_3D4"/>
      <sheetName val="Tabel_Berat4"/>
      <sheetName val="Data_Umum_Penawaran4"/>
      <sheetName val="Real_Cost4"/>
      <sheetName val="bill_qty4"/>
      <sheetName val="REKAP_ARSITEKTUR_4"/>
      <sheetName val="RAB_ADMINISTRASI_PUSAT_(1)4"/>
      <sheetName val="Hrg_Readymix4"/>
      <sheetName val="Input_-_Facilities4"/>
      <sheetName val="BP_CAPEX_MoD-100%_Area_4_USD4"/>
      <sheetName val="DGKL_TRỤC_NGOAI_NHA4"/>
      <sheetName val="5_2_1_Đo_bóc_KL_OLK-074"/>
      <sheetName val="Da_xay_dung4"/>
      <sheetName val="Elemental_Breakdown+20%4"/>
      <sheetName val="TCVN_1651-20083"/>
      <sheetName val="Dai_tu4"/>
      <sheetName val="02__PHAN_TICH4"/>
      <sheetName val="03__NGAN_SACH4"/>
      <sheetName val="6__Scope_of_work_4"/>
      <sheetName val="4_6_Phân_tích_nhân_sự_4"/>
      <sheetName val="4_5_Mức_độ_tham_gia_dự_án4"/>
      <sheetName val="Define_finishing4"/>
      <sheetName val="Dynamic_Ranges3"/>
      <sheetName val="242_3_summaryOPC4"/>
      <sheetName val="1_1General4"/>
      <sheetName val="Gia_giao_VL_den_HT3"/>
      <sheetName val="THONG_SO_KICH_THUOC3"/>
      <sheetName val="Fixed_asset_register3"/>
      <sheetName val="repeatative_rejection3"/>
      <sheetName val="General_Info3"/>
      <sheetName val="Full_PBD3"/>
      <sheetName val="Non-Statistical_Sampling3"/>
      <sheetName val="98FORECAST_(1)3"/>
      <sheetName val="Sch_18_Bank3"/>
      <sheetName val="Stock_details3"/>
      <sheetName val="Part_A_General3"/>
      <sheetName val="_3"/>
      <sheetName val="XL4Poppy_(2)4"/>
      <sheetName val="he_so_dong_thoi3"/>
      <sheetName val="CT_-THVLNC3"/>
      <sheetName val="Thang_013"/>
      <sheetName val="Thống_kê3"/>
      <sheetName val="BAN_IN3"/>
      <sheetName val="NOVA_MEDIC3"/>
      <sheetName val="DGKL_MEDIC3"/>
      <sheetName val="ADJ_20113"/>
      <sheetName val="THCP_thiet_bi3"/>
      <sheetName val="Piano_Montaggio_PO-02_bozza23"/>
      <sheetName val="SLTh_ke3"/>
      <sheetName val="OVER_VIEW3"/>
      <sheetName val="SCOPE_OF_WORK3"/>
      <sheetName val="Listes_Caractéristiques3"/>
      <sheetName val="Liste_Référentiel3"/>
      <sheetName val="Bill_4_1a___3"/>
      <sheetName val="chi_tiet_TS_theo_so_lieu_ktoan3"/>
      <sheetName val="DS_Cty3"/>
      <sheetName val="THÁNG_053"/>
      <sheetName val="TONGKE3p_3"/>
      <sheetName val="Data_(2)3"/>
      <sheetName val="Book_1_Summary3"/>
      <sheetName val="1_설계조건3"/>
      <sheetName val="Wood_Mckenzie3"/>
      <sheetName val="Đầu_ra_sản_phẩm3"/>
      <sheetName val="Tổng_quan_và_Input3"/>
      <sheetName val="Đầu_vào_sản_xuất3"/>
      <sheetName val="Tính_toán_doanh_thu3"/>
      <sheetName val="Phân_tích_độ_nhạy3"/>
      <sheetName val="Khấu_hao_TSCĐ3"/>
      <sheetName val="Nguồn_vốn3"/>
      <sheetName val="Giải_ngân_nguồn_vốn3"/>
      <sheetName val="Tính_toán_thuế3"/>
      <sheetName val="Tính_toán_chi_phí_SX3"/>
      <sheetName val="TH_ĐƠN_GIÁ3"/>
      <sheetName val="cable,_lighting,_switch3"/>
      <sheetName val="ĐỢT_13"/>
      <sheetName val="DTXL(_270)3"/>
      <sheetName val="KL_T16_BÀN_GIAO_19_43"/>
      <sheetName val="Bldg_Brkdown3"/>
      <sheetName val="DG_VL_KS3"/>
      <sheetName val="Bill_rekap3"/>
      <sheetName val="Cash_Flow_bulanan3"/>
      <sheetName val="CươcVC_tinh3"/>
      <sheetName val="List_of_Staff3"/>
      <sheetName val="__QUOTATION_xlsx3"/>
      <sheetName val="2_5_Ducts_(2)3"/>
      <sheetName val="S_N3"/>
      <sheetName val="NHOM_KINH_3"/>
      <sheetName val="입찰내역_발주처_양식3"/>
      <sheetName val="DIEN_TICH3"/>
      <sheetName val="3_공통공사대비3"/>
      <sheetName val="Don_vi3"/>
      <sheetName val="TH_khối_lượng_phải_làm3"/>
      <sheetName val="Giá_VL,_NC,_M3"/>
      <sheetName val="Lương_2135_nhóm_I3"/>
      <sheetName val="Luong_2050_hà_NAm3"/>
      <sheetName val="Lương2045_nhóm_I3"/>
      <sheetName val="May_3_huyện3"/>
      <sheetName val="May_yên_mô3"/>
      <sheetName val="Phân_tich_ĐG3"/>
      <sheetName val="PLV_mới3"/>
      <sheetName val="May_TT11(TB)3"/>
      <sheetName val="May_TT11_(HP)3"/>
      <sheetName val="May_TT11(NB)3"/>
      <sheetName val="May_TT11(NĐ)3"/>
      <sheetName val="Lương_theo_TT17(Thái_Bình)3"/>
      <sheetName val="Lương_theo_TT17_(HP)3"/>
      <sheetName val="Lương_theo_TT17_(Ninh_Bình)3"/>
      <sheetName val="Lương_theo_TT17_(Nam_Định)3"/>
      <sheetName val="KL_CHI_TIẾT_(2)3"/>
      <sheetName val="5_Gia3"/>
      <sheetName val="Danh_sach_KV23"/>
      <sheetName val="Danh_sach_doan_KT3"/>
      <sheetName val="Loại_cọc_P23"/>
      <sheetName val="CP_NC-MTC_XD3"/>
      <sheetName val="H_Satuan3"/>
      <sheetName val="4_3_Scope_of_work_3"/>
      <sheetName val="Gia_HĐ3"/>
      <sheetName val="2__Tổng_hợp3"/>
      <sheetName val="List_Equip3"/>
      <sheetName val="Process_C_(1-166)3"/>
      <sheetName val="CF_-Update_31Jul063"/>
      <sheetName val="Executive_Summary3"/>
      <sheetName val="MAHANG_BHLD3"/>
      <sheetName val="CHITIETHOADON_TT3"/>
      <sheetName val="mahang_chinh_sua_moi_nhat3"/>
      <sheetName val="Noise_insl3"/>
      <sheetName val="Ca_may3"/>
      <sheetName val="GIA_NC,_CM3"/>
      <sheetName val="GIA_VL3"/>
      <sheetName val="13_Luong3"/>
      <sheetName val="Eq__Mobilization3"/>
      <sheetName val="Link_HG3"/>
      <sheetName val="Danhsach_123"/>
      <sheetName val="List_Danh_mục_nghiệm_thu3"/>
      <sheetName val="02__THONG_TIN_CHUNG3"/>
      <sheetName val="07__DINH_MUC_HBC3"/>
      <sheetName val="TK_SX3"/>
      <sheetName val="Rate_Analysis3"/>
      <sheetName val="Don_gia_vung_III3"/>
      <sheetName val="Don_gia_III17"/>
      <sheetName val="Don_gia_CT3"/>
      <sheetName val="PLHD_doi_cot_ham_0101-043"/>
      <sheetName val="Luong_TT053"/>
      <sheetName val="unit_weight3"/>
      <sheetName val="DIV_INC4"/>
      <sheetName val="A1_-_Income_Statement4"/>
      <sheetName val="SCB_-_Annexure_A3"/>
      <sheetName val="PL6-Revenue_Bridge3"/>
      <sheetName val="OC5-Push_Diag3"/>
      <sheetName val="Franchise_Input3"/>
      <sheetName val="Project_ODC_NDEU3"/>
      <sheetName val="Inter_connect_Revenue3"/>
      <sheetName val="2020_RFS_Summary3"/>
      <sheetName val="Well_Construction_Summary3"/>
      <sheetName val="RFS_2020_-_Details_and_Notes3"/>
      <sheetName val="AN_20003"/>
      <sheetName val="6_9_DM_CTP2"/>
      <sheetName val="ADJ_-_RATE2"/>
      <sheetName val="CDPS_SAU_KC2"/>
      <sheetName val="Thong_tin2"/>
      <sheetName val="BTDC_B3602"/>
      <sheetName val="Danh_muc_LIST2"/>
      <sheetName val="CF_(DR)_IN2"/>
      <sheetName val="PL_02_-_Vay2"/>
      <sheetName val="PL_03_-_Von2"/>
      <sheetName val="CP_yếu_tố2"/>
      <sheetName val="BS_4202"/>
      <sheetName val="PL_4202"/>
      <sheetName val="RT_4202"/>
      <sheetName val="BTDC_B360_2"/>
      <sheetName val="Table_of_contents2"/>
      <sheetName val="11__Loans2"/>
      <sheetName val="Adj_entries_3"/>
      <sheetName val="Annexure_13"/>
      <sheetName val="Annexure_23"/>
      <sheetName val="Updated_2018_COA3"/>
      <sheetName val="IC_Listing3"/>
      <sheetName val="SLA_cost_distr_FEB_20203"/>
      <sheetName val="Legal_entities_details3"/>
      <sheetName val="Invoice_base_FEB_20203"/>
      <sheetName val="Le317_into_80503"/>
      <sheetName val="Basic_principles_to_the_distr_3"/>
      <sheetName val="Cost_elements3"/>
      <sheetName val="Ref_rate_change3"/>
      <sheetName val="Synergi_life_credit3"/>
      <sheetName val="Change_in_NH3"/>
      <sheetName val="NPS_to_O&amp;G3"/>
      <sheetName val="RC_Revenue2"/>
      <sheetName val="AOP_20202"/>
      <sheetName val="DATA_LE2"/>
      <sheetName val="DATA_LE_(LY)2"/>
      <sheetName val="DATA_RC2"/>
      <sheetName val="DATA_RC_(LY)2"/>
      <sheetName val="LE_Test2"/>
      <sheetName val="DATA_(RC_ORG)2"/>
      <sheetName val="DATA_(TESTING_1)2"/>
      <sheetName val="DATA_(TESTING_CHRSPR)2"/>
      <sheetName val="2018_VADIS2"/>
      <sheetName val="Income_Statement19"/>
      <sheetName val="DLC_DIEN_AP2"/>
      <sheetName val="SL_dau_tien2"/>
      <sheetName val="DB_FEE2"/>
      <sheetName val="BHYT_Tự_Nguyện_-_Vinschool-Mau2"/>
      <sheetName val="Tonghop_theo_Vendor2"/>
      <sheetName val="Tu_dien2"/>
      <sheetName val="T_kê2"/>
      <sheetName val="dulieu_cot2"/>
      <sheetName val="Bank_Bal__Dec_222"/>
      <sheetName val="Vat_lieu_cat_song_rac2"/>
      <sheetName val="Project_Info_3"/>
      <sheetName val="Cost_Summary3"/>
      <sheetName val="Cost_Summary_-_USD3"/>
      <sheetName val="Price_Summary_-_Offshore3"/>
      <sheetName val="Factory_&amp;_Import_Material3"/>
      <sheetName val="Labour_Hours_Upload3"/>
      <sheetName val="Technical_Info_3"/>
      <sheetName val="PM_Cost3"/>
      <sheetName val="SED_INPUT3"/>
      <sheetName val="Du_lieu_ban_dau3"/>
      <sheetName val="GZ_TP3"/>
      <sheetName val="GZ_VT3"/>
      <sheetName val="Be_tong3"/>
      <sheetName val="bar_nor3"/>
      <sheetName val="conc_nor3"/>
      <sheetName val="conc_frus3"/>
      <sheetName val="conc_trap3"/>
      <sheetName val="bar_frus3"/>
      <sheetName val="bar_trap3"/>
      <sheetName val="ĐM4970_2016(Lap_dat_TBA)3"/>
      <sheetName val="Gia_Nhan_công3"/>
      <sheetName val="Đon_gia_228_sua_chua3"/>
      <sheetName val="ĐM01_2000(thinghiem_ĐZTTĐL)3"/>
      <sheetName val="ĐM1781_2007(T_N_đien_ĐZ&amp;TBA)3"/>
      <sheetName val="Cuoc_van_chuyen3"/>
      <sheetName val="Beam_reinfocement_schedule3"/>
      <sheetName val="Thong_so_dam3"/>
      <sheetName val="Wall_Block_C3"/>
      <sheetName val="General_Schedule3"/>
      <sheetName val="Factor_F_Data3"/>
      <sheetName val="bang_1_NCXD3"/>
      <sheetName val="bang_1_NCXD_(V_I)3"/>
      <sheetName val="2__Summary-cash3"/>
      <sheetName val="May_Goc_(QD2436)3"/>
      <sheetName val="VC_theo_cuoc_tinh3"/>
      <sheetName val="BCVC__3"/>
      <sheetName val="Bang_khoi_luong2"/>
      <sheetName val="NC_HY2"/>
      <sheetName val="NC_HN2"/>
      <sheetName val="Summary_-_Budget2"/>
      <sheetName val="KL_Chi_tiết_BV_dự_thầu2"/>
      <sheetName val="KL_chi_tiết_BV_thi_công2"/>
      <sheetName val="INDEX_HẠ_TẦNG3"/>
      <sheetName val="CTG_HẠ_TẦNG3"/>
      <sheetName val="DGG_HẠ_TẦNG3"/>
      <sheetName val="DGG_LB_CỌC3"/>
      <sheetName val="DGG_MT_CỌC3"/>
      <sheetName val="INFO_CỌC3"/>
      <sheetName val="INDEX_CỌC3"/>
      <sheetName val="Du_lieu_TKT3"/>
      <sheetName val="TÍNH_TOÁN_KHỐI_LƯỢNG_P63"/>
      <sheetName val="Assignment_Schedule2"/>
      <sheetName val="FINANCIAL_(FLR)2"/>
      <sheetName val="Bảng_dung_trọng3"/>
      <sheetName val="Tong_Luong_Thep2"/>
      <sheetName val="bang_tien_luong2"/>
      <sheetName val="Gia_2"/>
      <sheetName val="Bearing_Capacity2"/>
      <sheetName val="Kien_truc2"/>
      <sheetName val="Chuong_I2"/>
      <sheetName val="1_INPUT2"/>
      <sheetName val="Phan_tich_vat_tu2"/>
      <sheetName val="D_Trong2"/>
      <sheetName val="Du_thau_03xd2"/>
      <sheetName val="Cost_of_DM_Water3"/>
      <sheetName val="Other_assumptions3"/>
      <sheetName val="Field_Lists3"/>
      <sheetName val="CUSTOMER_GROUP_WISE2"/>
      <sheetName val="Q4_2009_History2"/>
      <sheetName val="_Final_Balance_Sheet2"/>
      <sheetName val="Sch2_-_BalSht_Summary3"/>
      <sheetName val="Sch1_-_P&amp;L_Summary3"/>
      <sheetName val="Interest_on_WC2"/>
      <sheetName val="CAN_DOI_-_KET_QUA4"/>
      <sheetName val="Pivot_Financials3"/>
      <sheetName val="Review_20153"/>
      <sheetName val="People_3"/>
      <sheetName val="Production_volumes3"/>
      <sheetName val="Salary_increase_budget_assump_3"/>
      <sheetName val="Production_initiative3"/>
      <sheetName val="Prod__KPI_-_OEE%3"/>
      <sheetName val="B&amp;P_KPI3"/>
      <sheetName val="Customer_SC3"/>
      <sheetName val="Production_KPIs3"/>
      <sheetName val="Total_losses3"/>
      <sheetName val="Savings_overview3"/>
      <sheetName val="Prod_FTE_Dev_3"/>
      <sheetName val="Log_FTE_Dev_3"/>
      <sheetName val="Loss_tree3"/>
      <sheetName val="Inventory_development3"/>
      <sheetName val="Capex_Phasing3"/>
      <sheetName val="Std_to_Std_MC_only3"/>
      <sheetName val="Top_20_BOM3"/>
      <sheetName val="MC_Development_OLD3"/>
      <sheetName val="NMC_&amp;_Log_Ass_3"/>
      <sheetName val="_Material_Ass_3"/>
      <sheetName val="COGS_Dev_3"/>
      <sheetName val="MC_Dev_3"/>
      <sheetName val="NMC_Dev_3"/>
      <sheetName val="NMC_Development_OLD3"/>
      <sheetName val="Log_Dev_3"/>
      <sheetName val="Prod__capex_overview3"/>
      <sheetName val="Production_-_Risks_&amp;_Opport_3"/>
      <sheetName val="AOCM_Overview3"/>
      <sheetName val="AOCM_Cost_Group_Summary3"/>
      <sheetName val="Sievo_Saving3"/>
      <sheetName val="AOCM_Sub-group3"/>
      <sheetName val="Quality_RFT3"/>
      <sheetName val="Back-up_3"/>
      <sheetName val="Absorption_Phasing3"/>
      <sheetName val="One_off3"/>
      <sheetName val="Reporting_changes3"/>
      <sheetName val="Prod__KPI_-_OEE%_by_line3"/>
      <sheetName val="Key_dependencies3"/>
      <sheetName val="Orgex_and_restructuring3"/>
      <sheetName val="COGS_movement3"/>
      <sheetName val="Back-up_HR3"/>
      <sheetName val="2016_FTE_Variability3"/>
      <sheetName val="2_Sievo_saving_recon__vs_bridg3"/>
      <sheetName val="1__PPV_recon__T04_vs_bridges3"/>
      <sheetName val="INPUT_&amp;_Guidance3"/>
      <sheetName val="data_for_deck,_thinkcell3"/>
      <sheetName val="Flash_call_deck3"/>
      <sheetName val="Supply_chain_bridge3"/>
      <sheetName val="COS_bridge3"/>
      <sheetName val="3_Gross_&amp;_Net_efficiency_repor3"/>
      <sheetName val="PVM_report3"/>
      <sheetName val="Capex_comments3"/>
      <sheetName val="Log_bridge3"/>
      <sheetName val="One_pager3"/>
      <sheetName val="Option_1,Data(from_HFM)_3"/>
      <sheetName val="Option_2,_Data(_Manual_Input)3"/>
      <sheetName val="FX_&amp;_HIERARCHY3"/>
      <sheetName val="Bihar_Plant_FAR2"/>
      <sheetName val="Verification_Report2"/>
      <sheetName val="BASE_GRAPHE2"/>
      <sheetName val="CTG_(GIAM)2"/>
      <sheetName val="Beam__2_2"/>
      <sheetName val="B_1_Engineering2"/>
      <sheetName val="Mobilisasi_&amp;_Demob2"/>
      <sheetName val="B_2_5_Proc_&amp;_Constr_Civil12"/>
      <sheetName val="B_2_3_Proc_&amp;_Constr_Electrical2"/>
      <sheetName val="B_2_4_Proc_&amp;_Constr_Instru2"/>
      <sheetName val="B_2_1_Proc_&amp;_Constr_Mech_2"/>
      <sheetName val="B_2_2_Proc_&amp;_Constr_Pipe_2"/>
      <sheetName val="Work_Permit2"/>
      <sheetName val="Agregat_Halus_&amp;_Kasar2"/>
      <sheetName val="Data_Tower2"/>
      <sheetName val="Du_thau_dau_noi2"/>
      <sheetName val="Du_Thau2"/>
      <sheetName val="Du_thau_PSBS2"/>
      <sheetName val="DG_theo_HD_PSBS2"/>
      <sheetName val="Du_thau_TC112"/>
      <sheetName val="DETAIL_PROGRESS_CLAIM2"/>
      <sheetName val="3_NGAN_SACH2"/>
      <sheetName val="2_PHAN_TICH2"/>
      <sheetName val="Phan_tich_don_gia_de_xuat_-_ca2"/>
      <sheetName val="간접비_총괄표3"/>
      <sheetName val="DG_THIET_BI2"/>
      <sheetName val="DG_vat_lieu2"/>
      <sheetName val="Loại_22"/>
      <sheetName val="Chi_tiet_VL-NC-MTC2"/>
      <sheetName val="Chiet_tinh_dz222"/>
      <sheetName val="A1_82"/>
      <sheetName val="DZ_352"/>
      <sheetName val="DP_TRUOT_GIA2"/>
      <sheetName val="VL-NC-M_2"/>
      <sheetName val="VL_NC_M2"/>
      <sheetName val="Đơn_trọng2"/>
      <sheetName val="DTCT_-XL_42"/>
      <sheetName val="EE_(3)2"/>
      <sheetName val="Tra_Cứu2"/>
      <sheetName val="Ban_Qua_do2"/>
      <sheetName val="Dự_kiến_SL-NT_20132"/>
      <sheetName val="SL_HM-T1_20142"/>
      <sheetName val="TT_16-20192"/>
      <sheetName val="Giai_trinh2"/>
      <sheetName val="Cost_center2"/>
      <sheetName val="Details_Sales_(local)3"/>
      <sheetName val="FA_list2"/>
      <sheetName val="Enc_3A2"/>
      <sheetName val="Fixed_Prof_Fees2"/>
      <sheetName val="BS,_PL,_Sch_5_to_92"/>
      <sheetName val="301_RTI2"/>
      <sheetName val="1__Questionnaire2"/>
      <sheetName val="Excise_on_RM2"/>
      <sheetName val="_Payroll_Empl_(Wkng)2"/>
      <sheetName val="Insight_28-6-002"/>
      <sheetName val="DL_codes2"/>
      <sheetName val="Simulator_Detail2"/>
      <sheetName val="Trnf_to_Reimb_2"/>
      <sheetName val="Power_&amp;_Fuel_(S)2"/>
      <sheetName val="Book_details2"/>
      <sheetName val="July_06-Mar_072"/>
      <sheetName val="Ctiet_Cthe2"/>
      <sheetName val="Window_Door_schedule2"/>
      <sheetName val="M_672"/>
      <sheetName val="Summary_of_My_Chanh_Bridge2"/>
      <sheetName val="My_Chanh_Bridge2"/>
      <sheetName val="Summary_of_Phu_Bai_Bridge2"/>
      <sheetName val="Summary_of_Nong_Bridge2"/>
      <sheetName val="Nong_Bridge2"/>
      <sheetName val="Summary_of_Phong_Le_Bridge2"/>
      <sheetName val="Phong_Le_Bridge2"/>
      <sheetName val="Summary_of_Ky_Lam_Bridge2"/>
      <sheetName val="Nghỉ_lễ2"/>
      <sheetName val="ﾄﾞﾊﾞｲFUEL_GAS追見2"/>
      <sheetName val="Wall_Pier2"/>
      <sheetName val="IV_1_Lkdt2"/>
      <sheetName val="III_2_dah2"/>
      <sheetName val="II_2_dn2"/>
      <sheetName val="IV_2_Lkdd2"/>
      <sheetName val="III_1_tai2"/>
      <sheetName val="DA01_HD-List2"/>
      <sheetName val="DM01_CDT2"/>
      <sheetName val="DM02_NT2"/>
      <sheetName val="NT01_HD-List2"/>
      <sheetName val="DG_CANTHO2"/>
      <sheetName val="Check_C2"/>
      <sheetName val="BANG_TONGHOP2"/>
      <sheetName val="SUMMARY_QUANTITIES2"/>
      <sheetName val="DM_17813"/>
      <sheetName val="Giá_đến_hiện_trường2"/>
      <sheetName val="DG_2852"/>
      <sheetName val="DG__2862"/>
      <sheetName val="DG_852"/>
      <sheetName val="DG_892"/>
      <sheetName val="DGVCTC_2852"/>
      <sheetName val="M6A-208_Steering_dust2"/>
      <sheetName val="JT3_0견적-구12"/>
      <sheetName val="SELISIH_HARGA2"/>
      <sheetName val="Code_HT_CB_-OT2"/>
      <sheetName val="Code_HT_CB_-_PO2"/>
      <sheetName val="DOOR_A_(4-roof)2"/>
      <sheetName val="Door_HT2"/>
      <sheetName val="DOOR_B1_(4-roof)2"/>
      <sheetName val="DOOR_B2_(4-roof)2"/>
      <sheetName val="rate_code2"/>
      <sheetName val="Xuất_DL_AP2"/>
      <sheetName val="Xuất_DL_OT2"/>
      <sheetName val="Xuat_DL_PO2"/>
      <sheetName val="Ban_QD2"/>
      <sheetName val="SL_DT_2011so_sanh2"/>
      <sheetName val="Main_Model2"/>
      <sheetName val="Xuly_Data2"/>
      <sheetName val="Cst_Pkg-Eden2"/>
      <sheetName val="Cashflow_Analysis2"/>
      <sheetName val="Labor_Sum2"/>
      <sheetName val="Sheet1_(2)2"/>
      <sheetName val="Chi_Thao2"/>
      <sheetName val="4__Đo_bóc_KL2"/>
      <sheetName val="V_c_noi_bo2"/>
      <sheetName val="Tổng_kê2"/>
      <sheetName val="Kich_thuoc_mo_M1-nam_lay2"/>
      <sheetName val="Dau_vào2"/>
      <sheetName val="Data-SỔ_KHO2"/>
      <sheetName val="SỔ_KHO2"/>
      <sheetName val="BSD_(2)2"/>
      <sheetName val="Thông_tin_chung2"/>
      <sheetName val="B1_CN2"/>
      <sheetName val="Đường_dây2"/>
      <sheetName val="Vị_trí2"/>
      <sheetName val="Đơn_giá-NC2"/>
      <sheetName val="Đơn_giá-VL-CM2"/>
      <sheetName val="KL_CHI_TIET2"/>
      <sheetName val="Anx_102"/>
      <sheetName val="Full_20122"/>
      <sheetName val="Summary_Page_VDF2"/>
      <sheetName val="Invested_capital_VDF2"/>
      <sheetName val="BB_Contribution_by_store_T__2"/>
      <sheetName val="DG_SUA_CHUA2"/>
      <sheetName val="TAM_TINH2"/>
      <sheetName val="080_(2)3"/>
      <sheetName val="BTO_Dept_4"/>
      <sheetName val="Input_&amp;_Instruct4"/>
      <sheetName val="Purchase_Calc_3"/>
      <sheetName val="Balance_Sheet3"/>
      <sheetName val="Report_Summary3"/>
      <sheetName val="Monthly_Notes3"/>
      <sheetName val="Trial_Bal2"/>
      <sheetName val="CC_Inventory_Assumption2"/>
      <sheetName val="Validation_and_Lookup_tables2"/>
      <sheetName val="Dec__08_RDD2"/>
      <sheetName val="Int_Others2"/>
      <sheetName val="Sub_Lead2"/>
      <sheetName val="nhat_ky_2"/>
      <sheetName val="DGKL_L2_THÉP_MÓNG2"/>
      <sheetName val="Bieu_chi_tiet_gia_du_thau2"/>
      <sheetName val="Gia_vat_lieu_trong_gia_du_thau2"/>
      <sheetName val="Bang_phan_tich_don_gia_du_thau2"/>
      <sheetName val="Costos_Alt22"/>
      <sheetName val="B-10_otros_activos_20032"/>
      <sheetName val="B-10_otros_activos_20042"/>
      <sheetName val="liste_ANDI2"/>
      <sheetName val="Daily_Forwards2"/>
      <sheetName val="CREDIT_STATS2"/>
      <sheetName val="basic_inputs2"/>
      <sheetName val="INSTRUCTION_Read_me2"/>
      <sheetName val="DATOS_DE_CAMPO2"/>
      <sheetName val="Basic_Data_Inputs2"/>
      <sheetName val="Du_lieu_dau_vao2"/>
      <sheetName val="Du_lieu_TKT1"/>
      <sheetName val="간접비_총괄표1"/>
      <sheetName val="ﾄﾞﾊﾞｲFUEL_GAS追見"/>
      <sheetName val="Wall_Pier"/>
      <sheetName val="DM_17811"/>
      <sheetName val="Giá_đến_hiện_trường"/>
      <sheetName val="DG_285"/>
      <sheetName val="DG__286"/>
      <sheetName val="DG_85"/>
      <sheetName val="DG_89"/>
      <sheetName val="DGVCTC_285"/>
      <sheetName val="M6A-208_Steering_dust"/>
      <sheetName val="JT3_0견적-구1"/>
      <sheetName val="SL_DT_2011so_sanh"/>
      <sheetName val="Cashflow_Analysis"/>
      <sheetName val="Labor_Sum"/>
      <sheetName val="BSD_(2)"/>
      <sheetName val="BB_Contribution_by_store_T__"/>
      <sheetName val="080_(2)1"/>
      <sheetName val="BTO_Dept_2"/>
      <sheetName val="Input_&amp;_Instruct2"/>
      <sheetName val="Purchase_Calc_1"/>
      <sheetName val="Balance_Sheet1"/>
      <sheetName val="Report_Summary1"/>
      <sheetName val="Monthly_Notes1"/>
      <sheetName val="Trial_Bal"/>
      <sheetName val="CC_Inventory_Assumption"/>
      <sheetName val="Validation_and_Lookup_tables"/>
      <sheetName val="Dec__08_RDD"/>
      <sheetName val="Int_Others"/>
      <sheetName val="Sub_Lead"/>
      <sheetName val="TH_DZ3520"/>
      <sheetName val="RAB_AR&amp;STR18"/>
      <sheetName val="chi_tiet_TBA18"/>
      <sheetName val="chi_tiet_C18"/>
      <sheetName val="DON_GIA_CAN_THO20"/>
      <sheetName val="Don_gia18"/>
      <sheetName val="Don_gia_chi_tiet18"/>
      <sheetName val="Customize_Your_Purchase_Order18"/>
      <sheetName val="DON_GIA_TRAM_(3)18"/>
      <sheetName val="CHITIET_VL-NC-TT_-1p18"/>
      <sheetName val="CHITIET_VL-NC-TT-3p17"/>
      <sheetName val="TONG_HOP_VL-NC_TT18"/>
      <sheetName val="KPVC-BD_18"/>
      <sheetName val="HĐ_ngoài17"/>
      <sheetName val="XT_Buoc_317"/>
      <sheetName val="dongia_(2)17"/>
      <sheetName val="S-curve_17"/>
      <sheetName val="Commercial_value17"/>
      <sheetName val="7606_DZ18"/>
      <sheetName val="Ky_Lam_Bridge17"/>
      <sheetName val="Provisional_Sums_Item17"/>
      <sheetName val="Gas_Pressure_Welding17"/>
      <sheetName val="General_Item&amp;General_Requirem17"/>
      <sheetName val="General_Items17"/>
      <sheetName val="Regenral_Requirements17"/>
      <sheetName val="TONG_HOP_VL-NC17"/>
      <sheetName val="So_doi_chieu_LC17"/>
      <sheetName val="project_management17"/>
      <sheetName val="Adix_A17"/>
      <sheetName val="MAIN_GATE_HOUSE17"/>
      <sheetName val="REINF_17"/>
      <sheetName val="Rates_200917"/>
      <sheetName val="Đầu_vào16"/>
      <sheetName val="MH_RATE17"/>
      <sheetName val="A1_CN16"/>
      <sheetName val="Data_Input17"/>
      <sheetName val="Du_toan17"/>
      <sheetName val="chiet_tinh17"/>
      <sheetName val="Ng_hàng_xà+bulong17"/>
      <sheetName val="Bang_KL17"/>
      <sheetName val="DM_606117"/>
      <sheetName val="Equip_16"/>
      <sheetName val="DG_thep_ma_kem17"/>
      <sheetName val="Lcau_-_Lxuc17"/>
      <sheetName val="Chi_tiet_XD_TBA16"/>
      <sheetName val="EIRR&gt;_216"/>
      <sheetName val="TONG_HOP_T5_199816"/>
      <sheetName val="CT_vat_lieu17"/>
      <sheetName val="Trạm_biến_áp16"/>
      <sheetName val="Đơn_Giá_16"/>
      <sheetName val="Chenh_lech_vat_tu16"/>
      <sheetName val="Diện_tích16"/>
      <sheetName val="1_Khái_toán16"/>
      <sheetName val="13-Cốt_thép_(10mm&lt;D≤18mm)_FO115"/>
      <sheetName val="6787CWFASE2CASE2_00_xls16"/>
      <sheetName val="CT-0_4KV16"/>
      <sheetName val="rate_material16"/>
      <sheetName val="4_PTDG16"/>
      <sheetName val="DG_DZ17"/>
      <sheetName val="DG_TBA17"/>
      <sheetName val="Chi_tiet_KL16"/>
      <sheetName val="Tổng_hợp_KL16"/>
      <sheetName val="KL_Chi_tiết_Xây_tô16"/>
      <sheetName val="07Base_Cost16"/>
      <sheetName val="Bill_1_Quy_dinh_chung16"/>
      <sheetName val="1_R18_BF16"/>
      <sheetName val="6_External_works-R1816"/>
      <sheetName val="Phan_khai_KLuong16"/>
      <sheetName val="04_-_XUONG_DET_B16"/>
      <sheetName val="Area_Cal16"/>
      <sheetName val="_0316"/>
      <sheetName val="chieu_day_san16"/>
      <sheetName val="Podium_Concrete_Works16"/>
      <sheetName val="KLCT-_TOWER16"/>
      <sheetName val="KLCT-_PODIUM16"/>
      <sheetName val="Xay_lapduongR316"/>
      <sheetName val="Gia_thanh_chuoi_su16"/>
      <sheetName val="Tiep_dia16"/>
      <sheetName val="Don_gia_vung_III-Can_Tho16"/>
      <sheetName val="Loại_Vật_tư16"/>
      <sheetName val="Measure_130616"/>
      <sheetName val="gia_cong_tac16"/>
      <sheetName val="Isolasi_Luar_Dalam16"/>
      <sheetName val="Isolasi_Luar16"/>
      <sheetName val="Analisa_Gabungan16"/>
      <sheetName val="GV1-D13_(Casement_door)16"/>
      <sheetName val="Project_Data16"/>
      <sheetName val="Elect_(3)16"/>
      <sheetName val="plan&amp;section_of_foundation16"/>
      <sheetName val="design_criteria16"/>
      <sheetName val="Bond_수수료_계산_포맷16"/>
      <sheetName val="ITB_COST16"/>
      <sheetName val="PAGE_116"/>
      <sheetName val="6PILE__(돌출)16"/>
      <sheetName val="HÐ_ngoài17"/>
      <sheetName val="DM_6716"/>
      <sheetName val="Đầu_tư16"/>
      <sheetName val="Chenh_lech_ca_may16"/>
      <sheetName val="TLg_CN&amp;Laixe16"/>
      <sheetName val="TLg_CN&amp;Laixe_(2)16"/>
      <sheetName val="TLg_Laitau16"/>
      <sheetName val="TLg_Laitau_(2)16"/>
      <sheetName val="ESTI_16"/>
      <sheetName val="KL_san_lap16"/>
      <sheetName val="Bill_01_-_CTN16"/>
      <sheetName val="Bill_2_2_Villa_2_beds16"/>
      <sheetName val="DETAIL_16"/>
      <sheetName val="dg_tphcm16"/>
      <sheetName val="T_KÊ_K_CẤU16"/>
      <sheetName val="A1,_May16"/>
      <sheetName val="Vat_lieu16"/>
      <sheetName val="Door_and_window10"/>
      <sheetName val="Harga_ME_16"/>
      <sheetName val="_Bill_5-Earthing_2_-_Add_Work16"/>
      <sheetName val="Bill_02_-_Xay_gach-Pou_16"/>
      <sheetName val="Bill_03-Chống_thấm-Pou16"/>
      <sheetName val="Bill_04-Kim_loại-Pou16"/>
      <sheetName val="Bill_05_-_Hoan_thien-Pou_16"/>
      <sheetName val="Bill_02_-_Xay_gach-Tower16"/>
      <sheetName val="Bill_03-Chống_thấm-Tower16"/>
      <sheetName val="Bill_04-Kim_loại-Tower16"/>
      <sheetName val="Bill_05_-_Hoan_thien-Tower16"/>
      <sheetName val="KL-_KHAC16"/>
      <sheetName val="BILL_3_-_KẾT_CẤU_HẦM16"/>
      <sheetName val="PTĐG_LTBT16"/>
      <sheetName val="CTG-PRECHEx1_416"/>
      <sheetName val="CTG-AB_(2)16"/>
      <sheetName val="CTG-AB_(3)16"/>
      <sheetName val="CTG-PLP-1_0816"/>
      <sheetName val="Pre_Đội_nhóm16"/>
      <sheetName val="Vat_tu_XD16"/>
      <sheetName val="CẤP_THOÁT_NƯỚC16"/>
      <sheetName val="Cước_VC_+_ĐM_CP_Tư_vấn16"/>
      <sheetName val="Hệ_số16"/>
      <sheetName val="THDT_goi_thau_TB16"/>
      <sheetName val="Tien_do_TV16"/>
      <sheetName val="Tower_-_Concrete_Works16"/>
      <sheetName val="Bill-04_ket_cau_thap-_UNI16"/>
      <sheetName val="TH_Vat_tu16"/>
      <sheetName val="Bang_trong_luong_rieng_thep16"/>
      <sheetName val="LV_data16"/>
      <sheetName val="Gia_vat_tu16"/>
      <sheetName val="TH_MTC16"/>
      <sheetName val="TH_N_Cong16"/>
      <sheetName val="Equipment_list_(PAC)16"/>
      <sheetName val="TINH_KHOI_LUONG16"/>
      <sheetName val="DATA_BASE16"/>
      <sheetName val="bridge_#_116"/>
      <sheetName val="Bang_3_Chi_tiet_phan_Dz16"/>
      <sheetName val="KHOI_LUONG16"/>
      <sheetName val="HVAC_BLOCK_B416"/>
      <sheetName val="subcon_sched16"/>
      <sheetName val="Chi_tiet16"/>
      <sheetName val="Buy_vs__Lease_Car16"/>
      <sheetName val="BẢNG_KHỐI_LƯỢNG_TỔNG_HỢP15"/>
      <sheetName val="CTKL_KTX_HT15"/>
      <sheetName val="CP_Khac_cuoc_VC15"/>
      <sheetName val="Budget_Code15"/>
      <sheetName val="2_Chiet_tinh15"/>
      <sheetName val="du_lieu_du_toan15"/>
      <sheetName val="PRE_(E)16"/>
      <sheetName val="Luong_NII15"/>
      <sheetName val="DINH_MUC_THI_NGHIEM15"/>
      <sheetName val="Luong_NI15"/>
      <sheetName val="NHÀ_NHẬP_LIỆU15"/>
      <sheetName val="MÓNG_SILO15"/>
      <sheetName val="BOQ_THAN15"/>
      <sheetName val="Tong_du_toan15"/>
      <sheetName val="Bill_2_-_ketcau15"/>
      <sheetName val="D_&amp;_W_sizes15"/>
      <sheetName val="DL_ĐẦU_VÀO15"/>
      <sheetName val="Chi_tiet_lan_can15"/>
      <sheetName val="Purchase_Order15"/>
      <sheetName val="Analisa_&amp;_Upah15"/>
      <sheetName val="Nhap_VT_oto13"/>
      <sheetName val="dm_36613"/>
      <sheetName val="DM_606013"/>
      <sheetName val="Du_lieu16"/>
      <sheetName val="Phan_tich15"/>
      <sheetName val="CT_Thang_Mo15"/>
      <sheetName val="CT__PL15"/>
      <sheetName val="dongia__2_15"/>
      <sheetName val="Thép_CKN15"/>
      <sheetName val="GOC-KO_IN15"/>
      <sheetName val="MAU_8A15"/>
      <sheetName val="MAU_8B15"/>
      <sheetName val="MAU_915"/>
      <sheetName val="MAU_1015"/>
      <sheetName val="cash_budget15"/>
      <sheetName val="sochitiettaikhoan_15"/>
      <sheetName val="Share_price_data15"/>
      <sheetName val="19_315"/>
      <sheetName val="20_315"/>
      <sheetName val="Chieu_4_315"/>
      <sheetName val="Cow_req15"/>
      <sheetName val="TỔNG_HỢP15"/>
      <sheetName val="14-LẦN_3-CHIỀU15"/>
      <sheetName val="14-LẦN_1-SÁNG15"/>
      <sheetName val="14-LẦN_2-TRƯA15"/>
      <sheetName val="1_3+1_4-TOTAL_-_Ko_IN15"/>
      <sheetName val="2_1-LẦN_3-CHIỀU15"/>
      <sheetName val="2_1-LẦN_1-SÁNG15"/>
      <sheetName val="2_1-LẦN_2-TRƯA15"/>
      <sheetName val="2_1-TOTAL-Ko_IN15"/>
      <sheetName val="1_3(TMR_4)15"/>
      <sheetName val="CHO_DE15"/>
      <sheetName val="1_1+1_2+2_2+2_3(TMR_3)15"/>
      <sheetName val="CK1+CK2_(VS_SAN_CHOI_23)15"/>
      <sheetName val="CK1+CK2_(2)15"/>
      <sheetName val="12-16_THÁNG15"/>
      <sheetName val="CAN_SỮA15"/>
      <sheetName val="54+55+56(SAU_CAI_SỮA-6)15"/>
      <sheetName val="BÊ_71-90_NGÀY15"/>
      <sheetName val="BÊ_12-16_tháng15"/>
      <sheetName val="BÊ_6-1215"/>
      <sheetName val="BÊ_1-315"/>
      <sheetName val="F01-BC_KHAU_PHAN_SANG_20_315"/>
      <sheetName val="F01-BC_KHAU_PHAN_CHIEU_19_315"/>
      <sheetName val="dinh_mưc_cty15"/>
      <sheetName val="Giá_thành15"/>
      <sheetName val="Thong_ke15"/>
      <sheetName val="Energy_for_milk_prod15"/>
      <sheetName val="DE_NGHI_XUAT_15"/>
      <sheetName val="phieu_xuat_mau15"/>
      <sheetName val="PHIEU_XUAT_CHIEU15"/>
      <sheetName val="11_rai_them_cỏ15"/>
      <sheetName val="PHU_LUC_02-_HDSD_CAC_BIEU_MAU15"/>
      <sheetName val="PhU_LUC_01-_MA_CAC_NHOM_BO15"/>
      <sheetName val="F03-BC_THUC_TRON_SANG_20_315"/>
      <sheetName val="F03-BC_THUC_TRON_CHIEU_19_315"/>
      <sheetName val="F02-BC_THEO_DOI_THUC_AN_DU15"/>
      <sheetName val="Tham_khao-_Bao_cao_xuat_thuc_15"/>
      <sheetName val="Dự_thầu13"/>
      <sheetName val="DK1_Don_gia15"/>
      <sheetName val="Dlieu_dau_vao15"/>
      <sheetName val="BANCO_(2)15"/>
      <sheetName val="MT_DPin_(2)15"/>
      <sheetName val="02__PTDG15"/>
      <sheetName val="Chiết_tính15"/>
      <sheetName val="Shareholders'_Equity15"/>
      <sheetName val="VC_xd13"/>
      <sheetName val="Gia_VLTB13"/>
      <sheetName val="B_Luong13"/>
      <sheetName val="C_May13"/>
      <sheetName val="Don_gia_(khong_in)15"/>
      <sheetName val="1_MONG_1-215"/>
      <sheetName val="BẢNG_ÁP_GIÁ_(in)12"/>
      <sheetName val="NT_(KL)_IN12"/>
      <sheetName val="DOM_D212"/>
      <sheetName val="nhà_ăn12"/>
      <sheetName val="Công_nhật12"/>
      <sheetName val="btkt_cột12"/>
      <sheetName val="DG_142612"/>
      <sheetName val="wk_prgs13"/>
      <sheetName val="TH_TN13"/>
      <sheetName val="Bill_No_3_-_Prov__Sum_(Ph2&amp;3)13"/>
      <sheetName val="Du_tru_CP-Bieu_0113"/>
      <sheetName val="TB_NẶNG13"/>
      <sheetName val="Ma_don_vi13"/>
      <sheetName val="bang_cc13"/>
      <sheetName val="AG_Pipe_Qty_Analysis13"/>
      <sheetName val="TK_chi_tiet13"/>
      <sheetName val="Bill_2-Road_HR213"/>
      <sheetName val="Bill_3_-_Softscape_HR213"/>
      <sheetName val="Hao_phí13"/>
      <sheetName val="CP_HMC13"/>
      <sheetName val="gui_BKCT12"/>
      <sheetName val="đọc_số13"/>
      <sheetName val="TH_các_CC12"/>
      <sheetName val="Don_gia_chi_tiet_DIEN_212"/>
      <sheetName val="Dự_toán13"/>
      <sheetName val="Đơn_Giá_TH13"/>
      <sheetName val="Nhân_công13"/>
      <sheetName val="Phân_tích13"/>
      <sheetName val="C_P_Thiết_bị13"/>
      <sheetName val="T_H_Kinh_phí13"/>
      <sheetName val="Vật_tư13"/>
      <sheetName val="Trang_bìa13"/>
      <sheetName val="CĂN_HỘ_T16-17_13"/>
      <sheetName val="TRỤC_ĐỨNG_THOÁT_BẨN_T15-1713"/>
      <sheetName val="TRỤC_ĐỨNG_TM_T15-1713"/>
      <sheetName val="THEP_TAM13"/>
      <sheetName val="THEP_HÌNH13"/>
      <sheetName val="THEP_HINH13"/>
      <sheetName val="XA_GO13"/>
      <sheetName val="BANG_TRA13"/>
      <sheetName val="Ｎｏ_1313"/>
      <sheetName val="DGchitiet_13"/>
      <sheetName val="Structure_data13"/>
      <sheetName val="HỆ_THỐNG_PHÒNG_CHÁY_CHỮA_CHÁY13"/>
      <sheetName val="HỆ_THỐNG_CẤP_THOÁT_NƯỚC13"/>
      <sheetName val="HỆ_THỐNG_ĐHKK13"/>
      <sheetName val="MÁY_PHÁT_ĐIỆN13"/>
      <sheetName val="HỆ_THỐNG_ĐIỆN13"/>
      <sheetName val="Thiết_bị_chính13"/>
      <sheetName val="CP_Du_phong13"/>
      <sheetName val="THCP_Lap_dat13"/>
      <sheetName val="THCP_xay_dung13"/>
      <sheetName val="Tong_hop_kinh_phi13"/>
      <sheetName val="2_1Warehouse_113"/>
      <sheetName val="CHI_PHI13"/>
      <sheetName val="Main_Bldg-Rev0213"/>
      <sheetName val="D&amp;W_def_13"/>
      <sheetName val="Nhan_cong13"/>
      <sheetName val="Thiet_bi13"/>
      <sheetName val="Vat_tu13"/>
      <sheetName val="DM_ChiPhi13"/>
      <sheetName val="May_TC13"/>
      <sheetName val="TH_Kinh_phi13"/>
      <sheetName val="Ptvl_13"/>
      <sheetName val="Móng,_nền_13"/>
      <sheetName val="1_Requisition(E)13"/>
      <sheetName val="Theo_doi_Doanh_thu_201712"/>
      <sheetName val="TONG_HOP13"/>
      <sheetName val="phan_tic_chi_tiet13"/>
      <sheetName val="3__CNT12"/>
      <sheetName val="unit_price_list(M)12"/>
      <sheetName val="Data_Wall13"/>
      <sheetName val="Gia_vat_lieu12"/>
      <sheetName val="Chi_tiet_-tong_9_thang12"/>
      <sheetName val="Tổng_GT13"/>
      <sheetName val="Chi_tiết_KL13"/>
      <sheetName val="khấu_trừ_phạt13"/>
      <sheetName val="GT__KHAU_TRU13"/>
      <sheetName val="HAO_HUT_VAT_TU_(2)13"/>
      <sheetName val="cao_độ13"/>
      <sheetName val="Chi_tiet_cong_no13"/>
      <sheetName val="PHÁT_SINH_TẦNG_1_13"/>
      <sheetName val="PHÁT_SINH_TẦNG_213"/>
      <sheetName val="Hầm_chuyển_psinh13"/>
      <sheetName val="Ống_thẳng13"/>
      <sheetName val="Côn_thu13"/>
      <sheetName val="Vuông_tròn13"/>
      <sheetName val="Chân_rẽ13"/>
      <sheetName val="Chạc_ba13"/>
      <sheetName val="0__Input12"/>
      <sheetName val="KL_THEP__GIAM_DO_DUNG_COUPLER12"/>
      <sheetName val="01_KL_THÉP_NHẬP_VỀ12"/>
      <sheetName val="2__NT_VLDV12"/>
      <sheetName val="GHI_CHU12"/>
      <sheetName val="1_BB_LMHT12"/>
      <sheetName val="1_2_Staff_Schedule12"/>
      <sheetName val="Precios_unitarios_AXH12"/>
      <sheetName val="Bill_Prelim-CDT12"/>
      <sheetName val="Bill_BPTC-CDT12"/>
      <sheetName val="Chi_tiết_BPTC12"/>
      <sheetName val="Bill_BPTC-CDT_(PA_MCT_CDT)12"/>
      <sheetName val="Chi_tiết_BPTC_(PA_MCT_CDT)12"/>
      <sheetName val="Bê_tông_bảo_vệ12"/>
      <sheetName val="01__Data12"/>
      <sheetName val="Neo,_nối_cốt_thép_dầm,_cột12"/>
      <sheetName val="Uốn_móc_cốt_thép12"/>
      <sheetName val="Tiêu_chuẩn_cốt_thép12"/>
      <sheetName val="So_lieu_chung12"/>
      <sheetName val="TH_VL,_NC,_DDHT_Thanhphuoc12"/>
      <sheetName val="1__Office12"/>
      <sheetName val="KHOI_LUONG15-412"/>
      <sheetName val="Doi_so12"/>
      <sheetName val="DANH_MỤC_HỒ_SƠ12"/>
      <sheetName val="GT_PHÁT_SINH_NGOÀI_HĐ12"/>
      <sheetName val="KL_PHÁT_SINH_12"/>
      <sheetName val="PS_NGOÀI_HĐ12"/>
      <sheetName val="GT_PHÁT_SINH_VƯỢT_HĐ12"/>
      <sheetName val="PS_TĂNG_GIẢM_TRONG_HĐ12"/>
      <sheetName val="DGCT_PHÁT_SINH12"/>
      <sheetName val="DGCT_TRẦN_NLV12"/>
      <sheetName val="DGKL_chi_tiết_NLV12"/>
      <sheetName val="DGKL_chi_tiết_NHN,NK12"/>
      <sheetName val="TG_KL12"/>
      <sheetName val="DGCT_SƠN_BẢ_TƯỜNG_NLV12"/>
      <sheetName val="DGKL_TRẦN_NHN12"/>
      <sheetName val="MTO_REV_2(ARMOR)12"/>
      <sheetName val="KL_thep_lam_sat12"/>
      <sheetName val="DM-VNT_ko_sd12"/>
      <sheetName val="B3A_-_TOWER_A12"/>
      <sheetName val="Annex_B12"/>
      <sheetName val="Cotthep_NPT12"/>
      <sheetName val="vl_nc_mtc12"/>
      <sheetName val="1_Civil_(Org)12"/>
      <sheetName val="Tien_Thuong12"/>
      <sheetName val="NC_XL_6T_cuoi_01_CTy12"/>
      <sheetName val="Data_-6T_dau12"/>
      <sheetName val="Cong_6T12"/>
      <sheetName val="Bảng_đo_bóc_KL_OLK-0912"/>
      <sheetName val="6_3_CHI_TIET_OLK-0912"/>
      <sheetName val="Dot_412"/>
      <sheetName val="Chi_phi_van_chuyen12"/>
      <sheetName val="Tong_hop_vat_tu12"/>
      <sheetName val="1_San_12"/>
      <sheetName val="DT_hợp_đồng11"/>
      <sheetName val="Bảng_KL_đợt_111"/>
      <sheetName val="Dgia_vat_tu12"/>
      <sheetName val="Don_gia_III14"/>
      <sheetName val="D÷_liÖu12"/>
      <sheetName val="TLG_Type12"/>
      <sheetName val="Thop_Ksat12"/>
      <sheetName val="Thu_hoi_12"/>
      <sheetName val="HM_chung12"/>
      <sheetName val="CP_xd-thiet_bi12"/>
      <sheetName val="TH-TN_LD_TB12"/>
      <sheetName val="CP_xaydung12"/>
      <sheetName val="Thao_ha_phu_kien12"/>
      <sheetName val="VL-NC-MTC_ket_cau12"/>
      <sheetName val="KHOI_LUONG_TONG12"/>
      <sheetName val="TK_22KV12"/>
      <sheetName val="DM_366-177712"/>
      <sheetName val="Thi_nhiem12"/>
      <sheetName val="Gia_goc_VT-TB12"/>
      <sheetName val="Gia_vc_den_chan_CT12"/>
      <sheetName val="culy_2212"/>
      <sheetName val="Luong_205012"/>
      <sheetName val="ca_may_QN12"/>
      <sheetName val="TNHC1246_12"/>
      <sheetName val="Ca_may_TT06_201012"/>
      <sheetName val="Don_gia_VLXD_dia_phuong12"/>
      <sheetName val="Bang_luong_SCL12"/>
      <sheetName val="Dinh_muc_TN142612"/>
      <sheetName val="HRG_BHN12"/>
      <sheetName val="CĂN_ĐH12"/>
      <sheetName val="Div26_-_Elect12"/>
      <sheetName val="Tổng_hợp_KPHM11"/>
      <sheetName val="DM_336cai_tao12"/>
      <sheetName val="4_CĂN12"/>
      <sheetName val="PV_Graph_Data11"/>
      <sheetName val="Danh_mục11"/>
      <sheetName val="Q_A01_2-Sh12"/>
      <sheetName val="Dutoan_KL11"/>
      <sheetName val="doanh_thu11"/>
      <sheetName val="BTK-Dai_Hoc_Kien_Giang11"/>
      <sheetName val="GIÁ_DỰ_THẦU_30_CĂN11"/>
      <sheetName val="2_CDPS12"/>
      <sheetName val="DG_Chi_tiet11"/>
      <sheetName val="Kê_0,411"/>
      <sheetName val="TH_0,411"/>
      <sheetName val="Kê_2211"/>
      <sheetName val="TH_2211"/>
      <sheetName val="TBA_CAI_TAO11"/>
      <sheetName val="TBA_XDM11"/>
      <sheetName val="TONG_HOP_DU_TOAN11"/>
      <sheetName val="Thop_XAY_DUNG11"/>
      <sheetName val="CP_HANG_MUC_CHUNG11"/>
      <sheetName val="CHI_PHI_XD11"/>
      <sheetName val="CHI_PHI_THI_NGHIEM11"/>
      <sheetName val="VLDIEN_2211"/>
      <sheetName val="Dao_dat11"/>
      <sheetName val="TH_Denbu11"/>
      <sheetName val="Do_ve_DC11"/>
      <sheetName val="TH_Bommin11"/>
      <sheetName val="CHI_PHI_THI_NGHIEM-LD_thiet_b11"/>
      <sheetName val="Luong_TT0111"/>
      <sheetName val="Camay_QB11"/>
      <sheetName val="gia_ca_may_BXD11"/>
      <sheetName val="BANG_LUONG_KY_SU11"/>
      <sheetName val="Bang_luong_NHOM_I11"/>
      <sheetName val="Bangluong_NHOM_II_11"/>
      <sheetName val="09-GIA_nhien_lieu-ko_in11"/>
      <sheetName val="Tinh_V_cot_chiem_cho11"/>
      <sheetName val="ĐM_135411"/>
      <sheetName val="KHOAN_MAU11"/>
      <sheetName val="ĐO_ĐỊA_VẬT_LÝ11"/>
      <sheetName val="khoan_tiep_dia11"/>
      <sheetName val="DZ_22KV11"/>
      <sheetName val="_1710_HOINGHINLD11"/>
      <sheetName val="99_(2)11"/>
      <sheetName val="134_11"/>
      <sheetName val="DG_497011"/>
      <sheetName val="Heso_DZ12"/>
      <sheetName val="DG_BINH_THUAN12"/>
      <sheetName val="TINH_GIA_-_SAN_XUAT_Vertico11"/>
      <sheetName val="Financ__Overview11"/>
      <sheetName val="7_Khau_tru_12"/>
      <sheetName val="Don_gia_NC12"/>
      <sheetName val="Summary_Sheet11"/>
      <sheetName val="Finishing-Tower_A11"/>
      <sheetName val="Finishing-Tower_B11"/>
      <sheetName val="Finishing-Tower_C11"/>
      <sheetName val="Finishing-Tower_D11"/>
      <sheetName val="MEP-Tower_A11"/>
      <sheetName val="MEP-Tower_B11"/>
      <sheetName val="MEP-Tower_C11"/>
      <sheetName val="MEP-Tower_D11"/>
      <sheetName val="Cost_Report_Sum11"/>
      <sheetName val="Detail_Cost_Sum11"/>
      <sheetName val="RVO-VO_Sum11"/>
      <sheetName val="Potential_VOs_Sum11"/>
      <sheetName val="Cash_Flow_Sum11"/>
      <sheetName val="CAP_NUOC11"/>
      <sheetName val="cấp_nước_trục_nhà_vs11"/>
      <sheetName val="THOAT_NUOC11"/>
      <sheetName val="THOAT_MUA11"/>
      <sheetName val="Cáp_phòng11"/>
      <sheetName val="TMC_ĐIỆN_Phi11"/>
      <sheetName val="TMC_Tổng11"/>
      <sheetName val="TH_Đèn_Phòng_L111"/>
      <sheetName val="TH_Đèn_Hầm_L111"/>
      <sheetName val="TỦ_MODULE_T111"/>
      <sheetName val="B-2__(DPP)12"/>
      <sheetName val="13_BANG_CT11"/>
      <sheetName val="14_MMUS_GIUA_NHIP11"/>
      <sheetName val="4_HSPBngang11"/>
      <sheetName val="6_Tinh_tai11"/>
      <sheetName val="2_NSl11"/>
      <sheetName val="17_US_CHU_tho_a_b11"/>
      <sheetName val="15_MMUS_GOI11"/>
      <sheetName val="gia_vt,nc,may11"/>
      <sheetName val="Bieu_gia_HD11"/>
      <sheetName val="Huong_dan11"/>
      <sheetName val="5_2_1_Đo_bóc_KL_OLK-0611"/>
      <sheetName val="Dinh_muc11"/>
      <sheetName val="KS_tuyen11"/>
      <sheetName val="Bang_chiet_tinh_TBA11"/>
      <sheetName val="MB_DT_0211"/>
      <sheetName val="4_2_1_Đo_bóc_KL_OLK-0611"/>
      <sheetName val="4_1_1_CHI_TIET_OLK-0611"/>
      <sheetName val="THONG_SO11"/>
      <sheetName val="Đơn_giá_chi_tiết_TN_3911"/>
      <sheetName val="Bù_giá_CM10"/>
      <sheetName val="HERD_MOVEMENTFARM113"/>
      <sheetName val="HERD_MOVEMENTFARM213"/>
      <sheetName val="CALVES_2-413"/>
      <sheetName val="Cavles_2-413"/>
      <sheetName val="CALVES_4-713"/>
      <sheetName val="HEIFER_7-12m13"/>
      <sheetName val="HEIFER_12+13"/>
      <sheetName val="FRESH_COW_2017-1813"/>
      <sheetName val="HP_COW_201813"/>
      <sheetName val="LP_COW_2017-1813"/>
      <sheetName val="DRY_COW13"/>
      <sheetName val="FIELD_CROPS13"/>
      <sheetName val="EQUIP_LIST11"/>
      <sheetName val="So_sanh11"/>
      <sheetName val="DT__NHA_XUONG11"/>
      <sheetName val="Electrical_Works11"/>
      <sheetName val="H_T__INCOMING_SYSTEM11"/>
      <sheetName val="Cash_Flow11"/>
      <sheetName val="Gia_VT-TB11"/>
      <sheetName val="noi_suy_xa11"/>
      <sheetName val="noi_suy_xa_thu_hoi11"/>
      <sheetName val="Tính_giá_NC11"/>
      <sheetName val="Tiên_lượng11"/>
      <sheetName val="SL_cước11"/>
      <sheetName val="BU_LONG11"/>
      <sheetName val="Thuyết_minh11"/>
      <sheetName val="Đơn_giá_máy11"/>
      <sheetName val="¥_11"/>
      <sheetName val="CHITIET_VL-NCHT1_(2)10"/>
      <sheetName val="Tong_DT10"/>
      <sheetName val="phan_tich_don_gia10"/>
      <sheetName val="Bill_No_1_611"/>
      <sheetName val="Bill_No_1_1011"/>
      <sheetName val="Bill_No_3_311"/>
      <sheetName val="Bill_No_1_411"/>
      <sheetName val="Bill_No_1_711"/>
      <sheetName val="Summary_Bill_No__311"/>
      <sheetName val="Khai_toan5"/>
      <sheetName val="Phu_luc_01_1_EPC_P11-145"/>
      <sheetName val="TDT_P11-P145"/>
      <sheetName val="Chi_phi_khac_5"/>
      <sheetName val="Hang_muc_Chung5"/>
      <sheetName val="Bia_Phu_Luc5"/>
      <sheetName val="DATA_1_CHUNG5"/>
      <sheetName val="Muc_luc5"/>
      <sheetName val="Tra_cuu_9575"/>
      <sheetName val="Unit_price10"/>
      <sheetName val="3__KC_-_PODIUM10"/>
      <sheetName val="Breakdown_(B)10"/>
      <sheetName val="U_P_Breakdown10"/>
      <sheetName val="Bán_đợt_1_trang10"/>
      <sheetName val="CTDZ6kv_(gd1)_10"/>
      <sheetName val="CTDZ_0_4+cto_(GD1)10"/>
      <sheetName val="CTTBA_(gd1)10"/>
      <sheetName val="03_Detailed10"/>
      <sheetName val="01_Bid_Price_summary10"/>
      <sheetName val="Home_Office_Manhours10"/>
      <sheetName val="Field_SPV_Barchart10"/>
      <sheetName val="Luong_BN10"/>
      <sheetName val="Luong_TB10"/>
      <sheetName val="Ca_may_TB10"/>
      <sheetName val="Ca_máy_BN10"/>
      <sheetName val="Vật_liệu10"/>
      <sheetName val="LX_-TT0510"/>
      <sheetName val="NC_Moi_TT0510"/>
      <sheetName val="Tien_Luong10"/>
      <sheetName val="Cost_List10"/>
      <sheetName val="Detail_Cost10"/>
      <sheetName val="IC_Price_New10"/>
      <sheetName val="Summary_Table10"/>
      <sheetName val="Sales_Person10"/>
      <sheetName val="Bidding_Entity10"/>
      <sheetName val="Unit_price(Updateting)10"/>
      <sheetName val="Chiet_tinh_dz3510"/>
      <sheetName val="IMF_Code10"/>
      <sheetName val="Subsidiary_Calculation10"/>
      <sheetName val="Cau_tao_gia_xay_to6"/>
      <sheetName val="SGC_RATE5"/>
      <sheetName val="Tru_TT5"/>
      <sheetName val="Thg_045"/>
      <sheetName val="Thg_055"/>
      <sheetName val="Thg_065"/>
      <sheetName val="Thg_075"/>
      <sheetName val="Thg_085"/>
      <sheetName val="Thg_095"/>
      <sheetName val="Thg_105"/>
      <sheetName val="Thg_115"/>
      <sheetName val="Thg_125"/>
      <sheetName val="5_2_1_Đo_bóc_KL_OLK-1010"/>
      <sheetName val="Bia_lot10"/>
      <sheetName val="DT_san_XD-So_lieu_cu10"/>
      <sheetName val="THPDMoi__(2)6"/>
      <sheetName val="t-h_HA_THE6"/>
      <sheetName val="TH_XL6"/>
      <sheetName val="CHITIET_VL-NC6"/>
      <sheetName val="don_gia_142610"/>
      <sheetName val="Phu_Bai_Bridge10"/>
      <sheetName val="Chu_dau_tu6"/>
      <sheetName val="THÔNG_TIN6"/>
      <sheetName val="w't_table5"/>
      <sheetName val="FF-2_(1)10"/>
      <sheetName val="YTD_12'200310"/>
      <sheetName val="YTD_06'200310"/>
      <sheetName val="YTD_03'200310"/>
      <sheetName val="YTD_09'200310"/>
      <sheetName val="deferred_taxes10"/>
      <sheetName val="Eqpmnt_Plng10"/>
      <sheetName val="TRIAL_BALANCE10"/>
      <sheetName val="DPR_31st_march10"/>
      <sheetName val="current_month10"/>
      <sheetName val="Blng__Vs_Coll_10"/>
      <sheetName val="DM_DU_AN5"/>
      <sheetName val="DM_TP_5"/>
      <sheetName val="File_Chi_tiet5"/>
      <sheetName val="Danh_mục_khối5"/>
      <sheetName val="Danh_mục_đơn_vị_-phòng_chức_nă5"/>
      <sheetName val="BẢNG_DIỄN_GIẢI_KL_(7)10"/>
      <sheetName val="Probbl_-_Production5"/>
      <sheetName val="CHI_PHÍ_NHÔM5"/>
      <sheetName val="BILL_34Āᐁë5"/>
      <sheetName val="Currency_Rate5"/>
      <sheetName val="Dashboard_-_BQL_-_VHL5"/>
      <sheetName val="KEILA_TP_2020-075"/>
      <sheetName val="CFA_(ME)5"/>
      <sheetName val="MEP_Building5"/>
      <sheetName val="BOM-13_11-Other(PS1+PS2)5"/>
      <sheetName val="2__BBNT_KLHT5"/>
      <sheetName val="Dinh_Muc_Vat_Tu5"/>
      <sheetName val="mã_5"/>
      <sheetName val="CHITIET_VL-NC-TT1p5"/>
      <sheetName val="NHOM_KINH4"/>
      <sheetName val="TH_khoi_luong5"/>
      <sheetName val="Chi_tiet_khoi_luong5"/>
      <sheetName val="TK_thep5"/>
      <sheetName val="CT_THOÁT_WC_VP5"/>
      <sheetName val="CT_CẤP_WC_VP5"/>
      <sheetName val="CT_THOÁT_MƯA_VP_TRỤC_LỚN5"/>
      <sheetName val="CT_THOÁT_MƯA_VP_TRỤC_NHỎ5"/>
      <sheetName val="LUONG_SCL5"/>
      <sheetName val="Chênh_lệch_máy_thi_công4"/>
      <sheetName val="Chênh_lệch_nhân_công4"/>
      <sheetName val="Chênh_lệch_vật_liệu4"/>
      <sheetName val="Nhập_liệu3"/>
      <sheetName val="Luong_(TP_Việt_Trì)3"/>
      <sheetName val="DG_4"/>
      <sheetName val="Chao_gia_T12_RE4"/>
      <sheetName val="DSV6_Summ3"/>
      <sheetName val="Boc_KL_DAT+CAT+BT3"/>
      <sheetName val="Boc_KL_thép3"/>
      <sheetName val="Bieu_do_nhan_luc3"/>
      <sheetName val="Don_gia_XD4"/>
      <sheetName val="Aging_Sept4"/>
      <sheetName val="0_Data3"/>
      <sheetName val="0_Data_new3"/>
      <sheetName val="Auto_Monthly_Inputs_3"/>
      <sheetName val="Service_Cost_4"/>
      <sheetName val="Don_gia_Tay_Ninh4"/>
      <sheetName val="Don_gia_Dak_Lak4"/>
      <sheetName val="streeta_and_cacth_pit4"/>
      <sheetName val="Daf_14"/>
      <sheetName val="Gia_NC_theo_TT053"/>
      <sheetName val="Khoi_luong_kenh_dan2"/>
      <sheetName val="Thep_Be_TN(tai_C10)2"/>
      <sheetName val="Sum_ELE__CAP_S1-4__3"/>
      <sheetName val="CONSOIDATE_43"/>
      <sheetName val="CONSOIDATE_23"/>
      <sheetName val="PHẦN_KIẾN_TRÚC3"/>
      <sheetName val="Land_Dev't__Ph-13"/>
      <sheetName val="Hac_Lots3"/>
      <sheetName val="4-Lane_bridge3"/>
      <sheetName val="Res_Lots3"/>
      <sheetName val="Spine_Road3"/>
      <sheetName val="Bill_23"/>
      <sheetName val="Bill_33"/>
      <sheetName val="Bill_4a_-_1A3"/>
      <sheetName val="Bill_4a_(Fiber)_-_1A3"/>
      <sheetName val="Bill_4b3"/>
      <sheetName val="Bill_4c3"/>
      <sheetName val="Bill_53"/>
      <sheetName val="Bill_4a_-_1B3"/>
      <sheetName val="Bill_4a_(Fiber)_-_1B3"/>
      <sheetName val="So_sanh_gia3"/>
      <sheetName val="Luong_2622EVN3"/>
      <sheetName val="DO_AM_DT3"/>
      <sheetName val="01__Nha_xuong3"/>
      <sheetName val="Cước_CG3"/>
      <sheetName val="MTO_REV_03"/>
      <sheetName val="NC_CU3"/>
      <sheetName val="Cuoc_3"/>
      <sheetName val="gia_chao3"/>
      <sheetName val="Vat_lieu_BTN3"/>
      <sheetName val="Bank_Rev3"/>
      <sheetName val="BP_DECLINE_IT3"/>
      <sheetName val="Input_List3"/>
      <sheetName val="Valid_data_revised3"/>
      <sheetName val="DETAIL_MIX_%_REPORT3"/>
      <sheetName val="Fill_this_out_first___3"/>
      <sheetName val="BC_chi_tiết_TT3"/>
      <sheetName val="0,SO_LIEU_DAU_VAO3"/>
      <sheetName val="Corner_Arch3"/>
      <sheetName val="End_Arch3"/>
      <sheetName val="Intermediate_Arch3"/>
      <sheetName val="reinforcement_6753"/>
      <sheetName val="ext_wall_fin_qty3"/>
      <sheetName val="SL_Plum_3"/>
      <sheetName val="Physical_Schedule_3D3"/>
      <sheetName val="Hrg_Readymix3"/>
      <sheetName val="Input_-_Facilities3"/>
      <sheetName val="BP_CAPEX_MoD-100%_Area_4_USD3"/>
      <sheetName val="DGKL_TRỤC_NGOAI_NHA3"/>
      <sheetName val="5_2_1_Đo_bóc_KL_OLK-073"/>
      <sheetName val="Da_xay_dung3"/>
      <sheetName val="Elemental_Breakdown+20%3"/>
      <sheetName val="TCVN_1651-20082"/>
      <sheetName val="Dai_tu3"/>
      <sheetName val="02__PHAN_TICH3"/>
      <sheetName val="03__NGAN_SACH3"/>
      <sheetName val="6__Scope_of_work_3"/>
      <sheetName val="4_6_Phân_tích_nhân_sự_3"/>
      <sheetName val="4_5_Mức_độ_tham_gia_dự_án3"/>
      <sheetName val="Define_finishing3"/>
      <sheetName val="Dynamic_Ranges2"/>
      <sheetName val="242_3_summaryOPC3"/>
      <sheetName val="1_1General3"/>
      <sheetName val="Gia_giao_VL_den_HT2"/>
      <sheetName val="THONG_SO_KICH_THUOC2"/>
      <sheetName val="XL4Poppy_(2)3"/>
      <sheetName val="he_so_dong_thoi2"/>
      <sheetName val="CT_-THVLNC2"/>
      <sheetName val="Thang_012"/>
      <sheetName val="Thống_kê2"/>
      <sheetName val="BAN_IN2"/>
      <sheetName val="NOVA_MEDIC2"/>
      <sheetName val="DGKL_MEDIC2"/>
      <sheetName val="ADJ_20112"/>
      <sheetName val="THCP_thiet_bi2"/>
      <sheetName val="Piano_Montaggio_PO-02_bozza22"/>
      <sheetName val="SLTh_ke2"/>
      <sheetName val="OVER_VIEW2"/>
      <sheetName val="SCOPE_OF_WORK2"/>
      <sheetName val="Listes_Caractéristiques2"/>
      <sheetName val="Liste_Référentiel2"/>
      <sheetName val="Bill_4_1a___2"/>
      <sheetName val="chi_tiet_TS_theo_so_lieu_ktoan2"/>
      <sheetName val="DS_Cty2"/>
      <sheetName val="THÁNG_052"/>
      <sheetName val="TONGKE3p_2"/>
      <sheetName val="Data_(2)2"/>
      <sheetName val="Book_1_Summary2"/>
      <sheetName val="1_설계조건2"/>
      <sheetName val="Wood_Mckenzie2"/>
      <sheetName val="Đầu_ra_sản_phẩm2"/>
      <sheetName val="Tổng_quan_và_Input2"/>
      <sheetName val="Đầu_vào_sản_xuất2"/>
      <sheetName val="Tính_toán_doanh_thu2"/>
      <sheetName val="Phân_tích_độ_nhạy2"/>
      <sheetName val="Khấu_hao_TSCĐ2"/>
      <sheetName val="Nguồn_vốn2"/>
      <sheetName val="Giải_ngân_nguồn_vốn2"/>
      <sheetName val="Tính_toán_thuế2"/>
      <sheetName val="Tính_toán_chi_phí_SX2"/>
      <sheetName val="TH_ĐƠN_GIÁ2"/>
      <sheetName val="cable,_lighting,_switch2"/>
      <sheetName val="ĐỢT_12"/>
      <sheetName val="DTXL(_270)2"/>
      <sheetName val="KL_T16_BÀN_GIAO_19_42"/>
      <sheetName val="Bldg_Brkdown2"/>
      <sheetName val="DG_VL_KS2"/>
      <sheetName val="Bill_rekap2"/>
      <sheetName val="Cash_Flow_bulanan2"/>
      <sheetName val="CươcVC_tinh2"/>
      <sheetName val="List_of_Staff2"/>
      <sheetName val="__QUOTATION_xlsx2"/>
      <sheetName val="2_5_Ducts_(2)2"/>
      <sheetName val="S_N2"/>
      <sheetName val="NHOM_KINH_2"/>
      <sheetName val="입찰내역_발주처_양식2"/>
      <sheetName val="DIEN_TICH2"/>
      <sheetName val="3_공통공사대비2"/>
      <sheetName val="Don_vi2"/>
      <sheetName val="TH_khối_lượng_phải_làm2"/>
      <sheetName val="Giá_VL,_NC,_M2"/>
      <sheetName val="Lương_2135_nhóm_I2"/>
      <sheetName val="Luong_2050_hà_NAm2"/>
      <sheetName val="Lương2045_nhóm_I2"/>
      <sheetName val="May_3_huyện2"/>
      <sheetName val="May_yên_mô2"/>
      <sheetName val="Phân_tich_ĐG2"/>
      <sheetName val="PLV_mới2"/>
      <sheetName val="May_TT11(TB)2"/>
      <sheetName val="May_TT11_(HP)2"/>
      <sheetName val="May_TT11(NB)2"/>
      <sheetName val="May_TT11(NĐ)2"/>
      <sheetName val="Lương_theo_TT17(Thái_Bình)2"/>
      <sheetName val="Lương_theo_TT17_(HP)2"/>
      <sheetName val="Lương_theo_TT17_(Ninh_Bình)2"/>
      <sheetName val="Lương_theo_TT17_(Nam_Định)2"/>
      <sheetName val="KL_CHI_TIẾT_(2)2"/>
      <sheetName val="5_Gia2"/>
      <sheetName val="Danh_sach_KV22"/>
      <sheetName val="Danh_sach_doan_KT2"/>
      <sheetName val="Loại_cọc_P22"/>
      <sheetName val="CP_NC-MTC_XD2"/>
      <sheetName val="H_Satuan2"/>
      <sheetName val="4_3_Scope_of_work_2"/>
      <sheetName val="Gia_HĐ2"/>
      <sheetName val="2__Tổng_hợp2"/>
      <sheetName val="List_Equip2"/>
      <sheetName val="Process_C_(1-166)2"/>
      <sheetName val="CF_-Update_31Jul062"/>
      <sheetName val="Executive_Summary2"/>
      <sheetName val="MAHANG_BHLD2"/>
      <sheetName val="CHITIETHOADON_TT2"/>
      <sheetName val="mahang_chinh_sua_moi_nhat2"/>
      <sheetName val="Noise_insl2"/>
      <sheetName val="Ca_may2"/>
      <sheetName val="GIA_NC,_CM2"/>
      <sheetName val="GIA_VL2"/>
      <sheetName val="13_Luong2"/>
      <sheetName val="Eq__Mobilization2"/>
      <sheetName val="Link_HG2"/>
      <sheetName val="Danhsach_122"/>
      <sheetName val="List_Danh_mục_nghiệm_thu2"/>
      <sheetName val="02__THONG_TIN_CHUNG2"/>
      <sheetName val="07__DINH_MUC_HBC2"/>
      <sheetName val="TK_SX2"/>
      <sheetName val="Rate_Analysis2"/>
      <sheetName val="Don_gia_vung_III2"/>
      <sheetName val="Don_gia_III15"/>
      <sheetName val="Don_gia_CT2"/>
      <sheetName val="PLHD_doi_cot_ham_0101-042"/>
      <sheetName val="Luong_TT052"/>
      <sheetName val="unit_weight2"/>
      <sheetName val="DIV_INC3"/>
      <sheetName val="A1_-_Income_Statement3"/>
      <sheetName val="Adj_entries_2"/>
      <sheetName val="Annexure_12"/>
      <sheetName val="Annexure_22"/>
      <sheetName val="Updated_2018_COA2"/>
      <sheetName val="IC_Listing2"/>
      <sheetName val="SLA_cost_distr_FEB_20202"/>
      <sheetName val="Legal_entities_details2"/>
      <sheetName val="Invoice_base_FEB_20202"/>
      <sheetName val="Le317_into_80502"/>
      <sheetName val="Basic_principles_to_the_distr_2"/>
      <sheetName val="Cost_elements2"/>
      <sheetName val="Ref_rate_change2"/>
      <sheetName val="Synergi_life_credit2"/>
      <sheetName val="Change_in_NH2"/>
      <sheetName val="NPS_to_O&amp;G2"/>
      <sheetName val="Income_Statement17"/>
      <sheetName val="Project_Info_2"/>
      <sheetName val="Cost_Summary2"/>
      <sheetName val="Cost_Summary_-_USD2"/>
      <sheetName val="Price_Summary_-_Offshore2"/>
      <sheetName val="Factory_&amp;_Import_Material2"/>
      <sheetName val="Labour_Hours_Upload2"/>
      <sheetName val="Technical_Info_2"/>
      <sheetName val="PM_Cost2"/>
      <sheetName val="SED_INPUT2"/>
      <sheetName val="Du_lieu_ban_dau2"/>
      <sheetName val="GZ_TP2"/>
      <sheetName val="GZ_VT2"/>
      <sheetName val="Be_tong2"/>
      <sheetName val="bar_nor2"/>
      <sheetName val="conc_nor2"/>
      <sheetName val="conc_frus2"/>
      <sheetName val="conc_trap2"/>
      <sheetName val="bar_frus2"/>
      <sheetName val="bar_trap2"/>
      <sheetName val="ĐM4970_2016(Lap_dat_TBA)2"/>
      <sheetName val="Gia_Nhan_công2"/>
      <sheetName val="Đon_gia_228_sua_chua2"/>
      <sheetName val="ĐM01_2000(thinghiem_ĐZTTĐL)2"/>
      <sheetName val="ĐM1781_2007(T_N_đien_ĐZ&amp;TBA)2"/>
      <sheetName val="Cuoc_van_chuyen2"/>
      <sheetName val="Beam_reinfocement_schedule2"/>
      <sheetName val="Thong_so_dam2"/>
      <sheetName val="Wall_Block_C2"/>
      <sheetName val="General_Schedule2"/>
      <sheetName val="Factor_F_Data2"/>
      <sheetName val="bang_1_NCXD2"/>
      <sheetName val="bang_1_NCXD_(V_I)2"/>
      <sheetName val="2__Summary-cash2"/>
      <sheetName val="May_Goc_(QD2436)2"/>
      <sheetName val="VC_theo_cuoc_tinh2"/>
      <sheetName val="BCVC__2"/>
      <sheetName val="Bang_khoi_luong1"/>
      <sheetName val="INDEX_HẠ_TẦNG2"/>
      <sheetName val="CTG_HẠ_TẦNG2"/>
      <sheetName val="DGG_HẠ_TẦNG2"/>
      <sheetName val="DGG_LB_CỌC2"/>
      <sheetName val="DGG_MT_CỌC2"/>
      <sheetName val="INFO_CỌC2"/>
      <sheetName val="INDEX_CỌC2"/>
      <sheetName val="Du_lieu_TKT2"/>
      <sheetName val="TÍNH_TOÁN_KHỐI_LƯỢNG_P62"/>
      <sheetName val="FINANCIAL_(FLR)1"/>
      <sheetName val="Bảng_dung_trọng2"/>
      <sheetName val="Tong_Luong_Thep1"/>
      <sheetName val="bang_tien_luong1"/>
      <sheetName val="1_INPUT1"/>
      <sheetName val="Phan_tich_vat_tu1"/>
      <sheetName val="Du_thau_03xd1"/>
      <sheetName val="Cost_of_DM_Water2"/>
      <sheetName val="Sch2_-_BalSht_Summary2"/>
      <sheetName val="Sch1_-_P&amp;L_Summary2"/>
      <sheetName val="Beam__2_1"/>
      <sheetName val="DETAIL_PROGRESS_CLAIM1"/>
      <sheetName val="Phan_tich_don_gia_de_xuat_-_ca1"/>
      <sheetName val="간접비_총괄표2"/>
      <sheetName val="EE_(3)1"/>
      <sheetName val="Ban_Qua_do1"/>
      <sheetName val="Dự_kiến_SL-NT_20131"/>
      <sheetName val="SL_HM-T1_20141"/>
      <sheetName val="Cost_center1"/>
      <sheetName val="Details_Sales_(local)2"/>
      <sheetName val="FA_list1"/>
      <sheetName val="Enc_3A1"/>
      <sheetName val="Fixed_Prof_Fees1"/>
      <sheetName val="BS,_PL,_Sch_5_to_91"/>
      <sheetName val="301_RTI1"/>
      <sheetName val="1__Questionnaire1"/>
      <sheetName val="Excise_on_RM1"/>
      <sheetName val="_Payroll_Empl_(Wkng)1"/>
      <sheetName val="Insight_28-6-001"/>
      <sheetName val="DL_codes1"/>
      <sheetName val="Simulator_Detail1"/>
      <sheetName val="Trnf_to_Reimb_1"/>
      <sheetName val="Power_&amp;_Fuel_(S)1"/>
      <sheetName val="Book_details1"/>
      <sheetName val="July_06-Mar_071"/>
      <sheetName val="Ctiet_Cthe1"/>
      <sheetName val="Window_Door_schedule1"/>
      <sheetName val="M_671"/>
      <sheetName val="Summary_of_My_Chanh_Bridge1"/>
      <sheetName val="My_Chanh_Bridge1"/>
      <sheetName val="Summary_of_Phu_Bai_Bridge1"/>
      <sheetName val="Summary_of_Nong_Bridge1"/>
      <sheetName val="Nong_Bridge1"/>
      <sheetName val="Summary_of_Phong_Le_Bridge1"/>
      <sheetName val="Phong_Le_Bridge1"/>
      <sheetName val="Summary_of_Ky_Lam_Bridge1"/>
      <sheetName val="Nghỉ_lễ1"/>
      <sheetName val="ﾄﾞﾊﾞｲFUEL_GAS追見1"/>
      <sheetName val="Wall_Pier1"/>
      <sheetName val="DA01_HD-List1"/>
      <sheetName val="DM01_CDT1"/>
      <sheetName val="DM02_NT1"/>
      <sheetName val="NT01_HD-List1"/>
      <sheetName val="DG_CANTHO1"/>
      <sheetName val="Check_C1"/>
      <sheetName val="BANG_TONGHOP1"/>
      <sheetName val="SUMMARY_QUANTITIES1"/>
      <sheetName val="DM_17812"/>
      <sheetName val="Giá_đến_hiện_trường1"/>
      <sheetName val="DG_2851"/>
      <sheetName val="DG__2861"/>
      <sheetName val="DG_851"/>
      <sheetName val="DG_891"/>
      <sheetName val="DGVCTC_2851"/>
      <sheetName val="M6A-208_Steering_dust1"/>
      <sheetName val="JT3_0견적-구11"/>
      <sheetName val="SELISIH_HARGA1"/>
      <sheetName val="Code_HT_CB_-OT1"/>
      <sheetName val="Code_HT_CB_-_PO1"/>
      <sheetName val="DOOR_A_(4-roof)1"/>
      <sheetName val="Door_HT1"/>
      <sheetName val="DOOR_B1_(4-roof)1"/>
      <sheetName val="DOOR_B2_(4-roof)1"/>
      <sheetName val="rate_code1"/>
      <sheetName val="Xuất_DL_AP1"/>
      <sheetName val="Xuất_DL_OT1"/>
      <sheetName val="Xuat_DL_PO1"/>
      <sheetName val="Ban_QD1"/>
      <sheetName val="SL_DT_2011so_sanh1"/>
      <sheetName val="Main_Model1"/>
      <sheetName val="Xuly_Data1"/>
      <sheetName val="Cst_Pkg-Eden1"/>
      <sheetName val="Cashflow_Analysis1"/>
      <sheetName val="Labor_Sum1"/>
      <sheetName val="Sheet1_(2)1"/>
      <sheetName val="Chi_Thao1"/>
      <sheetName val="4__Đo_bóc_KL1"/>
      <sheetName val="V_c_noi_bo1"/>
      <sheetName val="Tổng_kê1"/>
      <sheetName val="Kich_thuoc_mo_M1-nam_lay1"/>
      <sheetName val="Dau_vào1"/>
      <sheetName val="Data-SỔ_KHO1"/>
      <sheetName val="SỔ_KHO1"/>
      <sheetName val="BSD_(2)1"/>
      <sheetName val="Thông_tin_chung1"/>
      <sheetName val="B1_CN1"/>
      <sheetName val="Đường_dây1"/>
      <sheetName val="Vị_trí1"/>
      <sheetName val="Đơn_giá-NC1"/>
      <sheetName val="Đơn_giá-VL-CM1"/>
      <sheetName val="KL_CHI_TIET1"/>
      <sheetName val="Anx_101"/>
      <sheetName val="Full_20121"/>
      <sheetName val="Summary_Page_VDF1"/>
      <sheetName val="Invested_capital_VDF1"/>
      <sheetName val="BB_Contribution_by_store_T__1"/>
      <sheetName val="DG_SUA_CHUA1"/>
      <sheetName val="TAM_TINH1"/>
      <sheetName val="080_(2)2"/>
      <sheetName val="BTO_Dept_3"/>
      <sheetName val="Input_&amp;_Instruct3"/>
      <sheetName val="Purchase_Calc_2"/>
      <sheetName val="Balance_Sheet2"/>
      <sheetName val="Report_Summary2"/>
      <sheetName val="Monthly_Notes2"/>
      <sheetName val="Trial_Bal1"/>
      <sheetName val="CC_Inventory_Assumption1"/>
      <sheetName val="Validation_and_Lookup_tables1"/>
      <sheetName val="Dec__08_RDD1"/>
      <sheetName val="Int_Others1"/>
      <sheetName val="Sub_Lead1"/>
      <sheetName val="nhat_ky_1"/>
      <sheetName val="DGKL_L2_THÉP_MÓNG1"/>
      <sheetName val="Bieu_chi_tiet_gia_du_thau1"/>
      <sheetName val="Gia_vat_lieu_trong_gia_du_thau1"/>
      <sheetName val="Bang_phan_tich_don_gia_du_thau1"/>
      <sheetName val="Costos_Alt21"/>
      <sheetName val="B-10_otros_activos_20031"/>
      <sheetName val="B-10_otros_activos_20041"/>
      <sheetName val="liste_ANDI1"/>
      <sheetName val="Daily_Forwards1"/>
      <sheetName val="CREDIT_STATS1"/>
      <sheetName val="basic_inputs1"/>
      <sheetName val="INSTRUCTION_Read_me1"/>
      <sheetName val="DATOS_DE_CAMPO1"/>
      <sheetName val="Basic_Data_Inputs1"/>
      <sheetName val="Du_lieu_dau_vao1"/>
      <sheetName val="InputĠList"/>
      <sheetName val="도체종-상수표"/>
      <sheetName val="실행내역"/>
      <sheetName val="기성내역"/>
      <sheetName val="MASSPROP"/>
      <sheetName val="COLUMN-CR"/>
      <sheetName val="Dg cay"/>
      <sheetName val="Betong"/>
      <sheetName val="Vankhuon"/>
      <sheetName val="BFT"/>
      <sheetName val="Le MERIDIEN"/>
      <sheetName val="MARRIOT"/>
      <sheetName val="NOVOTEL"/>
      <sheetName val="ROYAL"/>
      <sheetName val="SPRING"/>
      <sheetName val="SUNRISE"/>
      <sheetName val="TERUMO"/>
      <sheetName val="UNITED PHARMA"/>
      <sheetName val="ctiet mong DD"/>
      <sheetName val="DMTK"/>
      <sheetName val="SMT"/>
      <sheetName val="進貨驗收明細"/>
      <sheetName val="A.16.INTERNAL ROAD"/>
      <sheetName val="内围地梁钢筋说明"/>
      <sheetName val="Productivity"/>
      <sheetName val="CPKHAC"/>
      <sheetName val="KH chi tiet 2019 (IN)"/>
      <sheetName val="C.tinh"/>
      <sheetName val="기초단가"/>
      <sheetName val="TN_M"/>
      <sheetName val="kich thuoc chung"/>
      <sheetName val="So lieu"/>
      <sheetName val="FILE"/>
      <sheetName val="GIA TRI"/>
      <sheetName val="BM.07.DCCCVT"/>
      <sheetName val="XLP"/>
      <sheetName val="TONG"/>
      <sheetName val="HOLE PILE"/>
      <sheetName val="L45M"/>
      <sheetName val="L50M"/>
      <sheetName val="T,L45M"/>
      <sheetName val="T,L50M"/>
      <sheetName val="KL-C1"/>
      <sheetName val="KL13"/>
      <sheetName val="KL14"/>
      <sheetName val="KL15"/>
      <sheetName val="Tong hop1"/>
      <sheetName val="KLTK"/>
      <sheetName val="LISTNT"/>
      <sheetName val="TKLT"/>
      <sheetName val="Mã vật tư"/>
      <sheetName val="GTXL2"/>
      <sheetName val="KL16"/>
      <sheetName val="KL17"/>
      <sheetName val="KL18"/>
      <sheetName val="KL19"/>
      <sheetName val="KL20"/>
      <sheetName val="KL21"/>
      <sheetName val="KL22"/>
      <sheetName val="KL23"/>
      <sheetName val="KL24"/>
      <sheetName val="KL25"/>
      <sheetName val="KL26"/>
      <sheetName val="KL27"/>
      <sheetName val="KL28"/>
      <sheetName val="KL29"/>
      <sheetName val="KL30"/>
      <sheetName val="KL31"/>
      <sheetName val="KL32"/>
      <sheetName val="KL33"/>
      <sheetName val="KL34"/>
      <sheetName val="KL35"/>
      <sheetName val="KL36"/>
      <sheetName val="KL37"/>
      <sheetName val="KL38"/>
      <sheetName val="KL39"/>
      <sheetName val="KL40"/>
      <sheetName val="KL41"/>
      <sheetName val="KL42"/>
      <sheetName val="KL43"/>
      <sheetName val="KL44"/>
      <sheetName val="KL45"/>
      <sheetName val="KL46"/>
      <sheetName val="KL47"/>
      <sheetName val="KL48"/>
      <sheetName val="KL49"/>
      <sheetName val="KL50"/>
      <sheetName val="KL51"/>
      <sheetName val="KL52"/>
      <sheetName val="KL53"/>
      <sheetName val="KL54"/>
      <sheetName val="KL55"/>
      <sheetName val="KL56"/>
      <sheetName val="KL57"/>
      <sheetName val="KL58"/>
      <sheetName val="MTC"/>
      <sheetName val="KL Lớp"/>
      <sheetName val="Doan"/>
      <sheetName val="THAN"/>
      <sheetName val="DT KHOAN DS"/>
      <sheetName val="Cước bộ"/>
      <sheetName val="wHaTiSnAmE"/>
      <sheetName val="NT vat lieu"/>
      <sheetName val=" GULF"/>
      <sheetName val="Category"/>
      <sheetName val="DETAIL_THEP"/>
      <sheetName val="NK_EPCOC"/>
      <sheetName val="INPUT_HOP_DONG"/>
      <sheetName val="THUC_HIEN"/>
      <sheetName val="Moc"/>
      <sheetName val="pag 12 "/>
      <sheetName val="lived_load"/>
      <sheetName val="TDT"/>
      <sheetName val="Gia NC theo QD 3987-QD-UBND"/>
      <sheetName val="Beam Calculate"/>
      <sheetName val="CAD"/>
      <sheetName val="NC_May"/>
      <sheetName val="DLHG"/>
      <sheetName val="Nut giao"/>
      <sheetName val="BS 8666-2005 + 272-05"/>
      <sheetName val="Than cong D2"/>
      <sheetName val="ASTM A615M"/>
      <sheetName val="Than cong"/>
      <sheetName val="CB400-V"/>
      <sheetName val="CB240-T"/>
      <sheetName val="TTin"/>
      <sheetName val="Bang du lieu"/>
      <sheetName val="Danh muc tieu chuan"/>
      <sheetName val="MÁY_PHÁT"/>
      <sheetName val="CT35"/>
      <sheetName val="Dau vao"/>
      <sheetName val="10.TM cũ"/>
      <sheetName val="lý trình"/>
      <sheetName val="KT1"/>
      <sheetName val="PYC 1"/>
      <sheetName val="Đ1 - BTM"/>
      <sheetName val="CVXD"/>
      <sheetName val="gia chung tính m2"/>
      <sheetName val="TK KT CAU KIEN"/>
      <sheetName val="Noi luc"/>
      <sheetName val="Data_NT"/>
      <sheetName val="Pile-Br-Capacity"/>
      <sheetName val="bang luong thang 6"/>
      <sheetName val="LTMay"/>
      <sheetName val="Nlieu"/>
      <sheetName val="Biểu mẫu số 2"/>
      <sheetName val="F01-BC_KHAU_PHAN_SANG_2_x0000__31"/>
      <sheetName val="Bill_05_-_Hoan_thien-To_x0003_er3"/>
      <sheetName val="F01-BC_KHAU_PHAN_SANG_2"/>
      <sheetName val="Closing"/>
      <sheetName val="F01-BC_KHAU_PHAN_SANG_2_31"/>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9">
          <cell r="A9" t="str">
            <v>A</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ow r="9">
          <cell r="A9" t="str">
            <v>A</v>
          </cell>
        </row>
      </sheetData>
      <sheetData sheetId="176">
        <row r="9">
          <cell r="A9" t="str">
            <v>A</v>
          </cell>
        </row>
      </sheetData>
      <sheetData sheetId="177">
        <row r="9">
          <cell r="A9" t="str">
            <v>A</v>
          </cell>
        </row>
      </sheetData>
      <sheetData sheetId="178">
        <row r="9">
          <cell r="A9" t="str">
            <v>A</v>
          </cell>
        </row>
      </sheetData>
      <sheetData sheetId="179">
        <row r="9">
          <cell r="A9" t="str">
            <v>A</v>
          </cell>
        </row>
      </sheetData>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ow r="9">
          <cell r="A9" t="str">
            <v>A</v>
          </cell>
        </row>
      </sheetData>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ow r="9">
          <cell r="A9" t="str">
            <v>A</v>
          </cell>
        </row>
      </sheetData>
      <sheetData sheetId="518" refreshError="1"/>
      <sheetData sheetId="519" refreshError="1"/>
      <sheetData sheetId="520" refreshError="1"/>
      <sheetData sheetId="521" refreshError="1"/>
      <sheetData sheetId="522" refreshError="1"/>
      <sheetData sheetId="523" refreshError="1"/>
      <sheetData sheetId="524" refreshError="1"/>
      <sheetData sheetId="525">
        <row r="9">
          <cell r="A9" t="str">
            <v>A</v>
          </cell>
        </row>
      </sheetData>
      <sheetData sheetId="526">
        <row r="9">
          <cell r="A9" t="str">
            <v>A</v>
          </cell>
        </row>
      </sheetData>
      <sheetData sheetId="527">
        <row r="9">
          <cell r="A9" t="str">
            <v>A</v>
          </cell>
        </row>
      </sheetData>
      <sheetData sheetId="528">
        <row r="9">
          <cell r="A9" t="str">
            <v>A</v>
          </cell>
        </row>
      </sheetData>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efreshError="1"/>
      <sheetData sheetId="606">
        <row r="9">
          <cell r="A9" t="str">
            <v>A</v>
          </cell>
        </row>
      </sheetData>
      <sheetData sheetId="607">
        <row r="9">
          <cell r="A9" t="str">
            <v>A</v>
          </cell>
        </row>
      </sheetData>
      <sheetData sheetId="608">
        <row r="9">
          <cell r="A9" t="str">
            <v>A</v>
          </cell>
        </row>
      </sheetData>
      <sheetData sheetId="609">
        <row r="9">
          <cell r="A9" t="str">
            <v>A</v>
          </cell>
        </row>
      </sheetData>
      <sheetData sheetId="610">
        <row r="9">
          <cell r="A9" t="str">
            <v>A</v>
          </cell>
        </row>
      </sheetData>
      <sheetData sheetId="611">
        <row r="9">
          <cell r="A9" t="str">
            <v>A</v>
          </cell>
        </row>
      </sheetData>
      <sheetData sheetId="612">
        <row r="9">
          <cell r="A9" t="str">
            <v>A</v>
          </cell>
        </row>
      </sheetData>
      <sheetData sheetId="613">
        <row r="9">
          <cell r="A9" t="str">
            <v>A</v>
          </cell>
        </row>
      </sheetData>
      <sheetData sheetId="614">
        <row r="9">
          <cell r="A9" t="str">
            <v>A</v>
          </cell>
        </row>
      </sheetData>
      <sheetData sheetId="615">
        <row r="9">
          <cell r="A9" t="str">
            <v>A</v>
          </cell>
        </row>
      </sheetData>
      <sheetData sheetId="616">
        <row r="9">
          <cell r="A9" t="str">
            <v>A</v>
          </cell>
        </row>
      </sheetData>
      <sheetData sheetId="617">
        <row r="9">
          <cell r="A9" t="str">
            <v>A</v>
          </cell>
        </row>
      </sheetData>
      <sheetData sheetId="618">
        <row r="9">
          <cell r="A9" t="str">
            <v>A</v>
          </cell>
        </row>
      </sheetData>
      <sheetData sheetId="619">
        <row r="9">
          <cell r="A9" t="str">
            <v>A</v>
          </cell>
        </row>
      </sheetData>
      <sheetData sheetId="620">
        <row r="9">
          <cell r="A9" t="str">
            <v>A</v>
          </cell>
        </row>
      </sheetData>
      <sheetData sheetId="621">
        <row r="9">
          <cell r="A9" t="str">
            <v>A</v>
          </cell>
        </row>
      </sheetData>
      <sheetData sheetId="622">
        <row r="9">
          <cell r="A9" t="str">
            <v>A</v>
          </cell>
        </row>
      </sheetData>
      <sheetData sheetId="623">
        <row r="9">
          <cell r="A9" t="str">
            <v>A</v>
          </cell>
        </row>
      </sheetData>
      <sheetData sheetId="624">
        <row r="9">
          <cell r="A9" t="str">
            <v>A</v>
          </cell>
        </row>
      </sheetData>
      <sheetData sheetId="625">
        <row r="9">
          <cell r="A9" t="str">
            <v>A</v>
          </cell>
        </row>
      </sheetData>
      <sheetData sheetId="626">
        <row r="9">
          <cell r="A9" t="str">
            <v>A</v>
          </cell>
        </row>
      </sheetData>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4">
          <cell r="A4" t="str">
            <v>BẢNG TÍNH TOÁN, ĐO BÓC KHỐI LƯỢNG HOÀN THÀNH ĐƯA VÀO QUYẾT TOÁN</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efreshError="1"/>
      <sheetData sheetId="652">
        <row r="9">
          <cell r="A9" t="str">
            <v>A</v>
          </cell>
        </row>
      </sheetData>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ow r="9">
          <cell r="A9" t="str">
            <v>A</v>
          </cell>
        </row>
      </sheetData>
      <sheetData sheetId="732">
        <row r="9">
          <cell r="A9" t="str">
            <v>A</v>
          </cell>
        </row>
      </sheetData>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4">
          <cell r="A4" t="str">
            <v>BẢNG TÍNH TOÁN, ĐO BÓC KHỐI LƯỢNG HOÀN THÀNH ĐƯA VÀO QUYẾT TOÁN</v>
          </cell>
        </row>
      </sheetData>
      <sheetData sheetId="880">
        <row r="9">
          <cell r="A9" t="str">
            <v>A</v>
          </cell>
        </row>
      </sheetData>
      <sheetData sheetId="881">
        <row r="9">
          <cell r="A9" t="str">
            <v>A</v>
          </cell>
        </row>
      </sheetData>
      <sheetData sheetId="882">
        <row r="9">
          <cell r="A9" t="str">
            <v>A</v>
          </cell>
        </row>
      </sheetData>
      <sheetData sheetId="883">
        <row r="4">
          <cell r="A4" t="str">
            <v>BẢNG TÍNH TOÁN, ĐO BÓC KHỐI LƯỢNG HOÀN THÀNH ĐƯA VÀO QUYẾT TOÁN</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ow r="9">
          <cell r="A9" t="str">
            <v>A</v>
          </cell>
        </row>
      </sheetData>
      <sheetData sheetId="1306">
        <row r="9">
          <cell r="A9" t="str">
            <v>A</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9">
          <cell r="A9" t="str">
            <v>A</v>
          </cell>
        </row>
      </sheetData>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ow r="9">
          <cell r="A9" t="str">
            <v>A</v>
          </cell>
        </row>
      </sheetData>
      <sheetData sheetId="1420">
        <row r="9">
          <cell r="A9" t="str">
            <v>A</v>
          </cell>
        </row>
      </sheetData>
      <sheetData sheetId="1421">
        <row r="9">
          <cell r="A9" t="str">
            <v>A</v>
          </cell>
        </row>
      </sheetData>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ow r="9">
          <cell r="A9" t="str">
            <v>A</v>
          </cell>
        </row>
      </sheetData>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ow r="9">
          <cell r="A9" t="str">
            <v>A</v>
          </cell>
        </row>
      </sheetData>
      <sheetData sheetId="1490">
        <row r="9">
          <cell r="A9" t="str">
            <v>A</v>
          </cell>
        </row>
      </sheetData>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efreshError="1"/>
      <sheetData sheetId="1526" refreshError="1"/>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ow r="9">
          <cell r="A9" t="str">
            <v>A</v>
          </cell>
        </row>
      </sheetData>
      <sheetData sheetId="1865">
        <row r="9">
          <cell r="A9" t="str">
            <v>A</v>
          </cell>
        </row>
      </sheetData>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 sheetId="1882"/>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ow r="9">
          <cell r="A9" t="str">
            <v>A</v>
          </cell>
        </row>
      </sheetData>
      <sheetData sheetId="1894" refreshError="1"/>
      <sheetData sheetId="1895" refreshError="1"/>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efreshError="1"/>
      <sheetData sheetId="1901" refreshError="1"/>
      <sheetData sheetId="1902" refreshError="1"/>
      <sheetData sheetId="1903">
        <row r="9">
          <cell r="A9" t="str">
            <v>A</v>
          </cell>
        </row>
      </sheetData>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efreshError="1"/>
      <sheetData sheetId="1953" refreshError="1"/>
      <sheetData sheetId="1954" refreshError="1"/>
      <sheetData sheetId="1955" refreshError="1"/>
      <sheetData sheetId="1956" refreshError="1"/>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4">
          <cell r="A4" t="str">
            <v>BẢNG TÍNH TOÁN, ĐO BÓC KHỐI LƯỢNG HOÀN THÀNH ĐƯA VÀO QUYẾT TOÁN</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4">
          <cell r="A4" t="str">
            <v>BẢNG TÍNH TOÁN, ĐO BÓC KHỐI LƯỢNG HOÀN THÀNH ĐƯA VÀO QUYẾT TOÁN</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4">
          <cell r="A4" t="str">
            <v>BẢNG TÍNH TOÁN, ĐO BÓC KHỐI LƯỢNG HOÀN THÀNH ĐƯA VÀO QUYẾT TOÁN</v>
          </cell>
        </row>
      </sheetData>
      <sheetData sheetId="2052">
        <row r="9">
          <cell r="A9" t="str">
            <v>A</v>
          </cell>
        </row>
      </sheetData>
      <sheetData sheetId="2053">
        <row r="4">
          <cell r="A4" t="str">
            <v>BẢNG TÍNH TOÁN, ĐO BÓC KHỐI LƯỢNG HOÀN THÀNH ĐƯA VÀO QUYẾT TOÁN</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4">
          <cell r="A4" t="str">
            <v>BẢNG TÍNH TOÁN, ĐO BÓC KHỐI LƯỢNG HOÀN THÀNH ĐƯA VÀO QUYẾT TOÁN</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4">
          <cell r="A4" t="str">
            <v>BẢNG TÍNH TOÁN, ĐO BÓC KHỐI LƯỢNG HOÀN THÀNH ĐƯA VÀO QUYẾT TOÁN</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ow r="9">
          <cell r="A9" t="str">
            <v>A</v>
          </cell>
        </row>
      </sheetData>
      <sheetData sheetId="2360">
        <row r="9">
          <cell r="A9" t="str">
            <v>A</v>
          </cell>
        </row>
      </sheetData>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ow r="9">
          <cell r="A9" t="str">
            <v>A</v>
          </cell>
        </row>
      </sheetData>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ow r="9">
          <cell r="A9" t="str">
            <v>A</v>
          </cell>
        </row>
      </sheetData>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ow r="9">
          <cell r="A9" t="str">
            <v>A</v>
          </cell>
        </row>
      </sheetData>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ow r="9">
          <cell r="A9" t="str">
            <v>A</v>
          </cell>
        </row>
      </sheetData>
      <sheetData sheetId="2590">
        <row r="9">
          <cell r="A9" t="str">
            <v>A</v>
          </cell>
        </row>
      </sheetData>
      <sheetData sheetId="2591">
        <row r="9">
          <cell r="A9" t="str">
            <v>A</v>
          </cell>
        </row>
      </sheetData>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sheetData sheetId="2603"/>
      <sheetData sheetId="2604"/>
      <sheetData sheetId="2605" refreshError="1"/>
      <sheetData sheetId="2606" refreshError="1"/>
      <sheetData sheetId="2607" refreshError="1"/>
      <sheetData sheetId="2608" refreshError="1"/>
      <sheetData sheetId="2609" refreshError="1"/>
      <sheetData sheetId="2610">
        <row r="9">
          <cell r="A9" t="str">
            <v>A</v>
          </cell>
        </row>
      </sheetData>
      <sheetData sheetId="2611">
        <row r="9">
          <cell r="A9" t="str">
            <v>A</v>
          </cell>
        </row>
      </sheetData>
      <sheetData sheetId="2612">
        <row r="4">
          <cell r="A4" t="str">
            <v>BẢNG TÍNH TOÁN, ĐO BÓC KHỐI LƯỢNG HOÀN THÀNH ĐƯA VÀO QUYẾT TOÁN</v>
          </cell>
        </row>
      </sheetData>
      <sheetData sheetId="2613">
        <row r="4">
          <cell r="A4" t="str">
            <v>BẢNG TÍNH TOÁN, ĐO BÓC KHỐI LƯỢNG HOÀN THÀNH ĐƯA VÀO QUYẾT TOÁN</v>
          </cell>
        </row>
      </sheetData>
      <sheetData sheetId="2614">
        <row r="4">
          <cell r="A4" t="str">
            <v>BẢNG TÍNH TOÁN, ĐO BÓC KHỐI LƯỢNG HOÀN THÀNH ĐƯA VÀO QUYẾT TOÁN</v>
          </cell>
        </row>
      </sheetData>
      <sheetData sheetId="2615">
        <row r="4">
          <cell r="A4" t="str">
            <v>BẢNG TÍNH TOÁN, ĐO BÓC KHỐI LƯỢNG HOÀN THÀNH ĐƯA VÀO QUYẾT TOÁN</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4">
          <cell r="A4" t="str">
            <v>BẢNG TÍNH TOÁN, ĐO BÓC KHỐI LƯỢNG HOÀN THÀNH ĐƯA VÀO QUYẾT TOÁN</v>
          </cell>
        </row>
      </sheetData>
      <sheetData sheetId="3020">
        <row r="9">
          <cell r="A9" t="str">
            <v>A</v>
          </cell>
        </row>
      </sheetData>
      <sheetData sheetId="3021">
        <row r="9">
          <cell r="A9" t="str">
            <v>A</v>
          </cell>
        </row>
      </sheetData>
      <sheetData sheetId="3022">
        <row r="4">
          <cell r="A4" t="str">
            <v>BẢNG TÍNH TOÁN, ĐO BÓC KHỐI LƯỢNG HOÀN THÀNH ĐƯA VÀO QUYẾT TOÁN</v>
          </cell>
        </row>
      </sheetData>
      <sheetData sheetId="3023">
        <row r="9">
          <cell r="A9" t="str">
            <v>A</v>
          </cell>
        </row>
      </sheetData>
      <sheetData sheetId="3024">
        <row r="4">
          <cell r="A4" t="str">
            <v>BẢNG TÍNH TOÁN, ĐO BÓC KHỐI LƯỢNG HOÀN THÀNH ĐƯA VÀO QUYẾT TOÁN</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4">
          <cell r="A4" t="str">
            <v>BẢNG TÍNH TOÁN, ĐO BÓC KHỐI LƯỢNG HOÀN THÀNH ĐƯA VÀO QUYẾT TOÁN</v>
          </cell>
        </row>
      </sheetData>
      <sheetData sheetId="3030">
        <row r="9">
          <cell r="A9" t="str">
            <v>A</v>
          </cell>
        </row>
      </sheetData>
      <sheetData sheetId="3031">
        <row r="9">
          <cell r="A9" t="str">
            <v>A</v>
          </cell>
        </row>
      </sheetData>
      <sheetData sheetId="3032">
        <row r="4">
          <cell r="A4" t="str">
            <v>BẢNG TÍNH TOÁN, ĐO BÓC KHỐI LƯỢNG HOÀN THÀNH ĐƯA VÀO QUYẾT TOÁN</v>
          </cell>
        </row>
      </sheetData>
      <sheetData sheetId="3033">
        <row r="4">
          <cell r="A4" t="str">
            <v>BẢNG TÍNH TOÁN, ĐO BÓC KHỐI LƯỢNG HOÀN THÀNH ĐƯA VÀO QUYẾT TOÁN</v>
          </cell>
        </row>
      </sheetData>
      <sheetData sheetId="3034">
        <row r="4">
          <cell r="A4" t="str">
            <v>BẢNG TÍNH TOÁN, ĐO BÓC KHỐI LƯỢNG HOÀN THÀNH ĐƯA VÀO QUYẾT TOÁN</v>
          </cell>
        </row>
      </sheetData>
      <sheetData sheetId="3035">
        <row r="4">
          <cell r="A4" t="str">
            <v>BẢNG TÍNH TOÁN, ĐO BÓC KHỐI LƯỢNG HOÀN THÀNH ĐƯA VÀO QUYẾT TOÁN</v>
          </cell>
        </row>
      </sheetData>
      <sheetData sheetId="3036">
        <row r="4">
          <cell r="A4" t="str">
            <v>BẢNG TÍNH TOÁN, ĐO BÓC KHỐI LƯỢNG HOÀN THÀNH ĐƯA VÀO QUYẾT TOÁN</v>
          </cell>
        </row>
      </sheetData>
      <sheetData sheetId="3037">
        <row r="4">
          <cell r="A4" t="str">
            <v>BẢNG TÍNH TOÁN, ĐO BÓC KHỐI LƯỢNG HOÀN THÀNH ĐƯA VÀO QUYẾT TOÁN</v>
          </cell>
        </row>
      </sheetData>
      <sheetData sheetId="3038">
        <row r="4">
          <cell r="A4" t="str">
            <v>BẢNG TÍNH TOÁN, ĐO BÓC KHỐI LƯỢNG HOÀN THÀNH ĐƯA VÀO QUYẾT TOÁN</v>
          </cell>
        </row>
      </sheetData>
      <sheetData sheetId="3039">
        <row r="4">
          <cell r="A4" t="str">
            <v>BẢNG TÍNH TOÁN, ĐO BÓC KHỐI LƯỢNG HOÀN THÀNH ĐƯA VÀO QUYẾT TOÁN</v>
          </cell>
        </row>
      </sheetData>
      <sheetData sheetId="3040">
        <row r="4">
          <cell r="A4" t="str">
            <v>BẢNG TÍNH TOÁN, ĐO BÓC KHỐI LƯỢNG HOÀN THÀNH ĐƯA VÀO QUYẾT TOÁN</v>
          </cell>
        </row>
      </sheetData>
      <sheetData sheetId="3041">
        <row r="4">
          <cell r="A4" t="str">
            <v>BẢNG TÍNH TOÁN, ĐO BÓC KHỐI LƯỢNG HOÀN THÀNH ĐƯA VÀO QUYẾT TOÁN</v>
          </cell>
        </row>
      </sheetData>
      <sheetData sheetId="3042">
        <row r="4">
          <cell r="A4" t="str">
            <v>BẢNG TÍNH TOÁN, ĐO BÓC KHỐI LƯỢNG HOÀN THÀNH ĐƯA VÀO QUYẾT TOÁN</v>
          </cell>
        </row>
      </sheetData>
      <sheetData sheetId="3043">
        <row r="4">
          <cell r="A4" t="str">
            <v>BẢNG TÍNH TOÁN, ĐO BÓC KHỐI LƯỢNG HOÀN THÀNH ĐƯA VÀO QUYẾT TOÁN</v>
          </cell>
        </row>
      </sheetData>
      <sheetData sheetId="3044">
        <row r="4">
          <cell r="A4" t="str">
            <v>BẢNG TÍNH TOÁN, ĐO BÓC KHỐI LƯỢNG HOÀN THÀNH ĐƯA VÀO QUYẾT TOÁN</v>
          </cell>
        </row>
      </sheetData>
      <sheetData sheetId="3045">
        <row r="4">
          <cell r="A4" t="str">
            <v>BẢNG TÍNH TOÁN, ĐO BÓC KHỐI LƯỢNG HOÀN THÀNH ĐƯA VÀO QUYẾT TOÁN</v>
          </cell>
        </row>
      </sheetData>
      <sheetData sheetId="3046">
        <row r="4">
          <cell r="A4" t="str">
            <v>BẢNG TÍNH TOÁN, ĐO BÓC KHỐI LƯỢNG HOÀN THÀNH ĐƯA VÀO QUYẾT TOÁN</v>
          </cell>
        </row>
      </sheetData>
      <sheetData sheetId="3047">
        <row r="4">
          <cell r="A4" t="str">
            <v>BẢNG TÍNH TOÁN, ĐO BÓC KHỐI LƯỢNG HOÀN THÀNH ĐƯA VÀO QUYẾT TOÁN</v>
          </cell>
        </row>
      </sheetData>
      <sheetData sheetId="3048">
        <row r="4">
          <cell r="A4" t="str">
            <v>BẢNG TÍNH TOÁN, ĐO BÓC KHỐI LƯỢNG HOÀN THÀNH ĐƯA VÀO QUYẾT TOÁN</v>
          </cell>
        </row>
      </sheetData>
      <sheetData sheetId="3049">
        <row r="4">
          <cell r="A4" t="str">
            <v>BẢNG TÍNH TOÁN, ĐO BÓC KHỐI LƯỢNG HOÀN THÀNH ĐƯA VÀO QUYẾT TOÁN</v>
          </cell>
        </row>
      </sheetData>
      <sheetData sheetId="3050">
        <row r="4">
          <cell r="A4" t="str">
            <v>BẢNG TÍNH TOÁN, ĐO BÓC KHỐI LƯỢNG HOÀN THÀNH ĐƯA VÀO QUYẾT TOÁN</v>
          </cell>
        </row>
      </sheetData>
      <sheetData sheetId="3051">
        <row r="4">
          <cell r="A4" t="str">
            <v>BẢNG TÍNH TOÁN, ĐO BÓC KHỐI LƯỢNG HOÀN THÀNH ĐƯA VÀO QUYẾT TOÁN</v>
          </cell>
        </row>
      </sheetData>
      <sheetData sheetId="3052">
        <row r="4">
          <cell r="A4" t="str">
            <v>BẢNG TÍNH TOÁN, ĐO BÓC KHỐI LƯỢNG HOÀN THÀNH ĐƯA VÀO QUYẾT TOÁN</v>
          </cell>
        </row>
      </sheetData>
      <sheetData sheetId="3053">
        <row r="4">
          <cell r="A4" t="str">
            <v>BẢNG TÍNH TOÁN, ĐO BÓC KHỐI LƯỢNG HOÀN THÀNH ĐƯA VÀO QUYẾT TOÁN</v>
          </cell>
        </row>
      </sheetData>
      <sheetData sheetId="3054">
        <row r="4">
          <cell r="A4" t="str">
            <v>BẢNG TÍNH TOÁN, ĐO BÓC KHỐI LƯỢNG HOÀN THÀNH ĐƯA VÀO QUYẾT TOÁN</v>
          </cell>
        </row>
      </sheetData>
      <sheetData sheetId="3055">
        <row r="4">
          <cell r="A4" t="str">
            <v>BẢNG TÍNH TOÁN, ĐO BÓC KHỐI LƯỢNG HOÀN THÀNH ĐƯA VÀO QUYẾT TOÁN</v>
          </cell>
        </row>
      </sheetData>
      <sheetData sheetId="3056">
        <row r="4">
          <cell r="A4" t="str">
            <v>BẢNG TÍNH TOÁN, ĐO BÓC KHỐI LƯỢNG HOÀN THÀNH ĐƯA VÀO QUYẾT TOÁN</v>
          </cell>
        </row>
      </sheetData>
      <sheetData sheetId="3057">
        <row r="4">
          <cell r="A4" t="str">
            <v>BẢNG TÍNH TOÁN, ĐO BÓC KHỐI LƯỢNG HOÀN THÀNH ĐƯA VÀO QUYẾT TOÁN</v>
          </cell>
        </row>
      </sheetData>
      <sheetData sheetId="3058">
        <row r="4">
          <cell r="A4" t="str">
            <v>BẢNG TÍNH TOÁN, ĐO BÓC KHỐI LƯỢNG HOÀN THÀNH ĐƯA VÀO QUYẾT TOÁN</v>
          </cell>
        </row>
      </sheetData>
      <sheetData sheetId="3059">
        <row r="4">
          <cell r="A4" t="str">
            <v>BẢNG TÍNH TOÁN, ĐO BÓC KHỐI LƯỢNG HOÀN THÀNH ĐƯA VÀO QUYẾT TOÁN</v>
          </cell>
        </row>
      </sheetData>
      <sheetData sheetId="3060">
        <row r="4">
          <cell r="A4" t="str">
            <v>BẢNG TÍNH TOÁN, ĐO BÓC KHỐI LƯỢNG HOÀN THÀNH ĐƯA VÀO QUYẾT TOÁN</v>
          </cell>
        </row>
      </sheetData>
      <sheetData sheetId="3061">
        <row r="4">
          <cell r="A4" t="str">
            <v>BẢNG TÍNH TOÁN, ĐO BÓC KHỐI LƯỢNG HOÀN THÀNH ĐƯA VÀO QUYẾT TOÁN</v>
          </cell>
        </row>
      </sheetData>
      <sheetData sheetId="3062">
        <row r="4">
          <cell r="A4" t="str">
            <v>BẢNG TÍNH TOÁN, ĐO BÓC KHỐI LƯỢNG HOÀN THÀNH ĐƯA VÀO QUYẾT TOÁN</v>
          </cell>
        </row>
      </sheetData>
      <sheetData sheetId="3063">
        <row r="4">
          <cell r="A4" t="str">
            <v>BẢNG TÍNH TOÁN, ĐO BÓC KHỐI LƯỢNG HOÀN THÀNH ĐƯA VÀO QUYẾT TOÁN</v>
          </cell>
        </row>
      </sheetData>
      <sheetData sheetId="3064">
        <row r="4">
          <cell r="A4" t="str">
            <v>BẢNG TÍNH TOÁN, ĐO BÓC KHỐI LƯỢNG HOÀN THÀNH ĐƯA VÀO QUYẾT TOÁN</v>
          </cell>
        </row>
      </sheetData>
      <sheetData sheetId="3065">
        <row r="4">
          <cell r="A4" t="str">
            <v>BẢNG TÍNH TOÁN, ĐO BÓC KHỐI LƯỢNG HOÀN THÀNH ĐƯA VÀO QUYẾT TOÁN</v>
          </cell>
        </row>
      </sheetData>
      <sheetData sheetId="3066">
        <row r="4">
          <cell r="A4" t="str">
            <v>BẢNG TÍNH TOÁN, ĐO BÓC KHỐI LƯỢNG HOÀN THÀNH ĐƯA VÀO QUYẾT TOÁN</v>
          </cell>
        </row>
      </sheetData>
      <sheetData sheetId="3067">
        <row r="4">
          <cell r="A4" t="str">
            <v>BẢNG TÍNH TOÁN, ĐO BÓC KHỐI LƯỢNG HOÀN THÀNH ĐƯA VÀO QUYẾT TOÁN</v>
          </cell>
        </row>
      </sheetData>
      <sheetData sheetId="3068">
        <row r="4">
          <cell r="A4" t="str">
            <v>BẢNG TÍNH TOÁN, ĐO BÓC KHỐI LƯỢNG HOÀN THÀNH ĐƯA VÀO QUYẾT TOÁN</v>
          </cell>
        </row>
      </sheetData>
      <sheetData sheetId="3069">
        <row r="4">
          <cell r="A4" t="str">
            <v>BẢNG TÍNH TOÁN, ĐO BÓC KHỐI LƯỢNG HOÀN THÀNH ĐƯA VÀO QUYẾT TOÁN</v>
          </cell>
        </row>
      </sheetData>
      <sheetData sheetId="3070">
        <row r="9">
          <cell r="A9" t="str">
            <v>A</v>
          </cell>
        </row>
      </sheetData>
      <sheetData sheetId="3071">
        <row r="4">
          <cell r="A4" t="str">
            <v>BẢNG TÍNH TOÁN, ĐO BÓC KHỐI LƯỢNG HOÀN THÀNH ĐƯA VÀO QUYẾT TOÁN</v>
          </cell>
        </row>
      </sheetData>
      <sheetData sheetId="3072">
        <row r="4">
          <cell r="A4" t="str">
            <v>BẢNG TÍNH TOÁN, ĐO BÓC KHỐI LƯỢNG HOÀN THÀNH ĐƯA VÀO QUYẾT TOÁN</v>
          </cell>
        </row>
      </sheetData>
      <sheetData sheetId="3073">
        <row r="4">
          <cell r="A4" t="str">
            <v>BẢNG TÍNH TOÁN, ĐO BÓC KHỐI LƯỢNG HOÀN THÀNH ĐƯA VÀO QUYẾT TOÁN</v>
          </cell>
        </row>
      </sheetData>
      <sheetData sheetId="3074">
        <row r="4">
          <cell r="A4" t="str">
            <v>BẢNG TÍNH TOÁN, ĐO BÓC KHỐI LƯỢNG HOÀN THÀNH ĐƯA VÀO QUYẾT TOÁN</v>
          </cell>
        </row>
      </sheetData>
      <sheetData sheetId="3075">
        <row r="4">
          <cell r="A4" t="str">
            <v>BẢNG TÍNH TOÁN, ĐO BÓC KHỐI LƯỢNG HOÀN THÀNH ĐƯA VÀO QUYẾT TOÁN</v>
          </cell>
        </row>
      </sheetData>
      <sheetData sheetId="3076">
        <row r="4">
          <cell r="A4" t="str">
            <v>BẢNG TÍNH TOÁN, ĐO BÓC KHỐI LƯỢNG HOÀN THÀNH ĐƯA VÀO QUYẾT TOÁN</v>
          </cell>
        </row>
      </sheetData>
      <sheetData sheetId="3077">
        <row r="4">
          <cell r="A4" t="str">
            <v>BẢNG TÍNH TOÁN, ĐO BÓC KHỐI LƯỢNG HOÀN THÀNH ĐƯA VÀO QUYẾT TOÁN</v>
          </cell>
        </row>
      </sheetData>
      <sheetData sheetId="3078">
        <row r="4">
          <cell r="A4" t="str">
            <v>BẢNG TÍNH TOÁN, ĐO BÓC KHỐI LƯỢNG HOÀN THÀNH ĐƯA VÀO QUYẾT TOÁN</v>
          </cell>
        </row>
      </sheetData>
      <sheetData sheetId="3079">
        <row r="4">
          <cell r="A4" t="str">
            <v>BẢNG TÍNH TOÁN, ĐO BÓC KHỐI LƯỢNG HOÀN THÀNH ĐƯA VÀO QUYẾT TOÁN</v>
          </cell>
        </row>
      </sheetData>
      <sheetData sheetId="3080">
        <row r="4">
          <cell r="A4" t="str">
            <v>BẢNG TÍNH TOÁN, ĐO BÓC KHỐI LƯỢNG HOÀN THÀNH ĐƯA VÀO QUYẾT TOÁN</v>
          </cell>
        </row>
      </sheetData>
      <sheetData sheetId="3081">
        <row r="4">
          <cell r="A4" t="str">
            <v>BẢNG TÍNH TOÁN, ĐO BÓC KHỐI LƯỢNG HOÀN THÀNH ĐƯA VÀO QUYẾT TOÁN</v>
          </cell>
        </row>
      </sheetData>
      <sheetData sheetId="3082">
        <row r="4">
          <cell r="A4" t="str">
            <v>BẢNG TÍNH TOÁN, ĐO BÓC KHỐI LƯỢNG HOÀN THÀNH ĐƯA VÀO QUYẾT TOÁN</v>
          </cell>
        </row>
      </sheetData>
      <sheetData sheetId="3083">
        <row r="4">
          <cell r="A4" t="str">
            <v>BẢNG TÍNH TOÁN, ĐO BÓC KHỐI LƯỢNG HOÀN THÀNH ĐƯA VÀO QUYẾT TOÁN</v>
          </cell>
        </row>
      </sheetData>
      <sheetData sheetId="3084">
        <row r="4">
          <cell r="A4" t="str">
            <v>BẢNG TÍNH TOÁN, ĐO BÓC KHỐI LƯỢNG HOÀN THÀNH ĐƯA VÀO QUYẾT TOÁN</v>
          </cell>
        </row>
      </sheetData>
      <sheetData sheetId="3085">
        <row r="4">
          <cell r="A4" t="str">
            <v>BẢNG TÍNH TOÁN, ĐO BÓC KHỐI LƯỢNG HOÀN THÀNH ĐƯA VÀO QUYẾT TOÁN</v>
          </cell>
        </row>
      </sheetData>
      <sheetData sheetId="3086">
        <row r="4">
          <cell r="A4" t="str">
            <v>BẢNG TÍNH TOÁN, ĐO BÓC KHỐI LƯỢNG HOÀN THÀNH ĐƯA VÀO QUYẾT TOÁN</v>
          </cell>
        </row>
      </sheetData>
      <sheetData sheetId="3087">
        <row r="4">
          <cell r="A4" t="str">
            <v>BẢNG TÍNH TOÁN, ĐO BÓC KHỐI LƯỢNG HOÀN THÀNH ĐƯA VÀO QUYẾT TOÁN</v>
          </cell>
        </row>
      </sheetData>
      <sheetData sheetId="3088">
        <row r="4">
          <cell r="A4" t="str">
            <v>BẢNG TÍNH TOÁN, ĐO BÓC KHỐI LƯỢNG HOÀN THÀNH ĐƯA VÀO QUYẾT TOÁN</v>
          </cell>
        </row>
      </sheetData>
      <sheetData sheetId="3089">
        <row r="4">
          <cell r="A4" t="str">
            <v>BẢNG TÍNH TOÁN, ĐO BÓC KHỐI LƯỢNG HOÀN THÀNH ĐƯA VÀO QUYẾT TOÁN</v>
          </cell>
        </row>
      </sheetData>
      <sheetData sheetId="3090">
        <row r="4">
          <cell r="A4" t="str">
            <v>BẢNG TÍNH TOÁN, ĐO BÓC KHỐI LƯỢNG HOÀN THÀNH ĐƯA VÀO QUYẾT TOÁN</v>
          </cell>
        </row>
      </sheetData>
      <sheetData sheetId="3091">
        <row r="4">
          <cell r="A4" t="str">
            <v>BẢNG TÍNH TOÁN, ĐO BÓC KHỐI LƯỢNG HOÀN THÀNH ĐƯA VÀO QUYẾT TOÁN</v>
          </cell>
        </row>
      </sheetData>
      <sheetData sheetId="3092">
        <row r="4">
          <cell r="A4" t="str">
            <v>BẢNG TÍNH TOÁN, ĐO BÓC KHỐI LƯỢNG HOÀN THÀNH ĐƯA VÀO QUYẾT TOÁN</v>
          </cell>
        </row>
      </sheetData>
      <sheetData sheetId="3093">
        <row r="4">
          <cell r="A4" t="str">
            <v>BẢNG TÍNH TOÁN, ĐO BÓC KHỐI LƯỢNG HOÀN THÀNH ĐƯA VÀO QUYẾT TOÁN</v>
          </cell>
        </row>
      </sheetData>
      <sheetData sheetId="3094">
        <row r="4">
          <cell r="A4" t="str">
            <v>BẢNG TÍNH TOÁN, ĐO BÓC KHỐI LƯỢNG HOÀN THÀNH ĐƯA VÀO QUYẾT TOÁN</v>
          </cell>
        </row>
      </sheetData>
      <sheetData sheetId="3095">
        <row r="4">
          <cell r="A4" t="str">
            <v>BẢNG TÍNH TOÁN, ĐO BÓC KHỐI LƯỢNG HOÀN THÀNH ĐƯA VÀO QUYẾT TOÁN</v>
          </cell>
        </row>
      </sheetData>
      <sheetData sheetId="3096">
        <row r="4">
          <cell r="A4" t="str">
            <v>BẢNG TÍNH TOÁN, ĐO BÓC KHỐI LƯỢNG HOÀN THÀNH ĐƯA VÀO QUYẾT TOÁN</v>
          </cell>
        </row>
      </sheetData>
      <sheetData sheetId="3097">
        <row r="4">
          <cell r="A4" t="str">
            <v>BẢNG TÍNH TOÁN, ĐO BÓC KHỐI LƯỢNG HOÀN THÀNH ĐƯA VÀO QUYẾT TOÁN</v>
          </cell>
        </row>
      </sheetData>
      <sheetData sheetId="3098">
        <row r="4">
          <cell r="A4" t="str">
            <v>BẢNG TÍNH TOÁN, ĐO BÓC KHỐI LƯỢNG HOÀN THÀNH ĐƯA VÀO QUYẾT TOÁN</v>
          </cell>
        </row>
      </sheetData>
      <sheetData sheetId="3099">
        <row r="4">
          <cell r="A4" t="str">
            <v>BẢNG TÍNH TOÁN, ĐO BÓC KHỐI LƯỢNG HOÀN THÀNH ĐƯA VÀO QUYẾT TOÁN</v>
          </cell>
        </row>
      </sheetData>
      <sheetData sheetId="3100">
        <row r="4">
          <cell r="A4" t="str">
            <v>BẢNG TÍNH TOÁN, ĐO BÓC KHỐI LƯỢNG HOÀN THÀNH ĐƯA VÀO QUYẾT TOÁN</v>
          </cell>
        </row>
      </sheetData>
      <sheetData sheetId="3101">
        <row r="4">
          <cell r="A4" t="str">
            <v>BẢNG TÍNH TOÁN, ĐO BÓC KHỐI LƯỢNG HOÀN THÀNH ĐƯA VÀO QUYẾT TOÁN</v>
          </cell>
        </row>
      </sheetData>
      <sheetData sheetId="3102">
        <row r="4">
          <cell r="A4" t="str">
            <v>BẢNG TÍNH TOÁN, ĐO BÓC KHỐI LƯỢNG HOÀN THÀNH ĐƯA VÀO QUYẾT TOÁN</v>
          </cell>
        </row>
      </sheetData>
      <sheetData sheetId="3103">
        <row r="4">
          <cell r="A4" t="str">
            <v>BẢNG TÍNH TOÁN, ĐO BÓC KHỐI LƯỢNG HOÀN THÀNH ĐƯA VÀO QUYẾT TOÁN</v>
          </cell>
        </row>
      </sheetData>
      <sheetData sheetId="3104">
        <row r="4">
          <cell r="A4" t="str">
            <v>BẢNG TÍNH TOÁN, ĐO BÓC KHỐI LƯỢNG HOÀN THÀNH ĐƯA VÀO QUYẾT TOÁN</v>
          </cell>
        </row>
      </sheetData>
      <sheetData sheetId="3105">
        <row r="4">
          <cell r="A4" t="str">
            <v>BẢNG TÍNH TOÁN, ĐO BÓC KHỐI LƯỢNG HOÀN THÀNH ĐƯA VÀO QUYẾT TOÁN</v>
          </cell>
        </row>
      </sheetData>
      <sheetData sheetId="3106">
        <row r="4">
          <cell r="A4" t="str">
            <v>BẢNG TÍNH TOÁN, ĐO BÓC KHỐI LƯỢNG HOÀN THÀNH ĐƯA VÀO QUYẾT TOÁN</v>
          </cell>
        </row>
      </sheetData>
      <sheetData sheetId="3107">
        <row r="4">
          <cell r="A4" t="str">
            <v>BẢNG TÍNH TOÁN, ĐO BÓC KHỐI LƯỢNG HOÀN THÀNH ĐƯA VÀO QUYẾT TOÁN</v>
          </cell>
        </row>
      </sheetData>
      <sheetData sheetId="3108">
        <row r="4">
          <cell r="A4" t="str">
            <v>BẢNG TÍNH TOÁN, ĐO BÓC KHỐI LƯỢNG HOÀN THÀNH ĐƯA VÀO QUYẾT TOÁN</v>
          </cell>
        </row>
      </sheetData>
      <sheetData sheetId="3109">
        <row r="4">
          <cell r="A4" t="str">
            <v>BẢNG TÍNH TOÁN, ĐO BÓC KHỐI LƯỢNG HOÀN THÀNH ĐƯA VÀO QUYẾT TOÁN</v>
          </cell>
        </row>
      </sheetData>
      <sheetData sheetId="3110">
        <row r="4">
          <cell r="A4" t="str">
            <v>BẢNG TÍNH TOÁN, ĐO BÓC KHỐI LƯỢNG HOÀN THÀNH ĐƯA VÀO QUYẾT TOÁN</v>
          </cell>
        </row>
      </sheetData>
      <sheetData sheetId="3111">
        <row r="4">
          <cell r="A4" t="str">
            <v>BẢNG TÍNH TOÁN, ĐO BÓC KHỐI LƯỢNG HOÀN THÀNH ĐƯA VÀO QUYẾT TOÁN</v>
          </cell>
        </row>
      </sheetData>
      <sheetData sheetId="3112">
        <row r="4">
          <cell r="A4" t="str">
            <v>BẢNG TÍNH TOÁN, ĐO BÓC KHỐI LƯỢNG HOÀN THÀNH ĐƯA VÀO QUYẾT TOÁN</v>
          </cell>
        </row>
      </sheetData>
      <sheetData sheetId="3113">
        <row r="4">
          <cell r="A4" t="str">
            <v>BẢNG TÍNH TOÁN, ĐO BÓC KHỐI LƯỢNG HOÀN THÀNH ĐƯA VÀO QUYẾT TOÁN</v>
          </cell>
        </row>
      </sheetData>
      <sheetData sheetId="3114">
        <row r="4">
          <cell r="A4" t="str">
            <v>BẢNG TÍNH TOÁN, ĐO BÓC KHỐI LƯỢNG HOÀN THÀNH ĐƯA VÀO QUYẾT TOÁN</v>
          </cell>
        </row>
      </sheetData>
      <sheetData sheetId="3115">
        <row r="4">
          <cell r="A4" t="str">
            <v>BẢNG TÍNH TOÁN, ĐO BÓC KHỐI LƯỢNG HOÀN THÀNH ĐƯA VÀO QUYẾT TOÁN</v>
          </cell>
        </row>
      </sheetData>
      <sheetData sheetId="3116">
        <row r="4">
          <cell r="A4" t="str">
            <v>BẢNG TÍNH TOÁN, ĐO BÓC KHỐI LƯỢNG HOÀN THÀNH ĐƯA VÀO QUYẾT TOÁN</v>
          </cell>
        </row>
      </sheetData>
      <sheetData sheetId="3117">
        <row r="4">
          <cell r="A4" t="str">
            <v>BẢNG TÍNH TOÁN, ĐO BÓC KHỐI LƯỢNG HOÀN THÀNH ĐƯA VÀO QUYẾT TOÁN</v>
          </cell>
        </row>
      </sheetData>
      <sheetData sheetId="3118">
        <row r="4">
          <cell r="A4" t="str">
            <v>BẢNG TÍNH TOÁN, ĐO BÓC KHỐI LƯỢNG HOÀN THÀNH ĐƯA VÀO QUYẾT TOÁN</v>
          </cell>
        </row>
      </sheetData>
      <sheetData sheetId="3119">
        <row r="4">
          <cell r="A4" t="str">
            <v>BẢNG TÍNH TOÁN, ĐO BÓC KHỐI LƯỢNG HOÀN THÀNH ĐƯA VÀO QUYẾT TOÁN</v>
          </cell>
        </row>
      </sheetData>
      <sheetData sheetId="3120">
        <row r="4">
          <cell r="A4" t="str">
            <v>BẢNG TÍNH TOÁN, ĐO BÓC KHỐI LƯỢNG HOÀN THÀNH ĐƯA VÀO QUYẾT TOÁN</v>
          </cell>
        </row>
      </sheetData>
      <sheetData sheetId="3121">
        <row r="4">
          <cell r="A4" t="str">
            <v>BẢNG TÍNH TOÁN, ĐO BÓC KHỐI LƯỢNG HOÀN THÀNH ĐƯA VÀO QUYẾT TOÁN</v>
          </cell>
        </row>
      </sheetData>
      <sheetData sheetId="3122">
        <row r="4">
          <cell r="A4" t="str">
            <v>BẢNG TÍNH TOÁN, ĐO BÓC KHỐI LƯỢNG HOÀN THÀNH ĐƯA VÀO QUYẾT TOÁN</v>
          </cell>
        </row>
      </sheetData>
      <sheetData sheetId="3123">
        <row r="4">
          <cell r="A4" t="str">
            <v>BẢNG TÍNH TOÁN, ĐO BÓC KHỐI LƯỢNG HOÀN THÀNH ĐƯA VÀO QUYẾT TOÁN</v>
          </cell>
        </row>
      </sheetData>
      <sheetData sheetId="3124">
        <row r="4">
          <cell r="A4" t="str">
            <v>BẢNG TÍNH TOÁN, ĐO BÓC KHỐI LƯỢNG HOÀN THÀNH ĐƯA VÀO QUYẾT TOÁN</v>
          </cell>
        </row>
      </sheetData>
      <sheetData sheetId="3125">
        <row r="4">
          <cell r="A4" t="str">
            <v>BẢNG TÍNH TOÁN, ĐO BÓC KHỐI LƯỢNG HOÀN THÀNH ĐƯA VÀO QUYẾT TOÁN</v>
          </cell>
        </row>
      </sheetData>
      <sheetData sheetId="3126">
        <row r="4">
          <cell r="A4" t="str">
            <v>BẢNG TÍNH TOÁN, ĐO BÓC KHỐI LƯỢNG HOÀN THÀNH ĐƯA VÀO QUYẾT TOÁN</v>
          </cell>
        </row>
      </sheetData>
      <sheetData sheetId="3127">
        <row r="4">
          <cell r="A4" t="str">
            <v>BẢNG TÍNH TOÁN, ĐO BÓC KHỐI LƯỢNG HOÀN THÀNH ĐƯA VÀO QUYẾT TOÁN</v>
          </cell>
        </row>
      </sheetData>
      <sheetData sheetId="3128">
        <row r="4">
          <cell r="A4" t="str">
            <v>BẢNG TÍNH TOÁN, ĐO BÓC KHỐI LƯỢNG HOÀN THÀNH ĐƯA VÀO QUYẾT TOÁN</v>
          </cell>
        </row>
      </sheetData>
      <sheetData sheetId="3129">
        <row r="4">
          <cell r="A4" t="str">
            <v>BẢNG TÍNH TOÁN, ĐO BÓC KHỐI LƯỢNG HOÀN THÀNH ĐƯA VÀO QUYẾT TOÁN</v>
          </cell>
        </row>
      </sheetData>
      <sheetData sheetId="3130">
        <row r="4">
          <cell r="A4" t="str">
            <v>BẢNG TÍNH TOÁN, ĐO BÓC KHỐI LƯỢNG HOÀN THÀNH ĐƯA VÀO QUYẾT TOÁN</v>
          </cell>
        </row>
      </sheetData>
      <sheetData sheetId="3131">
        <row r="4">
          <cell r="A4" t="str">
            <v>BẢNG TÍNH TOÁN, ĐO BÓC KHỐI LƯỢNG HOÀN THÀNH ĐƯA VÀO QUYẾT TOÁN</v>
          </cell>
        </row>
      </sheetData>
      <sheetData sheetId="3132">
        <row r="4">
          <cell r="A4" t="str">
            <v>BẢNG TÍNH TOÁN, ĐO BÓC KHỐI LƯỢNG HOÀN THÀNH ĐƯA VÀO QUYẾT TOÁN</v>
          </cell>
        </row>
      </sheetData>
      <sheetData sheetId="3133">
        <row r="4">
          <cell r="A4" t="str">
            <v>BẢNG TÍNH TOÁN, ĐO BÓC KHỐI LƯỢNG HOÀN THÀNH ĐƯA VÀO QUYẾT TOÁN</v>
          </cell>
        </row>
      </sheetData>
      <sheetData sheetId="3134">
        <row r="4">
          <cell r="A4" t="str">
            <v>BẢNG TÍNH TOÁN, ĐO BÓC KHỐI LƯỢNG HOÀN THÀNH ĐƯA VÀO QUYẾT TOÁN</v>
          </cell>
        </row>
      </sheetData>
      <sheetData sheetId="3135">
        <row r="4">
          <cell r="A4" t="str">
            <v>BẢNG TÍNH TOÁN, ĐO BÓC KHỐI LƯỢNG HOÀN THÀNH ĐƯA VÀO QUYẾT TOÁN</v>
          </cell>
        </row>
      </sheetData>
      <sheetData sheetId="3136">
        <row r="4">
          <cell r="A4" t="str">
            <v>BẢNG TÍNH TOÁN, ĐO BÓC KHỐI LƯỢNG HOÀN THÀNH ĐƯA VÀO QUYẾT TOÁN</v>
          </cell>
        </row>
      </sheetData>
      <sheetData sheetId="3137">
        <row r="4">
          <cell r="A4" t="str">
            <v>BẢNG TÍNH TOÁN, ĐO BÓC KHỐI LƯỢNG HOÀN THÀNH ĐƯA VÀO QUYẾT TOÁN</v>
          </cell>
        </row>
      </sheetData>
      <sheetData sheetId="3138">
        <row r="4">
          <cell r="A4" t="str">
            <v>BẢNG TÍNH TOÁN, ĐO BÓC KHỐI LƯỢNG HOÀN THÀNH ĐƯA VÀO QUYẾT TOÁN</v>
          </cell>
        </row>
      </sheetData>
      <sheetData sheetId="3139">
        <row r="4">
          <cell r="A4" t="str">
            <v>BẢNG TÍNH TOÁN, ĐO BÓC KHỐI LƯỢNG HOÀN THÀNH ĐƯA VÀO QUYẾT TOÁN</v>
          </cell>
        </row>
      </sheetData>
      <sheetData sheetId="3140">
        <row r="4">
          <cell r="A4" t="str">
            <v>BẢNG TÍNH TOÁN, ĐO BÓC KHỐI LƯỢNG HOÀN THÀNH ĐƯA VÀO QUYẾT TOÁN</v>
          </cell>
        </row>
      </sheetData>
      <sheetData sheetId="3141">
        <row r="4">
          <cell r="A4" t="str">
            <v>BẢNG TÍNH TOÁN, ĐO BÓC KHỐI LƯỢNG HOÀN THÀNH ĐƯA VÀO QUYẾT TOÁN</v>
          </cell>
        </row>
      </sheetData>
      <sheetData sheetId="3142">
        <row r="4">
          <cell r="A4" t="str">
            <v>BẢNG TÍNH TOÁN, ĐO BÓC KHỐI LƯỢNG HOÀN THÀNH ĐƯA VÀO QUYẾT TOÁN</v>
          </cell>
        </row>
      </sheetData>
      <sheetData sheetId="3143">
        <row r="4">
          <cell r="A4" t="str">
            <v>BẢNG TÍNH TOÁN, ĐO BÓC KHỐI LƯỢNG HOÀN THÀNH ĐƯA VÀO QUYẾT TOÁN</v>
          </cell>
        </row>
      </sheetData>
      <sheetData sheetId="3144">
        <row r="4">
          <cell r="A4" t="str">
            <v>BẢNG TÍNH TOÁN, ĐO BÓC KHỐI LƯỢNG HOÀN THÀNH ĐƯA VÀO QUYẾT TOÁN</v>
          </cell>
        </row>
      </sheetData>
      <sheetData sheetId="3145">
        <row r="4">
          <cell r="A4" t="str">
            <v>BẢNG TÍNH TOÁN, ĐO BÓC KHỐI LƯỢNG HOÀN THÀNH ĐƯA VÀO QUYẾT TOÁN</v>
          </cell>
        </row>
      </sheetData>
      <sheetData sheetId="3146">
        <row r="4">
          <cell r="A4" t="str">
            <v>BẢNG TÍNH TOÁN, ĐO BÓC KHỐI LƯỢNG HOÀN THÀNH ĐƯA VÀO QUYẾT TOÁN</v>
          </cell>
        </row>
      </sheetData>
      <sheetData sheetId="3147">
        <row r="4">
          <cell r="A4" t="str">
            <v>BẢNG TÍNH TOÁN, ĐO BÓC KHỐI LƯỢNG HOÀN THÀNH ĐƯA VÀO QUYẾT TOÁN</v>
          </cell>
        </row>
      </sheetData>
      <sheetData sheetId="3148">
        <row r="4">
          <cell r="A4" t="str">
            <v>BẢNG TÍNH TOÁN, ĐO BÓC KHỐI LƯỢNG HOÀN THÀNH ĐƯA VÀO QUYẾT TOÁN</v>
          </cell>
        </row>
      </sheetData>
      <sheetData sheetId="3149">
        <row r="4">
          <cell r="A4" t="str">
            <v>BẢNG TÍNH TOÁN, ĐO BÓC KHỐI LƯỢNG HOÀN THÀNH ĐƯA VÀO QUYẾT TOÁN</v>
          </cell>
        </row>
      </sheetData>
      <sheetData sheetId="3150">
        <row r="4">
          <cell r="A4" t="str">
            <v>BẢNG TÍNH TOÁN, ĐO BÓC KHỐI LƯỢNG HOÀN THÀNH ĐƯA VÀO QUYẾT TOÁN</v>
          </cell>
        </row>
      </sheetData>
      <sheetData sheetId="3151">
        <row r="4">
          <cell r="A4" t="str">
            <v>BẢNG TÍNH TOÁN, ĐO BÓC KHỐI LƯỢNG HOÀN THÀNH ĐƯA VÀO QUYẾT TOÁN</v>
          </cell>
        </row>
      </sheetData>
      <sheetData sheetId="3152">
        <row r="4">
          <cell r="A4" t="str">
            <v>BẢNG TÍNH TOÁN, ĐO BÓC KHỐI LƯỢNG HOÀN THÀNH ĐƯA VÀO QUYẾT TOÁN</v>
          </cell>
        </row>
      </sheetData>
      <sheetData sheetId="3153">
        <row r="4">
          <cell r="A4" t="str">
            <v>BẢNG TÍNH TOÁN, ĐO BÓC KHỐI LƯỢNG HOÀN THÀNH ĐƯA VÀO QUYẾT TOÁN</v>
          </cell>
        </row>
      </sheetData>
      <sheetData sheetId="3154">
        <row r="4">
          <cell r="A4" t="str">
            <v>BẢNG TÍNH TOÁN, ĐO BÓC KHỐI LƯỢNG HOÀN THÀNH ĐƯA VÀO QUYẾT TOÁN</v>
          </cell>
        </row>
      </sheetData>
      <sheetData sheetId="3155">
        <row r="4">
          <cell r="A4" t="str">
            <v>BẢNG TÍNH TOÁN, ĐO BÓC KHỐI LƯỢNG HOÀN THÀNH ĐƯA VÀO QUYẾT TOÁN</v>
          </cell>
        </row>
      </sheetData>
      <sheetData sheetId="3156">
        <row r="4">
          <cell r="A4" t="str">
            <v>BẢNG TÍNH TOÁN, ĐO BÓC KHỐI LƯỢNG HOÀN THÀNH ĐƯA VÀO QUYẾT TOÁN</v>
          </cell>
        </row>
      </sheetData>
      <sheetData sheetId="3157">
        <row r="4">
          <cell r="A4" t="str">
            <v>BẢNG TÍNH TOÁN, ĐO BÓC KHỐI LƯỢNG HOÀN THÀNH ĐƯA VÀO QUYẾT TOÁN</v>
          </cell>
        </row>
      </sheetData>
      <sheetData sheetId="3158">
        <row r="4">
          <cell r="A4" t="str">
            <v>BẢNG TÍNH TOÁN, ĐO BÓC KHỐI LƯỢNG HOÀN THÀNH ĐƯA VÀO QUYẾT TOÁN</v>
          </cell>
        </row>
      </sheetData>
      <sheetData sheetId="3159">
        <row r="4">
          <cell r="A4" t="str">
            <v>BẢNG TÍNH TOÁN, ĐO BÓC KHỐI LƯỢNG HOÀN THÀNH ĐƯA VÀO QUYẾT TOÁN</v>
          </cell>
        </row>
      </sheetData>
      <sheetData sheetId="3160">
        <row r="4">
          <cell r="A4" t="str">
            <v>BẢNG TÍNH TOÁN, ĐO BÓC KHỐI LƯỢNG HOÀN THÀNH ĐƯA VÀO QUYẾT TOÁN</v>
          </cell>
        </row>
      </sheetData>
      <sheetData sheetId="3161">
        <row r="4">
          <cell r="A4" t="str">
            <v>BẢNG TÍNH TOÁN, ĐO BÓC KHỐI LƯỢNG HOÀN THÀNH ĐƯA VÀO QUYẾT TOÁN</v>
          </cell>
        </row>
      </sheetData>
      <sheetData sheetId="3162">
        <row r="4">
          <cell r="A4" t="str">
            <v>BẢNG TÍNH TOÁN, ĐO BÓC KHỐI LƯỢNG HOÀN THÀNH ĐƯA VÀO QUYẾT TOÁN</v>
          </cell>
        </row>
      </sheetData>
      <sheetData sheetId="3163">
        <row r="9">
          <cell r="A9" t="str">
            <v>A</v>
          </cell>
        </row>
      </sheetData>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ow r="4">
          <cell r="A4" t="str">
            <v>BẢNG TÍNH TOÁN, ĐO BÓC KHỐI LƯỢNG HOÀN THÀNH ĐƯA VÀO QUYẾT TOÁN</v>
          </cell>
        </row>
      </sheetData>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ow r="9">
          <cell r="A9" t="str">
            <v>A</v>
          </cell>
        </row>
      </sheetData>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ow r="4">
          <cell r="A4" t="str">
            <v>BẢNG TÍNH TOÁN, ĐO BÓC KHỐI LƯỢNG HOÀN THÀNH ĐƯA VÀO QUYẾT TOÁN</v>
          </cell>
        </row>
      </sheetData>
      <sheetData sheetId="3249">
        <row r="4">
          <cell r="A4" t="str">
            <v>BẢNG TÍNH TOÁN, ĐO BÓC KHỐI LƯỢNG HOÀN THÀNH ĐƯA VÀO QUYẾT TOÁN</v>
          </cell>
        </row>
      </sheetData>
      <sheetData sheetId="3250">
        <row r="4">
          <cell r="A4" t="str">
            <v>BẢNG TÍNH TOÁN, ĐO BÓC KHỐI LƯỢNG HOÀN THÀNH ĐƯA VÀO QUYẾT TOÁN</v>
          </cell>
        </row>
      </sheetData>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ow r="4">
          <cell r="A4" t="str">
            <v>BẢNG TÍNH TOÁN, ĐO BÓC KHỐI LƯỢNG HOÀN THÀNH ĐƯA VÀO QUYẾT TOÁN</v>
          </cell>
        </row>
      </sheetData>
      <sheetData sheetId="3322" refreshError="1"/>
      <sheetData sheetId="3323" refreshError="1"/>
      <sheetData sheetId="3324" refreshError="1"/>
      <sheetData sheetId="3325" refreshError="1"/>
      <sheetData sheetId="3326" refreshError="1"/>
      <sheetData sheetId="3327" refreshError="1"/>
      <sheetData sheetId="3328" refreshError="1"/>
      <sheetData sheetId="3329">
        <row r="9">
          <cell r="A9" t="str">
            <v>A</v>
          </cell>
        </row>
      </sheetData>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ow r="9">
          <cell r="A9" t="str">
            <v>A</v>
          </cell>
        </row>
      </sheetData>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ow r="4">
          <cell r="A4" t="str">
            <v>BẢNG TÍNH TOÁN, ĐO BÓC KHỐI LƯỢNG HOÀN THÀNH ĐƯA VÀO QUYẾT TOÁN</v>
          </cell>
        </row>
      </sheetData>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ow r="4">
          <cell r="A4" t="str">
            <v>BẢNG TÍNH TOÁN, ĐO BÓC KHỐI LƯỢNG HOÀN THÀNH ĐƯA VÀO QUYẾT TOÁN</v>
          </cell>
        </row>
      </sheetData>
      <sheetData sheetId="3422">
        <row r="4">
          <cell r="A4" t="str">
            <v>BẢNG TÍNH TOÁN, ĐO BÓC KHỐI LƯỢNG HOÀN THÀNH ĐƯA VÀO QUYẾT TOÁN</v>
          </cell>
        </row>
      </sheetData>
      <sheetData sheetId="3423">
        <row r="4">
          <cell r="A4" t="str">
            <v>BẢNG TÍNH TOÁN, ĐO BÓC KHỐI LƯỢNG HOÀN THÀNH ĐƯA VÀO QUYẾT TOÁN</v>
          </cell>
        </row>
      </sheetData>
      <sheetData sheetId="3424">
        <row r="4">
          <cell r="A4" t="str">
            <v>BẢNG TÍNH TOÁN, ĐO BÓC KHỐI LƯỢNG HOÀN THÀNH ĐƯA VÀO QUYẾT TOÁN</v>
          </cell>
        </row>
      </sheetData>
      <sheetData sheetId="3425">
        <row r="4">
          <cell r="A4" t="str">
            <v>BẢNG TÍNH TOÁN, ĐO BÓC KHỐI LƯỢNG HOÀN THÀNH ĐƯA VÀO QUYẾT TOÁN</v>
          </cell>
        </row>
      </sheetData>
      <sheetData sheetId="3426">
        <row r="4">
          <cell r="A4" t="str">
            <v>BẢNG TÍNH TOÁN, ĐO BÓC KHỐI LƯỢNG HOÀN THÀNH ĐƯA VÀO QUYẾT TOÁN</v>
          </cell>
        </row>
      </sheetData>
      <sheetData sheetId="3427">
        <row r="4">
          <cell r="A4" t="str">
            <v>BẢNG TÍNH TOÁN, ĐO BÓC KHỐI LƯỢNG HOÀN THÀNH ĐƯA VÀO QUYẾT TOÁN</v>
          </cell>
        </row>
      </sheetData>
      <sheetData sheetId="3428">
        <row r="4">
          <cell r="A4" t="str">
            <v>BẢNG TÍNH TOÁN, ĐO BÓC KHỐI LƯỢNG HOÀN THÀNH ĐƯA VÀO QUYẾT TOÁN</v>
          </cell>
        </row>
      </sheetData>
      <sheetData sheetId="3429">
        <row r="4">
          <cell r="A4" t="str">
            <v>BẢNG TÍNH TOÁN, ĐO BÓC KHỐI LƯỢNG HOÀN THÀNH ĐƯA VÀO QUYẾT TOÁN</v>
          </cell>
        </row>
      </sheetData>
      <sheetData sheetId="3430">
        <row r="4">
          <cell r="A4" t="str">
            <v>BẢNG TÍNH TOÁN, ĐO BÓC KHỐI LƯỢNG HOÀN THÀNH ĐƯA VÀO QUYẾT TOÁN</v>
          </cell>
        </row>
      </sheetData>
      <sheetData sheetId="3431">
        <row r="4">
          <cell r="A4" t="str">
            <v>BẢNG TÍNH TOÁN, ĐO BÓC KHỐI LƯỢNG HOÀN THÀNH ĐƯA VÀO QUYẾT TOÁN</v>
          </cell>
        </row>
      </sheetData>
      <sheetData sheetId="3432">
        <row r="4">
          <cell r="A4" t="str">
            <v>BẢNG TÍNH TOÁN, ĐO BÓC KHỐI LƯỢNG HOÀN THÀNH ĐƯA VÀO QUYẾT TOÁN</v>
          </cell>
        </row>
      </sheetData>
      <sheetData sheetId="3433">
        <row r="4">
          <cell r="A4" t="str">
            <v>BẢNG TÍNH TOÁN, ĐO BÓC KHỐI LƯỢNG HOÀN THÀNH ĐƯA VÀO QUYẾT TOÁN</v>
          </cell>
        </row>
      </sheetData>
      <sheetData sheetId="3434">
        <row r="4">
          <cell r="A4" t="str">
            <v>BẢNG TÍNH TOÁN, ĐO BÓC KHỐI LƯỢNG HOÀN THÀNH ĐƯA VÀO QUYẾT TOÁN</v>
          </cell>
        </row>
      </sheetData>
      <sheetData sheetId="3435">
        <row r="4">
          <cell r="A4" t="str">
            <v>BẢNG TÍNH TOÁN, ĐO BÓC KHỐI LƯỢNG HOÀN THÀNH ĐƯA VÀO QUYẾT TOÁN</v>
          </cell>
        </row>
      </sheetData>
      <sheetData sheetId="3436">
        <row r="4">
          <cell r="A4" t="str">
            <v>BẢNG TÍNH TOÁN, ĐO BÓC KHỐI LƯỢNG HOÀN THÀNH ĐƯA VÀO QUYẾT TOÁN</v>
          </cell>
        </row>
      </sheetData>
      <sheetData sheetId="3437">
        <row r="4">
          <cell r="A4" t="str">
            <v>BẢNG TÍNH TOÁN, ĐO BÓC KHỐI LƯỢNG HOÀN THÀNH ĐƯA VÀO QUYẾT TOÁN</v>
          </cell>
        </row>
      </sheetData>
      <sheetData sheetId="3438">
        <row r="4">
          <cell r="A4" t="str">
            <v>BẢNG TÍNH TOÁN, ĐO BÓC KHỐI LƯỢNG HOÀN THÀNH ĐƯA VÀO QUYẾT TOÁN</v>
          </cell>
        </row>
      </sheetData>
      <sheetData sheetId="3439">
        <row r="4">
          <cell r="A4" t="str">
            <v>BẢNG TÍNH TOÁN, ĐO BÓC KHỐI LƯỢNG HOÀN THÀNH ĐƯA VÀO QUYẾT TOÁN</v>
          </cell>
        </row>
      </sheetData>
      <sheetData sheetId="3440">
        <row r="4">
          <cell r="A4" t="str">
            <v>BẢNG TÍNH TOÁN, ĐO BÓC KHỐI LƯỢNG HOÀN THÀNH ĐƯA VÀO QUYẾT TOÁN</v>
          </cell>
        </row>
      </sheetData>
      <sheetData sheetId="3441">
        <row r="4">
          <cell r="A4" t="str">
            <v>BẢNG TÍNH TOÁN, ĐO BÓC KHỐI LƯỢNG HOÀN THÀNH ĐƯA VÀO QUYẾT TOÁN</v>
          </cell>
        </row>
      </sheetData>
      <sheetData sheetId="3442">
        <row r="4">
          <cell r="A4" t="str">
            <v>BẢNG TÍNH TOÁN, ĐO BÓC KHỐI LƯỢNG HOÀN THÀNH ĐƯA VÀO QUYẾT TOÁN</v>
          </cell>
        </row>
      </sheetData>
      <sheetData sheetId="3443">
        <row r="4">
          <cell r="A4" t="str">
            <v>BẢNG TÍNH TOÁN, ĐO BÓC KHỐI LƯỢNG HOÀN THÀNH ĐƯA VÀO QUYẾT TOÁN</v>
          </cell>
        </row>
      </sheetData>
      <sheetData sheetId="3444">
        <row r="4">
          <cell r="A4" t="str">
            <v>BẢNG TÍNH TOÁN, ĐO BÓC KHỐI LƯỢNG HOÀN THÀNH ĐƯA VÀO QUYẾT TOÁN</v>
          </cell>
        </row>
      </sheetData>
      <sheetData sheetId="3445">
        <row r="4">
          <cell r="A4" t="str">
            <v>BẢNG TÍNH TOÁN, ĐO BÓC KHỐI LƯỢNG HOÀN THÀNH ĐƯA VÀO QUYẾT TOÁN</v>
          </cell>
        </row>
      </sheetData>
      <sheetData sheetId="3446">
        <row r="4">
          <cell r="A4" t="str">
            <v>BẢNG TÍNH TOÁN, ĐO BÓC KHỐI LƯỢNG HOÀN THÀNH ĐƯA VÀO QUYẾT TOÁN</v>
          </cell>
        </row>
      </sheetData>
      <sheetData sheetId="3447">
        <row r="4">
          <cell r="A4" t="str">
            <v>BẢNG TÍNH TOÁN, ĐO BÓC KHỐI LƯỢNG HOÀN THÀNH ĐƯA VÀO QUYẾT TOÁN</v>
          </cell>
        </row>
      </sheetData>
      <sheetData sheetId="3448">
        <row r="4">
          <cell r="A4" t="str">
            <v>BẢNG TÍNH TOÁN, ĐO BÓC KHỐI LƯỢNG HOÀN THÀNH ĐƯA VÀO QUYẾT TOÁN</v>
          </cell>
        </row>
      </sheetData>
      <sheetData sheetId="3449">
        <row r="4">
          <cell r="A4" t="str">
            <v>BẢNG TÍNH TOÁN, ĐO BÓC KHỐI LƯỢNG HOÀN THÀNH ĐƯA VÀO QUYẾT TOÁN</v>
          </cell>
        </row>
      </sheetData>
      <sheetData sheetId="3450">
        <row r="4">
          <cell r="A4" t="str">
            <v>BẢNG TÍNH TOÁN, ĐO BÓC KHỐI LƯỢNG HOÀN THÀNH ĐƯA VÀO QUYẾT TOÁN</v>
          </cell>
        </row>
      </sheetData>
      <sheetData sheetId="3451">
        <row r="4">
          <cell r="A4" t="str">
            <v>BẢNG TÍNH TOÁN, ĐO BÓC KHỐI LƯỢNG HOÀN THÀNH ĐƯA VÀO QUYẾT TOÁN</v>
          </cell>
        </row>
      </sheetData>
      <sheetData sheetId="3452">
        <row r="4">
          <cell r="A4" t="str">
            <v>BẢNG TÍNH TOÁN, ĐO BÓC KHỐI LƯỢNG HOÀN THÀNH ĐƯA VÀO QUYẾT TOÁN</v>
          </cell>
        </row>
      </sheetData>
      <sheetData sheetId="3453">
        <row r="4">
          <cell r="A4" t="str">
            <v>BẢNG TÍNH TOÁN, ĐO BÓC KHỐI LƯỢNG HOÀN THÀNH ĐƯA VÀO QUYẾT TOÁN</v>
          </cell>
        </row>
      </sheetData>
      <sheetData sheetId="3454">
        <row r="4">
          <cell r="A4" t="str">
            <v>BẢNG TÍNH TOÁN, ĐO BÓC KHỐI LƯỢNG HOÀN THÀNH ĐƯA VÀO QUYẾT TOÁN</v>
          </cell>
        </row>
      </sheetData>
      <sheetData sheetId="3455">
        <row r="4">
          <cell r="A4" t="str">
            <v>BẢNG TÍNH TOÁN, ĐO BÓC KHỐI LƯỢNG HOÀN THÀNH ĐƯA VÀO QUYẾT TOÁN</v>
          </cell>
        </row>
      </sheetData>
      <sheetData sheetId="3456">
        <row r="4">
          <cell r="A4" t="str">
            <v>BẢNG TÍNH TOÁN, ĐO BÓC KHỐI LƯỢNG HOÀN THÀNH ĐƯA VÀO QUYẾT TOÁN</v>
          </cell>
        </row>
      </sheetData>
      <sheetData sheetId="3457">
        <row r="4">
          <cell r="A4" t="str">
            <v>BẢNG TÍNH TOÁN, ĐO BÓC KHỐI LƯỢNG HOÀN THÀNH ĐƯA VÀO QUYẾT TOÁN</v>
          </cell>
        </row>
      </sheetData>
      <sheetData sheetId="3458">
        <row r="4">
          <cell r="A4" t="str">
            <v>BẢNG TÍNH TOÁN, ĐO BÓC KHỐI LƯỢNG HOÀN THÀNH ĐƯA VÀO QUYẾT TOÁN</v>
          </cell>
        </row>
      </sheetData>
      <sheetData sheetId="3459">
        <row r="4">
          <cell r="A4" t="str">
            <v>BẢNG TÍNH TOÁN, ĐO BÓC KHỐI LƯỢNG HOÀN THÀNH ĐƯA VÀO QUYẾT TOÁN</v>
          </cell>
        </row>
      </sheetData>
      <sheetData sheetId="3460">
        <row r="4">
          <cell r="A4" t="str">
            <v>BẢNG TÍNH TOÁN, ĐO BÓC KHỐI LƯỢNG HOÀN THÀNH ĐƯA VÀO QUYẾT TOÁN</v>
          </cell>
        </row>
      </sheetData>
      <sheetData sheetId="3461">
        <row r="4">
          <cell r="A4" t="str">
            <v>BẢNG TÍNH TOÁN, ĐO BÓC KHỐI LƯỢNG HOÀN THÀNH ĐƯA VÀO QUYẾT TOÁN</v>
          </cell>
        </row>
      </sheetData>
      <sheetData sheetId="3462">
        <row r="4">
          <cell r="A4" t="str">
            <v>BẢNG TÍNH TOÁN, ĐO BÓC KHỐI LƯỢNG HOÀN THÀNH ĐƯA VÀO QUYẾT TOÁN</v>
          </cell>
        </row>
      </sheetData>
      <sheetData sheetId="3463">
        <row r="4">
          <cell r="A4" t="str">
            <v>BẢNG TÍNH TOÁN, ĐO BÓC KHỐI LƯỢNG HOÀN THÀNH ĐƯA VÀO QUYẾT TOÁN</v>
          </cell>
        </row>
      </sheetData>
      <sheetData sheetId="3464">
        <row r="4">
          <cell r="A4" t="str">
            <v>BẢNG TÍNH TOÁN, ĐO BÓC KHỐI LƯỢNG HOÀN THÀNH ĐƯA VÀO QUYẾT TOÁN</v>
          </cell>
        </row>
      </sheetData>
      <sheetData sheetId="3465">
        <row r="4">
          <cell r="A4" t="str">
            <v>BẢNG TÍNH TOÁN, ĐO BÓC KHỐI LƯỢNG HOÀN THÀNH ĐƯA VÀO QUYẾT TOÁN</v>
          </cell>
        </row>
      </sheetData>
      <sheetData sheetId="3466">
        <row r="4">
          <cell r="A4" t="str">
            <v>BẢNG TÍNH TOÁN, ĐO BÓC KHỐI LƯỢNG HOÀN THÀNH ĐƯA VÀO QUYẾT TOÁN</v>
          </cell>
        </row>
      </sheetData>
      <sheetData sheetId="3467">
        <row r="4">
          <cell r="A4" t="str">
            <v>BẢNG TÍNH TOÁN, ĐO BÓC KHỐI LƯỢNG HOÀN THÀNH ĐƯA VÀO QUYẾT TOÁN</v>
          </cell>
        </row>
      </sheetData>
      <sheetData sheetId="3468">
        <row r="4">
          <cell r="A4" t="str">
            <v>BẢNG TÍNH TOÁN, ĐO BÓC KHỐI LƯỢNG HOÀN THÀNH ĐƯA VÀO QUYẾT TOÁN</v>
          </cell>
        </row>
      </sheetData>
      <sheetData sheetId="3469">
        <row r="4">
          <cell r="A4" t="str">
            <v>BẢNG TÍNH TOÁN, ĐO BÓC KHỐI LƯỢNG HOÀN THÀNH ĐƯA VÀO QUYẾT TOÁN</v>
          </cell>
        </row>
      </sheetData>
      <sheetData sheetId="3470">
        <row r="4">
          <cell r="A4" t="str">
            <v>BẢNG TÍNH TOÁN, ĐO BÓC KHỐI LƯỢNG HOÀN THÀNH ĐƯA VÀO QUYẾT TOÁN</v>
          </cell>
        </row>
      </sheetData>
      <sheetData sheetId="3471">
        <row r="4">
          <cell r="A4" t="str">
            <v>BẢNG TÍNH TOÁN, ĐO BÓC KHỐI LƯỢNG HOÀN THÀNH ĐƯA VÀO QUYẾT TOÁN</v>
          </cell>
        </row>
      </sheetData>
      <sheetData sheetId="3472">
        <row r="4">
          <cell r="A4" t="str">
            <v>BẢNG TÍNH TOÁN, ĐO BÓC KHỐI LƯỢNG HOÀN THÀNH ĐƯA VÀO QUYẾT TOÁN</v>
          </cell>
        </row>
      </sheetData>
      <sheetData sheetId="3473">
        <row r="4">
          <cell r="A4" t="str">
            <v>BẢNG TÍNH TOÁN, ĐO BÓC KHỐI LƯỢNG HOÀN THÀNH ĐƯA VÀO QUYẾT TOÁN</v>
          </cell>
        </row>
      </sheetData>
      <sheetData sheetId="3474">
        <row r="4">
          <cell r="A4" t="str">
            <v>BẢNG TÍNH TOÁN, ĐO BÓC KHỐI LƯỢNG HOÀN THÀNH ĐƯA VÀO QUYẾT TOÁN</v>
          </cell>
        </row>
      </sheetData>
      <sheetData sheetId="3475">
        <row r="4">
          <cell r="A4" t="str">
            <v>BẢNG TÍNH TOÁN, ĐO BÓC KHỐI LƯỢNG HOÀN THÀNH ĐƯA VÀO QUYẾT TOÁN</v>
          </cell>
        </row>
      </sheetData>
      <sheetData sheetId="3476">
        <row r="4">
          <cell r="A4" t="str">
            <v>BẢNG TÍNH TOÁN, ĐO BÓC KHỐI LƯỢNG HOÀN THÀNH ĐƯA VÀO QUYẾT TOÁN</v>
          </cell>
        </row>
      </sheetData>
      <sheetData sheetId="3477">
        <row r="4">
          <cell r="A4" t="str">
            <v>BẢNG TÍNH TOÁN, ĐO BÓC KHỐI LƯỢNG HOÀN THÀNH ĐƯA VÀO QUYẾT TOÁN</v>
          </cell>
        </row>
      </sheetData>
      <sheetData sheetId="3478">
        <row r="4">
          <cell r="A4" t="str">
            <v>BẢNG TÍNH TOÁN, ĐO BÓC KHỐI LƯỢNG HOÀN THÀNH ĐƯA VÀO QUYẾT TOÁN</v>
          </cell>
        </row>
      </sheetData>
      <sheetData sheetId="3479">
        <row r="4">
          <cell r="A4" t="str">
            <v>BẢNG TÍNH TOÁN, ĐO BÓC KHỐI LƯỢNG HOÀN THÀNH ĐƯA VÀO QUYẾT TOÁN</v>
          </cell>
        </row>
      </sheetData>
      <sheetData sheetId="3480">
        <row r="4">
          <cell r="A4" t="str">
            <v>BẢNG TÍNH TOÁN, ĐO BÓC KHỐI LƯỢNG HOÀN THÀNH ĐƯA VÀO QUYẾT TOÁN</v>
          </cell>
        </row>
      </sheetData>
      <sheetData sheetId="3481">
        <row r="4">
          <cell r="A4" t="str">
            <v>BẢNG TÍNH TOÁN, ĐO BÓC KHỐI LƯỢNG HOÀN THÀNH ĐƯA VÀO QUYẾT TOÁN</v>
          </cell>
        </row>
      </sheetData>
      <sheetData sheetId="3482">
        <row r="4">
          <cell r="A4" t="str">
            <v>BẢNG TÍNH TOÁN, ĐO BÓC KHỐI LƯỢNG HOÀN THÀNH ĐƯA VÀO QUYẾT TOÁN</v>
          </cell>
        </row>
      </sheetData>
      <sheetData sheetId="3483">
        <row r="4">
          <cell r="A4" t="str">
            <v>BẢNG TÍNH TOÁN, ĐO BÓC KHỐI LƯỢNG HOÀN THÀNH ĐƯA VÀO QUYẾT TOÁN</v>
          </cell>
        </row>
      </sheetData>
      <sheetData sheetId="3484">
        <row r="4">
          <cell r="A4" t="str">
            <v>BẢNG TÍNH TOÁN, ĐO BÓC KHỐI LƯỢNG HOÀN THÀNH ĐƯA VÀO QUYẾT TOÁN</v>
          </cell>
        </row>
      </sheetData>
      <sheetData sheetId="3485">
        <row r="4">
          <cell r="A4" t="str">
            <v>BẢNG TÍNH TOÁN, ĐO BÓC KHỐI LƯỢNG HOÀN THÀNH ĐƯA VÀO QUYẾT TOÁN</v>
          </cell>
        </row>
      </sheetData>
      <sheetData sheetId="3486">
        <row r="4">
          <cell r="A4" t="str">
            <v>BẢNG TÍNH TOÁN, ĐO BÓC KHỐI LƯỢNG HOÀN THÀNH ĐƯA VÀO QUYẾT TOÁN</v>
          </cell>
        </row>
      </sheetData>
      <sheetData sheetId="3487">
        <row r="4">
          <cell r="A4" t="str">
            <v>BẢNG TÍNH TOÁN, ĐO BÓC KHỐI LƯỢNG HOÀN THÀNH ĐƯA VÀO QUYẾT TOÁN</v>
          </cell>
        </row>
      </sheetData>
      <sheetData sheetId="3488">
        <row r="4">
          <cell r="A4" t="str">
            <v>BẢNG TÍNH TOÁN, ĐO BÓC KHỐI LƯỢNG HOÀN THÀNH ĐƯA VÀO QUYẾT TOÁN</v>
          </cell>
        </row>
      </sheetData>
      <sheetData sheetId="3489">
        <row r="4">
          <cell r="A4" t="str">
            <v>BẢNG TÍNH TOÁN, ĐO BÓC KHỐI LƯỢNG HOÀN THÀNH ĐƯA VÀO QUYẾT TOÁN</v>
          </cell>
        </row>
      </sheetData>
      <sheetData sheetId="3490">
        <row r="4">
          <cell r="A4" t="str">
            <v>BẢNG TÍNH TOÁN, ĐO BÓC KHỐI LƯỢNG HOÀN THÀNH ĐƯA VÀO QUYẾT TOÁN</v>
          </cell>
        </row>
      </sheetData>
      <sheetData sheetId="3491">
        <row r="4">
          <cell r="A4" t="str">
            <v>BẢNG TÍNH TOÁN, ĐO BÓC KHỐI LƯỢNG HOÀN THÀNH ĐƯA VÀO QUYẾT TOÁN</v>
          </cell>
        </row>
      </sheetData>
      <sheetData sheetId="3492">
        <row r="4">
          <cell r="A4" t="str">
            <v>BẢNG TÍNH TOÁN, ĐO BÓC KHỐI LƯỢNG HOÀN THÀNH ĐƯA VÀO QUYẾT TOÁN</v>
          </cell>
        </row>
      </sheetData>
      <sheetData sheetId="3493">
        <row r="4">
          <cell r="A4" t="str">
            <v>BẢNG TÍNH TOÁN, ĐO BÓC KHỐI LƯỢNG HOÀN THÀNH ĐƯA VÀO QUYẾT TOÁN</v>
          </cell>
        </row>
      </sheetData>
      <sheetData sheetId="3494">
        <row r="4">
          <cell r="A4" t="str">
            <v>BẢNG TÍNH TOÁN, ĐO BÓC KHỐI LƯỢNG HOÀN THÀNH ĐƯA VÀO QUYẾT TOÁN</v>
          </cell>
        </row>
      </sheetData>
      <sheetData sheetId="3495">
        <row r="4">
          <cell r="A4" t="str">
            <v>BẢNG TÍNH TOÁN, ĐO BÓC KHỐI LƯỢNG HOÀN THÀNH ĐƯA VÀO QUYẾT TOÁN</v>
          </cell>
        </row>
      </sheetData>
      <sheetData sheetId="3496">
        <row r="4">
          <cell r="A4" t="str">
            <v>BẢNG TÍNH TOÁN, ĐO BÓC KHỐI LƯỢNG HOÀN THÀNH ĐƯA VÀO QUYẾT TOÁN</v>
          </cell>
        </row>
      </sheetData>
      <sheetData sheetId="3497">
        <row r="4">
          <cell r="A4" t="str">
            <v>BẢNG TÍNH TOÁN, ĐO BÓC KHỐI LƯỢNG HOÀN THÀNH ĐƯA VÀO QUYẾT TOÁN</v>
          </cell>
        </row>
      </sheetData>
      <sheetData sheetId="3498">
        <row r="4">
          <cell r="A4" t="str">
            <v>BẢNG TÍNH TOÁN, ĐO BÓC KHỐI LƯỢNG HOÀN THÀNH ĐƯA VÀO QUYẾT TOÁN</v>
          </cell>
        </row>
      </sheetData>
      <sheetData sheetId="3499">
        <row r="4">
          <cell r="A4" t="str">
            <v>BẢNG TÍNH TOÁN, ĐO BÓC KHỐI LƯỢNG HOÀN THÀNH ĐƯA VÀO QUYẾT TOÁN</v>
          </cell>
        </row>
      </sheetData>
      <sheetData sheetId="3500">
        <row r="4">
          <cell r="A4" t="str">
            <v>BẢNG TÍNH TOÁN, ĐO BÓC KHỐI LƯỢNG HOÀN THÀNH ĐƯA VÀO QUYẾT TOÁN</v>
          </cell>
        </row>
      </sheetData>
      <sheetData sheetId="3501">
        <row r="4">
          <cell r="A4" t="str">
            <v>BẢNG TÍNH TOÁN, ĐO BÓC KHỐI LƯỢNG HOÀN THÀNH ĐƯA VÀO QUYẾT TOÁN</v>
          </cell>
        </row>
      </sheetData>
      <sheetData sheetId="3502">
        <row r="4">
          <cell r="A4" t="str">
            <v>BẢNG TÍNH TOÁN, ĐO BÓC KHỐI LƯỢNG HOÀN THÀNH ĐƯA VÀO QUYẾT TOÁN</v>
          </cell>
        </row>
      </sheetData>
      <sheetData sheetId="3503">
        <row r="4">
          <cell r="A4" t="str">
            <v>BẢNG TÍNH TOÁN, ĐO BÓC KHỐI LƯỢNG HOÀN THÀNH ĐƯA VÀO QUYẾT TOÁN</v>
          </cell>
        </row>
      </sheetData>
      <sheetData sheetId="3504">
        <row r="4">
          <cell r="A4" t="str">
            <v>BẢNG TÍNH TOÁN, ĐO BÓC KHỐI LƯỢNG HOÀN THÀNH ĐƯA VÀO QUYẾT TOÁN</v>
          </cell>
        </row>
      </sheetData>
      <sheetData sheetId="3505">
        <row r="4">
          <cell r="A4" t="str">
            <v>BẢNG TÍNH TOÁN, ĐO BÓC KHỐI LƯỢNG HOÀN THÀNH ĐƯA VÀO QUYẾT TOÁN</v>
          </cell>
        </row>
      </sheetData>
      <sheetData sheetId="3506">
        <row r="4">
          <cell r="A4" t="str">
            <v>BẢNG TÍNH TOÁN, ĐO BÓC KHỐI LƯỢNG HOÀN THÀNH ĐƯA VÀO QUYẾT TOÁN</v>
          </cell>
        </row>
      </sheetData>
      <sheetData sheetId="3507">
        <row r="4">
          <cell r="A4" t="str">
            <v>BẢNG TÍNH TOÁN, ĐO BÓC KHỐI LƯỢNG HOÀN THÀNH ĐƯA VÀO QUYẾT TOÁN</v>
          </cell>
        </row>
      </sheetData>
      <sheetData sheetId="3508">
        <row r="4">
          <cell r="A4" t="str">
            <v>BẢNG TÍNH TOÁN, ĐO BÓC KHỐI LƯỢNG HOÀN THÀNH ĐƯA VÀO QUYẾT TOÁN</v>
          </cell>
        </row>
      </sheetData>
      <sheetData sheetId="3509">
        <row r="4">
          <cell r="A4" t="str">
            <v>BẢNG TÍNH TOÁN, ĐO BÓC KHỐI LƯỢNG HOÀN THÀNH ĐƯA VÀO QUYẾT TOÁN</v>
          </cell>
        </row>
      </sheetData>
      <sheetData sheetId="3510">
        <row r="4">
          <cell r="A4" t="str">
            <v>BẢNG TÍNH TOÁN, ĐO BÓC KHỐI LƯỢNG HOÀN THÀNH ĐƯA VÀO QUYẾT TOÁN</v>
          </cell>
        </row>
      </sheetData>
      <sheetData sheetId="3511">
        <row r="4">
          <cell r="A4" t="str">
            <v>BẢNG TÍNH TOÁN, ĐO BÓC KHỐI LƯỢNG HOÀN THÀNH ĐƯA VÀO QUYẾT TOÁN</v>
          </cell>
        </row>
      </sheetData>
      <sheetData sheetId="3512">
        <row r="4">
          <cell r="A4" t="str">
            <v>BẢNG TÍNH TOÁN, ĐO BÓC KHỐI LƯỢNG HOÀN THÀNH ĐƯA VÀO QUYẾT TOÁN</v>
          </cell>
        </row>
      </sheetData>
      <sheetData sheetId="3513">
        <row r="4">
          <cell r="A4" t="str">
            <v>BẢNG TÍNH TOÁN, ĐO BÓC KHỐI LƯỢNG HOÀN THÀNH ĐƯA VÀO QUYẾT TOÁN</v>
          </cell>
        </row>
      </sheetData>
      <sheetData sheetId="3514">
        <row r="4">
          <cell r="A4" t="str">
            <v>BẢNG TÍNH TOÁN, ĐO BÓC KHỐI LƯỢNG HOÀN THÀNH ĐƯA VÀO QUYẾT TOÁN</v>
          </cell>
        </row>
      </sheetData>
      <sheetData sheetId="3515">
        <row r="4">
          <cell r="A4" t="str">
            <v>BẢNG TÍNH TOÁN, ĐO BÓC KHỐI LƯỢNG HOÀN THÀNH ĐƯA VÀO QUYẾT TOÁN</v>
          </cell>
        </row>
      </sheetData>
      <sheetData sheetId="3516">
        <row r="4">
          <cell r="A4" t="str">
            <v>BẢNG TÍNH TOÁN, ĐO BÓC KHỐI LƯỢNG HOÀN THÀNH ĐƯA VÀO QUYẾT TOÁN</v>
          </cell>
        </row>
      </sheetData>
      <sheetData sheetId="3517">
        <row r="4">
          <cell r="A4" t="str">
            <v>BẢNG TÍNH TOÁN, ĐO BÓC KHỐI LƯỢNG HOÀN THÀNH ĐƯA VÀO QUYẾT TOÁN</v>
          </cell>
        </row>
      </sheetData>
      <sheetData sheetId="3518">
        <row r="4">
          <cell r="A4" t="str">
            <v>BẢNG TÍNH TOÁN, ĐO BÓC KHỐI LƯỢNG HOÀN THÀNH ĐƯA VÀO QUYẾT TOÁN</v>
          </cell>
        </row>
      </sheetData>
      <sheetData sheetId="3519">
        <row r="4">
          <cell r="A4" t="str">
            <v>BẢNG TÍNH TOÁN, ĐO BÓC KHỐI LƯỢNG HOÀN THÀNH ĐƯA VÀO QUYẾT TOÁN</v>
          </cell>
        </row>
      </sheetData>
      <sheetData sheetId="3520">
        <row r="4">
          <cell r="A4" t="str">
            <v>BẢNG TÍNH TOÁN, ĐO BÓC KHỐI LƯỢNG HOÀN THÀNH ĐƯA VÀO QUYẾT TOÁN</v>
          </cell>
        </row>
      </sheetData>
      <sheetData sheetId="3521">
        <row r="4">
          <cell r="A4" t="str">
            <v>BẢNG TÍNH TOÁN, ĐO BÓC KHỐI LƯỢNG HOÀN THÀNH ĐƯA VÀO QUYẾT TOÁN</v>
          </cell>
        </row>
      </sheetData>
      <sheetData sheetId="3522">
        <row r="4">
          <cell r="A4" t="str">
            <v>BẢNG TÍNH TOÁN, ĐO BÓC KHỐI LƯỢNG HOÀN THÀNH ĐƯA VÀO QUYẾT TOÁN</v>
          </cell>
        </row>
      </sheetData>
      <sheetData sheetId="3523">
        <row r="4">
          <cell r="A4" t="str">
            <v>BẢNG TÍNH TOÁN, ĐO BÓC KHỐI LƯỢNG HOÀN THÀNH ĐƯA VÀO QUYẾT TOÁN</v>
          </cell>
        </row>
      </sheetData>
      <sheetData sheetId="3524">
        <row r="4">
          <cell r="A4" t="str">
            <v>BẢNG TÍNH TOÁN, ĐO BÓC KHỐI LƯỢNG HOÀN THÀNH ĐƯA VÀO QUYẾT TOÁN</v>
          </cell>
        </row>
      </sheetData>
      <sheetData sheetId="3525">
        <row r="4">
          <cell r="A4" t="str">
            <v>BẢNG TÍNH TOÁN, ĐO BÓC KHỐI LƯỢNG HOÀN THÀNH ĐƯA VÀO QUYẾT TOÁN</v>
          </cell>
        </row>
      </sheetData>
      <sheetData sheetId="3526">
        <row r="4">
          <cell r="A4" t="str">
            <v>BẢNG TÍNH TOÁN, ĐO BÓC KHỐI LƯỢNG HOÀN THÀNH ĐƯA VÀO QUYẾT TOÁN</v>
          </cell>
        </row>
      </sheetData>
      <sheetData sheetId="3527">
        <row r="4">
          <cell r="A4" t="str">
            <v>BẢNG TÍNH TOÁN, ĐO BÓC KHỐI LƯỢNG HOÀN THÀNH ĐƯA VÀO QUYẾT TOÁN</v>
          </cell>
        </row>
      </sheetData>
      <sheetData sheetId="3528">
        <row r="4">
          <cell r="A4" t="str">
            <v>BẢNG TÍNH TOÁN, ĐO BÓC KHỐI LƯỢNG HOÀN THÀNH ĐƯA VÀO QUYẾT TOÁN</v>
          </cell>
        </row>
      </sheetData>
      <sheetData sheetId="3529">
        <row r="4">
          <cell r="A4" t="str">
            <v>BẢNG TÍNH TOÁN, ĐO BÓC KHỐI LƯỢNG HOÀN THÀNH ĐƯA VÀO QUYẾT TOÁN</v>
          </cell>
        </row>
      </sheetData>
      <sheetData sheetId="3530">
        <row r="4">
          <cell r="A4" t="str">
            <v>BẢNG TÍNH TOÁN, ĐO BÓC KHỐI LƯỢNG HOÀN THÀNH ĐƯA VÀO QUYẾT TOÁN</v>
          </cell>
        </row>
      </sheetData>
      <sheetData sheetId="3531">
        <row r="4">
          <cell r="A4" t="str">
            <v>BẢNG TÍNH TOÁN, ĐO BÓC KHỐI LƯỢNG HOÀN THÀNH ĐƯA VÀO QUYẾT TOÁN</v>
          </cell>
        </row>
      </sheetData>
      <sheetData sheetId="3532">
        <row r="4">
          <cell r="A4" t="str">
            <v>BẢNG TÍNH TOÁN, ĐO BÓC KHỐI LƯỢNG HOÀN THÀNH ĐƯA VÀO QUYẾT TOÁN</v>
          </cell>
        </row>
      </sheetData>
      <sheetData sheetId="3533">
        <row r="4">
          <cell r="A4" t="str">
            <v>BẢNG TÍNH TOÁN, ĐO BÓC KHỐI LƯỢNG HOÀN THÀNH ĐƯA VÀO QUYẾT TOÁN</v>
          </cell>
        </row>
      </sheetData>
      <sheetData sheetId="3534">
        <row r="4">
          <cell r="A4" t="str">
            <v>BẢNG TÍNH TOÁN, ĐO BÓC KHỐI LƯỢNG HOÀN THÀNH ĐƯA VÀO QUYẾT TOÁN</v>
          </cell>
        </row>
      </sheetData>
      <sheetData sheetId="3535">
        <row r="4">
          <cell r="A4" t="str">
            <v>BẢNG TÍNH TOÁN, ĐO BÓC KHỐI LƯỢNG HOÀN THÀNH ĐƯA VÀO QUYẾT TOÁN</v>
          </cell>
        </row>
      </sheetData>
      <sheetData sheetId="3536">
        <row r="4">
          <cell r="A4" t="str">
            <v>BẢNG TÍNH TOÁN, ĐO BÓC KHỐI LƯỢNG HOÀN THÀNH ĐƯA VÀO QUYẾT TOÁN</v>
          </cell>
        </row>
      </sheetData>
      <sheetData sheetId="3537">
        <row r="4">
          <cell r="A4" t="str">
            <v>BẢNG TÍNH TOÁN, ĐO BÓC KHỐI LƯỢNG HOÀN THÀNH ĐƯA VÀO QUYẾT TOÁN</v>
          </cell>
        </row>
      </sheetData>
      <sheetData sheetId="3538">
        <row r="4">
          <cell r="A4" t="str">
            <v>BẢNG TÍNH TOÁN, ĐO BÓC KHỐI LƯỢNG HOÀN THÀNH ĐƯA VÀO QUYẾT TOÁN</v>
          </cell>
        </row>
      </sheetData>
      <sheetData sheetId="3539">
        <row r="4">
          <cell r="A4" t="str">
            <v>BẢNG TÍNH TOÁN, ĐO BÓC KHỐI LƯỢNG HOÀN THÀNH ĐƯA VÀO QUYẾT TOÁN</v>
          </cell>
        </row>
      </sheetData>
      <sheetData sheetId="3540">
        <row r="4">
          <cell r="A4" t="str">
            <v>BẢNG TÍNH TOÁN, ĐO BÓC KHỐI LƯỢNG HOÀN THÀNH ĐƯA VÀO QUYẾT TOÁN</v>
          </cell>
        </row>
      </sheetData>
      <sheetData sheetId="3541">
        <row r="4">
          <cell r="A4" t="str">
            <v>BẢNG TÍNH TOÁN, ĐO BÓC KHỐI LƯỢNG HOÀN THÀNH ĐƯA VÀO QUYẾT TOÁN</v>
          </cell>
        </row>
      </sheetData>
      <sheetData sheetId="3542">
        <row r="4">
          <cell r="A4" t="str">
            <v>BẢNG TÍNH TOÁN, ĐO BÓC KHỐI LƯỢNG HOÀN THÀNH ĐƯA VÀO QUYẾT TOÁN</v>
          </cell>
        </row>
      </sheetData>
      <sheetData sheetId="3543">
        <row r="4">
          <cell r="A4" t="str">
            <v>BẢNG TÍNH TOÁN, ĐO BÓC KHỐI LƯỢNG HOÀN THÀNH ĐƯA VÀO QUYẾT TOÁN</v>
          </cell>
        </row>
      </sheetData>
      <sheetData sheetId="3544">
        <row r="4">
          <cell r="A4" t="str">
            <v>BẢNG TÍNH TOÁN, ĐO BÓC KHỐI LƯỢNG HOÀN THÀNH ĐƯA VÀO QUYẾT TOÁN</v>
          </cell>
        </row>
      </sheetData>
      <sheetData sheetId="3545">
        <row r="4">
          <cell r="A4" t="str">
            <v>BẢNG TÍNH TOÁN, ĐO BÓC KHỐI LƯỢNG HOÀN THÀNH ĐƯA VÀO QUYẾT TOÁN</v>
          </cell>
        </row>
      </sheetData>
      <sheetData sheetId="3546">
        <row r="4">
          <cell r="A4" t="str">
            <v>BẢNG TÍNH TOÁN, ĐO BÓC KHỐI LƯỢNG HOÀN THÀNH ĐƯA VÀO QUYẾT TOÁN</v>
          </cell>
        </row>
      </sheetData>
      <sheetData sheetId="3547">
        <row r="4">
          <cell r="A4" t="str">
            <v>BẢNG TÍNH TOÁN, ĐO BÓC KHỐI LƯỢNG HOÀN THÀNH ĐƯA VÀO QUYẾT TOÁN</v>
          </cell>
        </row>
      </sheetData>
      <sheetData sheetId="3548">
        <row r="4">
          <cell r="A4" t="str">
            <v>BẢNG TÍNH TOÁN, ĐO BÓC KHỐI LƯỢNG HOÀN THÀNH ĐƯA VÀO QUYẾT TOÁN</v>
          </cell>
        </row>
      </sheetData>
      <sheetData sheetId="3549">
        <row r="4">
          <cell r="A4" t="str">
            <v>BẢNG TÍNH TOÁN, ĐO BÓC KHỐI LƯỢNG HOÀN THÀNH ĐƯA VÀO QUYẾT TOÁN</v>
          </cell>
        </row>
      </sheetData>
      <sheetData sheetId="3550">
        <row r="4">
          <cell r="A4" t="str">
            <v>BẢNG TÍNH TOÁN, ĐO BÓC KHỐI LƯỢNG HOÀN THÀNH ĐƯA VÀO QUYẾT TOÁN</v>
          </cell>
        </row>
      </sheetData>
      <sheetData sheetId="3551">
        <row r="4">
          <cell r="A4" t="str">
            <v>BẢNG TÍNH TOÁN, ĐO BÓC KHỐI LƯỢNG HOÀN THÀNH ĐƯA VÀO QUYẾT TOÁN</v>
          </cell>
        </row>
      </sheetData>
      <sheetData sheetId="3552">
        <row r="4">
          <cell r="A4" t="str">
            <v>BẢNG TÍNH TOÁN, ĐO BÓC KHỐI LƯỢNG HOÀN THÀNH ĐƯA VÀO QUYẾT TOÁN</v>
          </cell>
        </row>
      </sheetData>
      <sheetData sheetId="3553">
        <row r="4">
          <cell r="A4" t="str">
            <v>BẢNG TÍNH TOÁN, ĐO BÓC KHỐI LƯỢNG HOÀN THÀNH ĐƯA VÀO QUYẾT TOÁN</v>
          </cell>
        </row>
      </sheetData>
      <sheetData sheetId="3554">
        <row r="4">
          <cell r="A4" t="str">
            <v>BẢNG TÍNH TOÁN, ĐO BÓC KHỐI LƯỢNG HOÀN THÀNH ĐƯA VÀO QUYẾT TOÁN</v>
          </cell>
        </row>
      </sheetData>
      <sheetData sheetId="3555">
        <row r="4">
          <cell r="A4" t="str">
            <v>BẢNG TÍNH TOÁN, ĐO BÓC KHỐI LƯỢNG HOÀN THÀNH ĐƯA VÀO QUYẾT TOÁN</v>
          </cell>
        </row>
      </sheetData>
      <sheetData sheetId="3556">
        <row r="4">
          <cell r="A4" t="str">
            <v>BẢNG TÍNH TOÁN, ĐO BÓC KHỐI LƯỢNG HOÀN THÀNH ĐƯA VÀO QUYẾT TOÁN</v>
          </cell>
        </row>
      </sheetData>
      <sheetData sheetId="3557">
        <row r="4">
          <cell r="A4" t="str">
            <v>BẢNG TÍNH TOÁN, ĐO BÓC KHỐI LƯỢNG HOÀN THÀNH ĐƯA VÀO QUYẾT TOÁN</v>
          </cell>
        </row>
      </sheetData>
      <sheetData sheetId="3558">
        <row r="4">
          <cell r="A4" t="str">
            <v>BẢNG TÍNH TOÁN, ĐO BÓC KHỐI LƯỢNG HOÀN THÀNH ĐƯA VÀO QUYẾT TOÁN</v>
          </cell>
        </row>
      </sheetData>
      <sheetData sheetId="3559">
        <row r="4">
          <cell r="A4" t="str">
            <v>BẢNG TÍNH TOÁN, ĐO BÓC KHỐI LƯỢNG HOÀN THÀNH ĐƯA VÀO QUYẾT TOÁN</v>
          </cell>
        </row>
      </sheetData>
      <sheetData sheetId="3560">
        <row r="4">
          <cell r="A4" t="str">
            <v>BẢNG TÍNH TOÁN, ĐO BÓC KHỐI LƯỢNG HOÀN THÀNH ĐƯA VÀO QUYẾT TOÁN</v>
          </cell>
        </row>
      </sheetData>
      <sheetData sheetId="3561">
        <row r="4">
          <cell r="A4" t="str">
            <v>BẢNG TÍNH TOÁN, ĐO BÓC KHỐI LƯỢNG HOÀN THÀNH ĐƯA VÀO QUYẾT TOÁN</v>
          </cell>
        </row>
      </sheetData>
      <sheetData sheetId="3562">
        <row r="4">
          <cell r="A4" t="str">
            <v>BẢNG TÍNH TOÁN, ĐO BÓC KHỐI LƯỢNG HOÀN THÀNH ĐƯA VÀO QUYẾT TOÁN</v>
          </cell>
        </row>
      </sheetData>
      <sheetData sheetId="3563">
        <row r="4">
          <cell r="A4" t="str">
            <v>BẢNG TÍNH TOÁN, ĐO BÓC KHỐI LƯỢNG HOÀN THÀNH ĐƯA VÀO QUYẾT TOÁN</v>
          </cell>
        </row>
      </sheetData>
      <sheetData sheetId="3564">
        <row r="4">
          <cell r="A4" t="str">
            <v>BẢNG TÍNH TOÁN, ĐO BÓC KHỐI LƯỢNG HOÀN THÀNH ĐƯA VÀO QUYẾT TOÁN</v>
          </cell>
        </row>
      </sheetData>
      <sheetData sheetId="3565">
        <row r="4">
          <cell r="A4" t="str">
            <v>BẢNG TÍNH TOÁN, ĐO BÓC KHỐI LƯỢNG HOÀN THÀNH ĐƯA VÀO QUYẾT TOÁN</v>
          </cell>
        </row>
      </sheetData>
      <sheetData sheetId="3566">
        <row r="4">
          <cell r="A4" t="str">
            <v>BẢNG TÍNH TOÁN, ĐO BÓC KHỐI LƯỢNG HOÀN THÀNH ĐƯA VÀO QUYẾT TOÁN</v>
          </cell>
        </row>
      </sheetData>
      <sheetData sheetId="3567">
        <row r="4">
          <cell r="A4" t="str">
            <v>BẢNG TÍNH TOÁN, ĐO BÓC KHỐI LƯỢNG HOÀN THÀNH ĐƯA VÀO QUYẾT TOÁN</v>
          </cell>
        </row>
      </sheetData>
      <sheetData sheetId="3568">
        <row r="4">
          <cell r="A4" t="str">
            <v>BẢNG TÍNH TOÁN, ĐO BÓC KHỐI LƯỢNG HOÀN THÀNH ĐƯA VÀO QUYẾT TOÁN</v>
          </cell>
        </row>
      </sheetData>
      <sheetData sheetId="3569">
        <row r="4">
          <cell r="A4" t="str">
            <v>BẢNG TÍNH TOÁN, ĐO BÓC KHỐI LƯỢNG HOÀN THÀNH ĐƯA VÀO QUYẾT TOÁN</v>
          </cell>
        </row>
      </sheetData>
      <sheetData sheetId="3570">
        <row r="4">
          <cell r="A4" t="str">
            <v>BẢNG TÍNH TOÁN, ĐO BÓC KHỐI LƯỢNG HOÀN THÀNH ĐƯA VÀO QUYẾT TOÁN</v>
          </cell>
        </row>
      </sheetData>
      <sheetData sheetId="3571">
        <row r="4">
          <cell r="A4" t="str">
            <v>BẢNG TÍNH TOÁN, ĐO BÓC KHỐI LƯỢNG HOÀN THÀNH ĐƯA VÀO QUYẾT TOÁN</v>
          </cell>
        </row>
      </sheetData>
      <sheetData sheetId="3572">
        <row r="4">
          <cell r="A4" t="str">
            <v>BẢNG TÍNH TOÁN, ĐO BÓC KHỐI LƯỢNG HOÀN THÀNH ĐƯA VÀO QUYẾT TOÁN</v>
          </cell>
        </row>
      </sheetData>
      <sheetData sheetId="3573">
        <row r="4">
          <cell r="A4" t="str">
            <v>BẢNG TÍNH TOÁN, ĐO BÓC KHỐI LƯỢNG HOÀN THÀNH ĐƯA VÀO QUYẾT TOÁN</v>
          </cell>
        </row>
      </sheetData>
      <sheetData sheetId="3574">
        <row r="4">
          <cell r="A4" t="str">
            <v>BẢNG TÍNH TOÁN, ĐO BÓC KHỐI LƯỢNG HOÀN THÀNH ĐƯA VÀO QUYẾT TOÁN</v>
          </cell>
        </row>
      </sheetData>
      <sheetData sheetId="3575">
        <row r="4">
          <cell r="A4" t="str">
            <v>BẢNG TÍNH TOÁN, ĐO BÓC KHỐI LƯỢNG HOÀN THÀNH ĐƯA VÀO QUYẾT TOÁN</v>
          </cell>
        </row>
      </sheetData>
      <sheetData sheetId="3576">
        <row r="4">
          <cell r="A4" t="str">
            <v>BẢNG TÍNH TOÁN, ĐO BÓC KHỐI LƯỢNG HOÀN THÀNH ĐƯA VÀO QUYẾT TOÁN</v>
          </cell>
        </row>
      </sheetData>
      <sheetData sheetId="3577">
        <row r="4">
          <cell r="A4" t="str">
            <v>BẢNG TÍNH TOÁN, ĐO BÓC KHỐI LƯỢNG HOÀN THÀNH ĐƯA VÀO QUYẾT TOÁN</v>
          </cell>
        </row>
      </sheetData>
      <sheetData sheetId="3578">
        <row r="4">
          <cell r="A4" t="str">
            <v>BẢNG TÍNH TOÁN, ĐO BÓC KHỐI LƯỢNG HOÀN THÀNH ĐƯA VÀO QUYẾT TOÁN</v>
          </cell>
        </row>
      </sheetData>
      <sheetData sheetId="3579">
        <row r="4">
          <cell r="A4" t="str">
            <v>BẢNG TÍNH TOÁN, ĐO BÓC KHỐI LƯỢNG HOÀN THÀNH ĐƯA VÀO QUYẾT TOÁN</v>
          </cell>
        </row>
      </sheetData>
      <sheetData sheetId="3580">
        <row r="4">
          <cell r="A4" t="str">
            <v>BẢNG TÍNH TOÁN, ĐO BÓC KHỐI LƯỢNG HOÀN THÀNH ĐƯA VÀO QUYẾT TOÁN</v>
          </cell>
        </row>
      </sheetData>
      <sheetData sheetId="3581">
        <row r="4">
          <cell r="A4" t="str">
            <v>BẢNG TÍNH TOÁN, ĐO BÓC KHỐI LƯỢNG HOÀN THÀNH ĐƯA VÀO QUYẾT TOÁN</v>
          </cell>
        </row>
      </sheetData>
      <sheetData sheetId="3582">
        <row r="4">
          <cell r="A4" t="str">
            <v>BẢNG TÍNH TOÁN, ĐO BÓC KHỐI LƯỢNG HOÀN THÀNH ĐƯA VÀO QUYẾT TOÁN</v>
          </cell>
        </row>
      </sheetData>
      <sheetData sheetId="3583">
        <row r="4">
          <cell r="A4" t="str">
            <v>BẢNG TÍNH TOÁN, ĐO BÓC KHỐI LƯỢNG HOÀN THÀNH ĐƯA VÀO QUYẾT TOÁN</v>
          </cell>
        </row>
      </sheetData>
      <sheetData sheetId="3584">
        <row r="4">
          <cell r="A4" t="str">
            <v>BẢNG TÍNH TOÁN, ĐO BÓC KHỐI LƯỢNG HOÀN THÀNH ĐƯA VÀO QUYẾT TOÁN</v>
          </cell>
        </row>
      </sheetData>
      <sheetData sheetId="3585">
        <row r="4">
          <cell r="A4" t="str">
            <v>BẢNG TÍNH TOÁN, ĐO BÓC KHỐI LƯỢNG HOÀN THÀNH ĐƯA VÀO QUYẾT TOÁN</v>
          </cell>
        </row>
      </sheetData>
      <sheetData sheetId="3586">
        <row r="4">
          <cell r="A4" t="str">
            <v>BẢNG TÍNH TOÁN, ĐO BÓC KHỐI LƯỢNG HOÀN THÀNH ĐƯA VÀO QUYẾT TOÁN</v>
          </cell>
        </row>
      </sheetData>
      <sheetData sheetId="3587">
        <row r="4">
          <cell r="A4" t="str">
            <v>BẢNG TÍNH TOÁN, ĐO BÓC KHỐI LƯỢNG HOÀN THÀNH ĐƯA VÀO QUYẾT TOÁN</v>
          </cell>
        </row>
      </sheetData>
      <sheetData sheetId="3588">
        <row r="4">
          <cell r="A4" t="str">
            <v>BẢNG TÍNH TOÁN, ĐO BÓC KHỐI LƯỢNG HOÀN THÀNH ĐƯA VÀO QUYẾT TOÁN</v>
          </cell>
        </row>
      </sheetData>
      <sheetData sheetId="3589">
        <row r="4">
          <cell r="A4" t="str">
            <v>BẢNG TÍNH TOÁN, ĐO BÓC KHỐI LƯỢNG HOÀN THÀNH ĐƯA VÀO QUYẾT TOÁN</v>
          </cell>
        </row>
      </sheetData>
      <sheetData sheetId="3590">
        <row r="4">
          <cell r="A4" t="str">
            <v>BẢNG TÍNH TOÁN, ĐO BÓC KHỐI LƯỢNG HOÀN THÀNH ĐƯA VÀO QUYẾT TOÁN</v>
          </cell>
        </row>
      </sheetData>
      <sheetData sheetId="3591">
        <row r="4">
          <cell r="A4" t="str">
            <v>BẢNG TÍNH TOÁN, ĐO BÓC KHỐI LƯỢNG HOÀN THÀNH ĐƯA VÀO QUYẾT TOÁN</v>
          </cell>
        </row>
      </sheetData>
      <sheetData sheetId="3592">
        <row r="4">
          <cell r="A4" t="str">
            <v>BẢNG TÍNH TOÁN, ĐO BÓC KHỐI LƯỢNG HOÀN THÀNH ĐƯA VÀO QUYẾT TOÁN</v>
          </cell>
        </row>
      </sheetData>
      <sheetData sheetId="3593">
        <row r="4">
          <cell r="A4" t="str">
            <v>BẢNG TÍNH TOÁN, ĐO BÓC KHỐI LƯỢNG HOÀN THÀNH ĐƯA VÀO QUYẾT TOÁN</v>
          </cell>
        </row>
      </sheetData>
      <sheetData sheetId="3594">
        <row r="4">
          <cell r="A4" t="str">
            <v>BẢNG TÍNH TOÁN, ĐO BÓC KHỐI LƯỢNG HOÀN THÀNH ĐƯA VÀO QUYẾT TOÁN</v>
          </cell>
        </row>
      </sheetData>
      <sheetData sheetId="3595">
        <row r="4">
          <cell r="A4" t="str">
            <v>BẢNG TÍNH TOÁN, ĐO BÓC KHỐI LƯỢNG HOÀN THÀNH ĐƯA VÀO QUYẾT TOÁN</v>
          </cell>
        </row>
      </sheetData>
      <sheetData sheetId="3596">
        <row r="4">
          <cell r="A4" t="str">
            <v>BẢNG TÍNH TOÁN, ĐO BÓC KHỐI LƯỢNG HOÀN THÀNH ĐƯA VÀO QUYẾT TOÁN</v>
          </cell>
        </row>
      </sheetData>
      <sheetData sheetId="3597">
        <row r="4">
          <cell r="A4" t="str">
            <v>BẢNG TÍNH TOÁN, ĐO BÓC KHỐI LƯỢNG HOÀN THÀNH ĐƯA VÀO QUYẾT TOÁN</v>
          </cell>
        </row>
      </sheetData>
      <sheetData sheetId="3598">
        <row r="4">
          <cell r="A4" t="str">
            <v>BẢNG TÍNH TOÁN, ĐO BÓC KHỐI LƯỢNG HOÀN THÀNH ĐƯA VÀO QUYẾT TOÁN</v>
          </cell>
        </row>
      </sheetData>
      <sheetData sheetId="3599">
        <row r="4">
          <cell r="A4" t="str">
            <v>BẢNG TÍNH TOÁN, ĐO BÓC KHỐI LƯỢNG HOÀN THÀNH ĐƯA VÀO QUYẾT TOÁN</v>
          </cell>
        </row>
      </sheetData>
      <sheetData sheetId="3600">
        <row r="4">
          <cell r="A4" t="str">
            <v>BẢNG TÍNH TOÁN, ĐO BÓC KHỐI LƯỢNG HOÀN THÀNH ĐƯA VÀO QUYẾT TOÁN</v>
          </cell>
        </row>
      </sheetData>
      <sheetData sheetId="3601">
        <row r="4">
          <cell r="A4" t="str">
            <v>BẢNG TÍNH TOÁN, ĐO BÓC KHỐI LƯỢNG HOÀN THÀNH ĐƯA VÀO QUYẾT TOÁN</v>
          </cell>
        </row>
      </sheetData>
      <sheetData sheetId="3602">
        <row r="4">
          <cell r="A4" t="str">
            <v>BẢNG TÍNH TOÁN, ĐO BÓC KHỐI LƯỢNG HOÀN THÀNH ĐƯA VÀO QUYẾT TOÁN</v>
          </cell>
        </row>
      </sheetData>
      <sheetData sheetId="3603">
        <row r="4">
          <cell r="A4" t="str">
            <v>BẢNG TÍNH TOÁN, ĐO BÓC KHỐI LƯỢNG HOÀN THÀNH ĐƯA VÀO QUYẾT TOÁN</v>
          </cell>
        </row>
      </sheetData>
      <sheetData sheetId="3604">
        <row r="4">
          <cell r="A4" t="str">
            <v>BẢNG TÍNH TOÁN, ĐO BÓC KHỐI LƯỢNG HOÀN THÀNH ĐƯA VÀO QUYẾT TOÁN</v>
          </cell>
        </row>
      </sheetData>
      <sheetData sheetId="3605">
        <row r="4">
          <cell r="A4" t="str">
            <v>BẢNG TÍNH TOÁN, ĐO BÓC KHỐI LƯỢNG HOÀN THÀNH ĐƯA VÀO QUYẾT TOÁN</v>
          </cell>
        </row>
      </sheetData>
      <sheetData sheetId="3606">
        <row r="4">
          <cell r="A4" t="str">
            <v>BẢNG TÍNH TOÁN, ĐO BÓC KHỐI LƯỢNG HOÀN THÀNH ĐƯA VÀO QUYẾT TOÁN</v>
          </cell>
        </row>
      </sheetData>
      <sheetData sheetId="3607">
        <row r="4">
          <cell r="A4" t="str">
            <v>BẢNG TÍNH TOÁN, ĐO BÓC KHỐI LƯỢNG HOÀN THÀNH ĐƯA VÀO QUYẾT TOÁN</v>
          </cell>
        </row>
      </sheetData>
      <sheetData sheetId="3608">
        <row r="4">
          <cell r="A4" t="str">
            <v>BẢNG TÍNH TOÁN, ĐO BÓC KHỐI LƯỢNG HOÀN THÀNH ĐƯA VÀO QUYẾT TOÁN</v>
          </cell>
        </row>
      </sheetData>
      <sheetData sheetId="3609">
        <row r="4">
          <cell r="A4" t="str">
            <v>BẢNG TÍNH TOÁN, ĐO BÓC KHỐI LƯỢNG HOÀN THÀNH ĐƯA VÀO QUYẾT TOÁN</v>
          </cell>
        </row>
      </sheetData>
      <sheetData sheetId="3610">
        <row r="4">
          <cell r="A4" t="str">
            <v>BẢNG TÍNH TOÁN, ĐO BÓC KHỐI LƯỢNG HOÀN THÀNH ĐƯA VÀO QUYẾT TOÁN</v>
          </cell>
        </row>
      </sheetData>
      <sheetData sheetId="3611">
        <row r="4">
          <cell r="A4" t="str">
            <v>BẢNG TÍNH TOÁN, ĐO BÓC KHỐI LƯỢNG HOÀN THÀNH ĐƯA VÀO QUYẾT TOÁN</v>
          </cell>
        </row>
      </sheetData>
      <sheetData sheetId="3612">
        <row r="4">
          <cell r="A4" t="str">
            <v>BẢNG TÍNH TOÁN, ĐO BÓC KHỐI LƯỢNG HOÀN THÀNH ĐƯA VÀO QUYẾT TOÁN</v>
          </cell>
        </row>
      </sheetData>
      <sheetData sheetId="3613">
        <row r="4">
          <cell r="A4" t="str">
            <v>BẢNG TÍNH TOÁN, ĐO BÓC KHỐI LƯỢNG HOÀN THÀNH ĐƯA VÀO QUYẾT TOÁN</v>
          </cell>
        </row>
      </sheetData>
      <sheetData sheetId="3614">
        <row r="4">
          <cell r="A4" t="str">
            <v>BẢNG TÍNH TOÁN, ĐO BÓC KHỐI LƯỢNG HOÀN THÀNH ĐƯA VÀO QUYẾT TOÁN</v>
          </cell>
        </row>
      </sheetData>
      <sheetData sheetId="3615">
        <row r="4">
          <cell r="A4" t="str">
            <v>BẢNG TÍNH TOÁN, ĐO BÓC KHỐI LƯỢNG HOÀN THÀNH ĐƯA VÀO QUYẾT TOÁN</v>
          </cell>
        </row>
      </sheetData>
      <sheetData sheetId="3616">
        <row r="4">
          <cell r="A4" t="str">
            <v>BẢNG TÍNH TOÁN, ĐO BÓC KHỐI LƯỢNG HOÀN THÀNH ĐƯA VÀO QUYẾT TOÁN</v>
          </cell>
        </row>
      </sheetData>
      <sheetData sheetId="3617">
        <row r="4">
          <cell r="A4" t="str">
            <v>BẢNG TÍNH TOÁN, ĐO BÓC KHỐI LƯỢNG HOÀN THÀNH ĐƯA VÀO QUYẾT TOÁN</v>
          </cell>
        </row>
      </sheetData>
      <sheetData sheetId="3618">
        <row r="4">
          <cell r="A4" t="str">
            <v>BẢNG TÍNH TOÁN, ĐO BÓC KHỐI LƯỢNG HOÀN THÀNH ĐƯA VÀO QUYẾT TOÁN</v>
          </cell>
        </row>
      </sheetData>
      <sheetData sheetId="3619">
        <row r="4">
          <cell r="A4" t="str">
            <v>BẢNG TÍNH TOÁN, ĐO BÓC KHỐI LƯỢNG HOÀN THÀNH ĐƯA VÀO QUYẾT TOÁN</v>
          </cell>
        </row>
      </sheetData>
      <sheetData sheetId="3620">
        <row r="4">
          <cell r="A4" t="str">
            <v>BẢNG TÍNH TOÁN, ĐO BÓC KHỐI LƯỢNG HOÀN THÀNH ĐƯA VÀO QUYẾT TOÁN</v>
          </cell>
        </row>
      </sheetData>
      <sheetData sheetId="3621">
        <row r="4">
          <cell r="A4" t="str">
            <v>BẢNG TÍNH TOÁN, ĐO BÓC KHỐI LƯỢNG HOÀN THÀNH ĐƯA VÀO QUYẾT TOÁN</v>
          </cell>
        </row>
      </sheetData>
      <sheetData sheetId="3622">
        <row r="4">
          <cell r="A4" t="str">
            <v>BẢNG TÍNH TOÁN, ĐO BÓC KHỐI LƯỢNG HOÀN THÀNH ĐƯA VÀO QUYẾT TOÁN</v>
          </cell>
        </row>
      </sheetData>
      <sheetData sheetId="3623">
        <row r="4">
          <cell r="A4" t="str">
            <v>BẢNG TÍNH TOÁN, ĐO BÓC KHỐI LƯỢNG HOÀN THÀNH ĐƯA VÀO QUYẾT TOÁN</v>
          </cell>
        </row>
      </sheetData>
      <sheetData sheetId="3624">
        <row r="4">
          <cell r="A4" t="str">
            <v>BẢNG TÍNH TOÁN, ĐO BÓC KHỐI LƯỢNG HOÀN THÀNH ĐƯA VÀO QUYẾT TOÁN</v>
          </cell>
        </row>
      </sheetData>
      <sheetData sheetId="3625">
        <row r="4">
          <cell r="A4" t="str">
            <v>BẢNG TÍNH TOÁN, ĐO BÓC KHỐI LƯỢNG HOÀN THÀNH ĐƯA VÀO QUYẾT TOÁN</v>
          </cell>
        </row>
      </sheetData>
      <sheetData sheetId="3626">
        <row r="4">
          <cell r="A4" t="str">
            <v>BẢNG TÍNH TOÁN, ĐO BÓC KHỐI LƯỢNG HOÀN THÀNH ĐƯA VÀO QUYẾT TOÁN</v>
          </cell>
        </row>
      </sheetData>
      <sheetData sheetId="3627">
        <row r="4">
          <cell r="A4" t="str">
            <v>BẢNG TÍNH TOÁN, ĐO BÓC KHỐI LƯỢNG HOÀN THÀNH ĐƯA VÀO QUYẾT TOÁN</v>
          </cell>
        </row>
      </sheetData>
      <sheetData sheetId="3628">
        <row r="4">
          <cell r="A4" t="str">
            <v>BẢNG TÍNH TOÁN, ĐO BÓC KHỐI LƯỢNG HOÀN THÀNH ĐƯA VÀO QUYẾT TOÁN</v>
          </cell>
        </row>
      </sheetData>
      <sheetData sheetId="3629">
        <row r="4">
          <cell r="A4" t="str">
            <v>BẢNG TÍNH TOÁN, ĐO BÓC KHỐI LƯỢNG HOÀN THÀNH ĐƯA VÀO QUYẾT TOÁN</v>
          </cell>
        </row>
      </sheetData>
      <sheetData sheetId="3630">
        <row r="4">
          <cell r="A4" t="str">
            <v>BẢNG TÍNH TOÁN, ĐO BÓC KHỐI LƯỢNG HOÀN THÀNH ĐƯA VÀO QUYẾT TOÁN</v>
          </cell>
        </row>
      </sheetData>
      <sheetData sheetId="3631">
        <row r="4">
          <cell r="A4" t="str">
            <v>BẢNG TÍNH TOÁN, ĐO BÓC KHỐI LƯỢNG HOÀN THÀNH ĐƯA VÀO QUYẾT TOÁN</v>
          </cell>
        </row>
      </sheetData>
      <sheetData sheetId="3632">
        <row r="4">
          <cell r="A4" t="str">
            <v>BẢNG TÍNH TOÁN, ĐO BÓC KHỐI LƯỢNG HOÀN THÀNH ĐƯA VÀO QUYẾT TOÁN</v>
          </cell>
        </row>
      </sheetData>
      <sheetData sheetId="3633">
        <row r="4">
          <cell r="A4" t="str">
            <v>BẢNG TÍNH TOÁN, ĐO BÓC KHỐI LƯỢNG HOÀN THÀNH ĐƯA VÀO QUYẾT TOÁN</v>
          </cell>
        </row>
      </sheetData>
      <sheetData sheetId="3634">
        <row r="4">
          <cell r="A4" t="str">
            <v>BẢNG TÍNH TOÁN, ĐO BÓC KHỐI LƯỢNG HOÀN THÀNH ĐƯA VÀO QUYẾT TOÁN</v>
          </cell>
        </row>
      </sheetData>
      <sheetData sheetId="3635">
        <row r="4">
          <cell r="A4" t="str">
            <v>BẢNG TÍNH TOÁN, ĐO BÓC KHỐI LƯỢNG HOÀN THÀNH ĐƯA VÀO QUYẾT TOÁN</v>
          </cell>
        </row>
      </sheetData>
      <sheetData sheetId="3636">
        <row r="4">
          <cell r="A4" t="str">
            <v>BẢNG TÍNH TOÁN, ĐO BÓC KHỐI LƯỢNG HOÀN THÀNH ĐƯA VÀO QUYẾT TOÁN</v>
          </cell>
        </row>
      </sheetData>
      <sheetData sheetId="3637">
        <row r="4">
          <cell r="A4" t="str">
            <v>BẢNG TÍNH TOÁN, ĐO BÓC KHỐI LƯỢNG HOÀN THÀNH ĐƯA VÀO QUYẾT TOÁN</v>
          </cell>
        </row>
      </sheetData>
      <sheetData sheetId="3638">
        <row r="4">
          <cell r="A4" t="str">
            <v>BẢNG TÍNH TOÁN, ĐO BÓC KHỐI LƯỢNG HOÀN THÀNH ĐƯA VÀO QUYẾT TOÁN</v>
          </cell>
        </row>
      </sheetData>
      <sheetData sheetId="3639">
        <row r="4">
          <cell r="A4" t="str">
            <v>BẢNG TÍNH TOÁN, ĐO BÓC KHỐI LƯỢNG HOÀN THÀNH ĐƯA VÀO QUYẾT TOÁN</v>
          </cell>
        </row>
      </sheetData>
      <sheetData sheetId="3640">
        <row r="4">
          <cell r="A4" t="str">
            <v>BẢNG TÍNH TOÁN, ĐO BÓC KHỐI LƯỢNG HOÀN THÀNH ĐƯA VÀO QUYẾT TOÁN</v>
          </cell>
        </row>
      </sheetData>
      <sheetData sheetId="3641">
        <row r="4">
          <cell r="A4" t="str">
            <v>BẢNG TÍNH TOÁN, ĐO BÓC KHỐI LƯỢNG HOÀN THÀNH ĐƯA VÀO QUYẾT TOÁN</v>
          </cell>
        </row>
      </sheetData>
      <sheetData sheetId="3642">
        <row r="4">
          <cell r="A4" t="str">
            <v>BẢNG TÍNH TOÁN, ĐO BÓC KHỐI LƯỢNG HOÀN THÀNH ĐƯA VÀO QUYẾT TOÁN</v>
          </cell>
        </row>
      </sheetData>
      <sheetData sheetId="3643">
        <row r="4">
          <cell r="A4" t="str">
            <v>BẢNG TÍNH TOÁN, ĐO BÓC KHỐI LƯỢNG HOÀN THÀNH ĐƯA VÀO QUYẾT TOÁN</v>
          </cell>
        </row>
      </sheetData>
      <sheetData sheetId="3644">
        <row r="4">
          <cell r="A4" t="str">
            <v>BẢNG TÍNH TOÁN, ĐO BÓC KHỐI LƯỢNG HOÀN THÀNH ĐƯA VÀO QUYẾT TOÁN</v>
          </cell>
        </row>
      </sheetData>
      <sheetData sheetId="3645">
        <row r="4">
          <cell r="A4" t="str">
            <v>BẢNG TÍNH TOÁN, ĐO BÓC KHỐI LƯỢNG HOÀN THÀNH ĐƯA VÀO QUYẾT TOÁN</v>
          </cell>
        </row>
      </sheetData>
      <sheetData sheetId="3646">
        <row r="4">
          <cell r="A4" t="str">
            <v>BẢNG TÍNH TOÁN, ĐO BÓC KHỐI LƯỢNG HOÀN THÀNH ĐƯA VÀO QUYẾT TOÁN</v>
          </cell>
        </row>
      </sheetData>
      <sheetData sheetId="3647">
        <row r="4">
          <cell r="A4" t="str">
            <v>BẢNG TÍNH TOÁN, ĐO BÓC KHỐI LƯỢNG HOÀN THÀNH ĐƯA VÀO QUYẾT TOÁN</v>
          </cell>
        </row>
      </sheetData>
      <sheetData sheetId="3648">
        <row r="4">
          <cell r="A4" t="str">
            <v>BẢNG TÍNH TOÁN, ĐO BÓC KHỐI LƯỢNG HOÀN THÀNH ĐƯA VÀO QUYẾT TOÁN</v>
          </cell>
        </row>
      </sheetData>
      <sheetData sheetId="3649">
        <row r="4">
          <cell r="A4" t="str">
            <v>BẢNG TÍNH TOÁN, ĐO BÓC KHỐI LƯỢNG HOÀN THÀNH ĐƯA VÀO QUYẾT TOÁN</v>
          </cell>
        </row>
      </sheetData>
      <sheetData sheetId="3650">
        <row r="4">
          <cell r="A4" t="str">
            <v>BẢNG TÍNH TOÁN, ĐO BÓC KHỐI LƯỢNG HOÀN THÀNH ĐƯA VÀO QUYẾT TOÁN</v>
          </cell>
        </row>
      </sheetData>
      <sheetData sheetId="3651">
        <row r="4">
          <cell r="A4" t="str">
            <v>BẢNG TÍNH TOÁN, ĐO BÓC KHỐI LƯỢNG HOÀN THÀNH ĐƯA VÀO QUYẾT TOÁN</v>
          </cell>
        </row>
      </sheetData>
      <sheetData sheetId="3652">
        <row r="4">
          <cell r="A4" t="str">
            <v>BẢNG TÍNH TOÁN, ĐO BÓC KHỐI LƯỢNG HOÀN THÀNH ĐƯA VÀO QUYẾT TOÁN</v>
          </cell>
        </row>
      </sheetData>
      <sheetData sheetId="3653">
        <row r="4">
          <cell r="A4" t="str">
            <v>BẢNG TÍNH TOÁN, ĐO BÓC KHỐI LƯỢNG HOÀN THÀNH ĐƯA VÀO QUYẾT TOÁN</v>
          </cell>
        </row>
      </sheetData>
      <sheetData sheetId="3654">
        <row r="4">
          <cell r="A4" t="str">
            <v>BẢNG TÍNH TOÁN, ĐO BÓC KHỐI LƯỢNG HOÀN THÀNH ĐƯA VÀO QUYẾT TOÁN</v>
          </cell>
        </row>
      </sheetData>
      <sheetData sheetId="3655">
        <row r="4">
          <cell r="A4" t="str">
            <v>BẢNG TÍNH TOÁN, ĐO BÓC KHỐI LƯỢNG HOÀN THÀNH ĐƯA VÀO QUYẾT TOÁN</v>
          </cell>
        </row>
      </sheetData>
      <sheetData sheetId="3656">
        <row r="4">
          <cell r="A4" t="str">
            <v>BẢNG TÍNH TOÁN, ĐO BÓC KHỐI LƯỢNG HOÀN THÀNH ĐƯA VÀO QUYẾT TOÁN</v>
          </cell>
        </row>
      </sheetData>
      <sheetData sheetId="3657">
        <row r="4">
          <cell r="A4" t="str">
            <v>BẢNG TÍNH TOÁN, ĐO BÓC KHỐI LƯỢNG HOÀN THÀNH ĐƯA VÀO QUYẾT TOÁN</v>
          </cell>
        </row>
      </sheetData>
      <sheetData sheetId="3658">
        <row r="4">
          <cell r="A4" t="str">
            <v>BẢNG TÍNH TOÁN, ĐO BÓC KHỐI LƯỢNG HOÀN THÀNH ĐƯA VÀO QUYẾT TOÁN</v>
          </cell>
        </row>
      </sheetData>
      <sheetData sheetId="3659">
        <row r="4">
          <cell r="A4" t="str">
            <v>BẢNG TÍNH TOÁN, ĐO BÓC KHỐI LƯỢNG HOÀN THÀNH ĐƯA VÀO QUYẾT TOÁN</v>
          </cell>
        </row>
      </sheetData>
      <sheetData sheetId="3660">
        <row r="4">
          <cell r="A4" t="str">
            <v>BẢNG TÍNH TOÁN, ĐO BÓC KHỐI LƯỢNG HOÀN THÀNH ĐƯA VÀO QUYẾT TOÁN</v>
          </cell>
        </row>
      </sheetData>
      <sheetData sheetId="3661">
        <row r="4">
          <cell r="A4" t="str">
            <v>BẢNG TÍNH TOÁN, ĐO BÓC KHỐI LƯỢNG HOÀN THÀNH ĐƯA VÀO QUYẾT TOÁN</v>
          </cell>
        </row>
      </sheetData>
      <sheetData sheetId="3662">
        <row r="4">
          <cell r="A4" t="str">
            <v>BẢNG TÍNH TOÁN, ĐO BÓC KHỐI LƯỢNG HOÀN THÀNH ĐƯA VÀO QUYẾT TOÁN</v>
          </cell>
        </row>
      </sheetData>
      <sheetData sheetId="3663">
        <row r="4">
          <cell r="A4" t="str">
            <v>BẢNG TÍNH TOÁN, ĐO BÓC KHỐI LƯỢNG HOÀN THÀNH ĐƯA VÀO QUYẾT TOÁN</v>
          </cell>
        </row>
      </sheetData>
      <sheetData sheetId="3664">
        <row r="4">
          <cell r="A4" t="str">
            <v>BẢNG TÍNH TOÁN, ĐO BÓC KHỐI LƯỢNG HOÀN THÀNH ĐƯA VÀO QUYẾT TOÁN</v>
          </cell>
        </row>
      </sheetData>
      <sheetData sheetId="3665">
        <row r="4">
          <cell r="A4" t="str">
            <v>BẢNG TÍNH TOÁN, ĐO BÓC KHỐI LƯỢNG HOÀN THÀNH ĐƯA VÀO QUYẾT TOÁN</v>
          </cell>
        </row>
      </sheetData>
      <sheetData sheetId="3666">
        <row r="4">
          <cell r="A4" t="str">
            <v>BẢNG TÍNH TOÁN, ĐO BÓC KHỐI LƯỢNG HOÀN THÀNH ĐƯA VÀO QUYẾT TOÁN</v>
          </cell>
        </row>
      </sheetData>
      <sheetData sheetId="3667">
        <row r="4">
          <cell r="A4" t="str">
            <v>BẢNG TÍNH TOÁN, ĐO BÓC KHỐI LƯỢNG HOÀN THÀNH ĐƯA VÀO QUYẾT TOÁN</v>
          </cell>
        </row>
      </sheetData>
      <sheetData sheetId="3668">
        <row r="4">
          <cell r="A4" t="str">
            <v>BẢNG TÍNH TOÁN, ĐO BÓC KHỐI LƯỢNG HOÀN THÀNH ĐƯA VÀO QUYẾT TOÁN</v>
          </cell>
        </row>
      </sheetData>
      <sheetData sheetId="3669">
        <row r="4">
          <cell r="A4" t="str">
            <v>BẢNG TÍNH TOÁN, ĐO BÓC KHỐI LƯỢNG HOÀN THÀNH ĐƯA VÀO QUYẾT TOÁN</v>
          </cell>
        </row>
      </sheetData>
      <sheetData sheetId="3670">
        <row r="4">
          <cell r="A4" t="str">
            <v>BẢNG TÍNH TOÁN, ĐO BÓC KHỐI LƯỢNG HOÀN THÀNH ĐƯA VÀO QUYẾT TOÁN</v>
          </cell>
        </row>
      </sheetData>
      <sheetData sheetId="3671">
        <row r="4">
          <cell r="A4" t="str">
            <v>BẢNG TÍNH TOÁN, ĐO BÓC KHỐI LƯỢNG HOÀN THÀNH ĐƯA VÀO QUYẾT TOÁN</v>
          </cell>
        </row>
      </sheetData>
      <sheetData sheetId="3672">
        <row r="4">
          <cell r="A4" t="str">
            <v>BẢNG TÍNH TOÁN, ĐO BÓC KHỐI LƯỢNG HOÀN THÀNH ĐƯA VÀO QUYẾT TOÁN</v>
          </cell>
        </row>
      </sheetData>
      <sheetData sheetId="3673">
        <row r="4">
          <cell r="A4" t="str">
            <v>BẢNG TÍNH TOÁN, ĐO BÓC KHỐI LƯỢNG HOÀN THÀNH ĐƯA VÀO QUYẾT TOÁN</v>
          </cell>
        </row>
      </sheetData>
      <sheetData sheetId="3674">
        <row r="4">
          <cell r="A4" t="str">
            <v>BẢNG TÍNH TOÁN, ĐO BÓC KHỐI LƯỢNG HOÀN THÀNH ĐƯA VÀO QUYẾT TOÁN</v>
          </cell>
        </row>
      </sheetData>
      <sheetData sheetId="3675">
        <row r="4">
          <cell r="A4" t="str">
            <v>BẢNG TÍNH TOÁN, ĐO BÓC KHỐI LƯỢNG HOÀN THÀNH ĐƯA VÀO QUYẾT TOÁN</v>
          </cell>
        </row>
      </sheetData>
      <sheetData sheetId="3676">
        <row r="4">
          <cell r="A4" t="str">
            <v>BẢNG TÍNH TOÁN, ĐO BÓC KHỐI LƯỢNG HOÀN THÀNH ĐƯA VÀO QUYẾT TOÁN</v>
          </cell>
        </row>
      </sheetData>
      <sheetData sheetId="3677">
        <row r="4">
          <cell r="A4" t="str">
            <v>BẢNG TÍNH TOÁN, ĐO BÓC KHỐI LƯỢNG HOÀN THÀNH ĐƯA VÀO QUYẾT TOÁN</v>
          </cell>
        </row>
      </sheetData>
      <sheetData sheetId="3678">
        <row r="4">
          <cell r="A4" t="str">
            <v>BẢNG TÍNH TOÁN, ĐO BÓC KHỐI LƯỢNG HOÀN THÀNH ĐƯA VÀO QUYẾT TOÁN</v>
          </cell>
        </row>
      </sheetData>
      <sheetData sheetId="3679">
        <row r="4">
          <cell r="A4" t="str">
            <v>BẢNG TÍNH TOÁN, ĐO BÓC KHỐI LƯỢNG HOÀN THÀNH ĐƯA VÀO QUYẾT TOÁN</v>
          </cell>
        </row>
      </sheetData>
      <sheetData sheetId="3680">
        <row r="4">
          <cell r="A4" t="str">
            <v>BẢNG TÍNH TOÁN, ĐO BÓC KHỐI LƯỢNG HOÀN THÀNH ĐƯA VÀO QUYẾT TOÁN</v>
          </cell>
        </row>
      </sheetData>
      <sheetData sheetId="3681">
        <row r="4">
          <cell r="A4" t="str">
            <v>BẢNG TÍNH TOÁN, ĐO BÓC KHỐI LƯỢNG HOÀN THÀNH ĐƯA VÀO QUYẾT TOÁN</v>
          </cell>
        </row>
      </sheetData>
      <sheetData sheetId="3682">
        <row r="4">
          <cell r="A4" t="str">
            <v>BẢNG TÍNH TOÁN, ĐO BÓC KHỐI LƯỢNG HOÀN THÀNH ĐƯA VÀO QUYẾT TOÁN</v>
          </cell>
        </row>
      </sheetData>
      <sheetData sheetId="3683">
        <row r="4">
          <cell r="A4" t="str">
            <v>BẢNG TÍNH TOÁN, ĐO BÓC KHỐI LƯỢNG HOÀN THÀNH ĐƯA VÀO QUYẾT TOÁN</v>
          </cell>
        </row>
      </sheetData>
      <sheetData sheetId="3684">
        <row r="4">
          <cell r="A4" t="str">
            <v>BẢNG TÍNH TOÁN, ĐO BÓC KHỐI LƯỢNG HOÀN THÀNH ĐƯA VÀO QUYẾT TOÁN</v>
          </cell>
        </row>
      </sheetData>
      <sheetData sheetId="3685">
        <row r="4">
          <cell r="A4" t="str">
            <v>BẢNG TÍNH TOÁN, ĐO BÓC KHỐI LƯỢNG HOÀN THÀNH ĐƯA VÀO QUYẾT TOÁN</v>
          </cell>
        </row>
      </sheetData>
      <sheetData sheetId="3686">
        <row r="4">
          <cell r="A4" t="str">
            <v>BẢNG TÍNH TOÁN, ĐO BÓC KHỐI LƯỢNG HOÀN THÀNH ĐƯA VÀO QUYẾT TOÁN</v>
          </cell>
        </row>
      </sheetData>
      <sheetData sheetId="3687">
        <row r="4">
          <cell r="A4" t="str">
            <v>BẢNG TÍNH TOÁN, ĐO BÓC KHỐI LƯỢNG HOÀN THÀNH ĐƯA VÀO QUYẾT TOÁN</v>
          </cell>
        </row>
      </sheetData>
      <sheetData sheetId="3688">
        <row r="4">
          <cell r="A4" t="str">
            <v>BẢNG TÍNH TOÁN, ĐO BÓC KHỐI LƯỢNG HOÀN THÀNH ĐƯA VÀO QUYẾT TOÁN</v>
          </cell>
        </row>
      </sheetData>
      <sheetData sheetId="3689">
        <row r="4">
          <cell r="A4" t="str">
            <v>BẢNG TÍNH TOÁN, ĐO BÓC KHỐI LƯỢNG HOÀN THÀNH ĐƯA VÀO QUYẾT TOÁN</v>
          </cell>
        </row>
      </sheetData>
      <sheetData sheetId="3690">
        <row r="4">
          <cell r="A4" t="str">
            <v>BẢNG TÍNH TOÁN, ĐO BÓC KHỐI LƯỢNG HOÀN THÀNH ĐƯA VÀO QUYẾT TOÁN</v>
          </cell>
        </row>
      </sheetData>
      <sheetData sheetId="3691">
        <row r="4">
          <cell r="A4" t="str">
            <v>BẢNG TÍNH TOÁN, ĐO BÓC KHỐI LƯỢNG HOÀN THÀNH ĐƯA VÀO QUYẾT TOÁN</v>
          </cell>
        </row>
      </sheetData>
      <sheetData sheetId="3692">
        <row r="4">
          <cell r="A4" t="str">
            <v>BẢNG TÍNH TOÁN, ĐO BÓC KHỐI LƯỢNG HOÀN THÀNH ĐƯA VÀO QUYẾT TOÁN</v>
          </cell>
        </row>
      </sheetData>
      <sheetData sheetId="3693">
        <row r="4">
          <cell r="A4" t="str">
            <v>BẢNG TÍNH TOÁN, ĐO BÓC KHỐI LƯỢNG HOÀN THÀNH ĐƯA VÀO QUYẾT TOÁN</v>
          </cell>
        </row>
      </sheetData>
      <sheetData sheetId="3694">
        <row r="4">
          <cell r="A4" t="str">
            <v>BẢNG TÍNH TOÁN, ĐO BÓC KHỐI LƯỢNG HOÀN THÀNH ĐƯA VÀO QUYẾT TOÁN</v>
          </cell>
        </row>
      </sheetData>
      <sheetData sheetId="3695">
        <row r="4">
          <cell r="A4" t="str">
            <v>BẢNG TÍNH TOÁN, ĐO BÓC KHỐI LƯỢNG HOÀN THÀNH ĐƯA VÀO QUYẾT TOÁN</v>
          </cell>
        </row>
      </sheetData>
      <sheetData sheetId="3696">
        <row r="4">
          <cell r="A4" t="str">
            <v>BẢNG TÍNH TOÁN, ĐO BÓC KHỐI LƯỢNG HOÀN THÀNH ĐƯA VÀO QUYẾT TOÁN</v>
          </cell>
        </row>
      </sheetData>
      <sheetData sheetId="3697">
        <row r="4">
          <cell r="A4" t="str">
            <v>BẢNG TÍNH TOÁN, ĐO BÓC KHỐI LƯỢNG HOÀN THÀNH ĐƯA VÀO QUYẾT TOÁN</v>
          </cell>
        </row>
      </sheetData>
      <sheetData sheetId="3698">
        <row r="4">
          <cell r="A4" t="str">
            <v>BẢNG TÍNH TOÁN, ĐO BÓC KHỐI LƯỢNG HOÀN THÀNH ĐƯA VÀO QUYẾT TOÁN</v>
          </cell>
        </row>
      </sheetData>
      <sheetData sheetId="3699">
        <row r="4">
          <cell r="A4" t="str">
            <v>BẢNG TÍNH TOÁN, ĐO BÓC KHỐI LƯỢNG HOÀN THÀNH ĐƯA VÀO QUYẾT TOÁN</v>
          </cell>
        </row>
      </sheetData>
      <sheetData sheetId="3700">
        <row r="4">
          <cell r="A4" t="str">
            <v>BẢNG TÍNH TOÁN, ĐO BÓC KHỐI LƯỢNG HOÀN THÀNH ĐƯA VÀO QUYẾT TOÁN</v>
          </cell>
        </row>
      </sheetData>
      <sheetData sheetId="3701">
        <row r="4">
          <cell r="A4" t="str">
            <v>BẢNG TÍNH TOÁN, ĐO BÓC KHỐI LƯỢNG HOÀN THÀNH ĐƯA VÀO QUYẾT TOÁN</v>
          </cell>
        </row>
      </sheetData>
      <sheetData sheetId="3702">
        <row r="4">
          <cell r="A4" t="str">
            <v>BẢNG TÍNH TOÁN, ĐO BÓC KHỐI LƯỢNG HOÀN THÀNH ĐƯA VÀO QUYẾT TOÁN</v>
          </cell>
        </row>
      </sheetData>
      <sheetData sheetId="3703">
        <row r="4">
          <cell r="A4" t="str">
            <v>BẢNG TÍNH TOÁN, ĐO BÓC KHỐI LƯỢNG HOÀN THÀNH ĐƯA VÀO QUYẾT TOÁN</v>
          </cell>
        </row>
      </sheetData>
      <sheetData sheetId="3704">
        <row r="4">
          <cell r="A4" t="str">
            <v>BẢNG TÍNH TOÁN, ĐO BÓC KHỐI LƯỢNG HOÀN THÀNH ĐƯA VÀO QUYẾT TOÁN</v>
          </cell>
        </row>
      </sheetData>
      <sheetData sheetId="3705">
        <row r="4">
          <cell r="A4" t="str">
            <v>BẢNG TÍNH TOÁN, ĐO BÓC KHỐI LƯỢNG HOÀN THÀNH ĐƯA VÀO QUYẾT TOÁN</v>
          </cell>
        </row>
      </sheetData>
      <sheetData sheetId="3706">
        <row r="4">
          <cell r="A4" t="str">
            <v>BẢNG TÍNH TOÁN, ĐO BÓC KHỐI LƯỢNG HOÀN THÀNH ĐƯA VÀO QUYẾT TOÁN</v>
          </cell>
        </row>
      </sheetData>
      <sheetData sheetId="3707">
        <row r="4">
          <cell r="A4" t="str">
            <v>BẢNG TÍNH TOÁN, ĐO BÓC KHỐI LƯỢNG HOÀN THÀNH ĐƯA VÀO QUYẾT TOÁN</v>
          </cell>
        </row>
      </sheetData>
      <sheetData sheetId="3708">
        <row r="4">
          <cell r="A4" t="str">
            <v>BẢNG TÍNH TOÁN, ĐO BÓC KHỐI LƯỢNG HOÀN THÀNH ĐƯA VÀO QUYẾT TOÁN</v>
          </cell>
        </row>
      </sheetData>
      <sheetData sheetId="3709">
        <row r="4">
          <cell r="A4" t="str">
            <v>BẢNG TÍNH TOÁN, ĐO BÓC KHỐI LƯỢNG HOÀN THÀNH ĐƯA VÀO QUYẾT TOÁN</v>
          </cell>
        </row>
      </sheetData>
      <sheetData sheetId="3710">
        <row r="4">
          <cell r="A4" t="str">
            <v>BẢNG TÍNH TOÁN, ĐO BÓC KHỐI LƯỢNG HOÀN THÀNH ĐƯA VÀO QUYẾT TOÁN</v>
          </cell>
        </row>
      </sheetData>
      <sheetData sheetId="3711">
        <row r="4">
          <cell r="A4" t="str">
            <v>BẢNG TÍNH TOÁN, ĐO BÓC KHỐI LƯỢNG HOÀN THÀNH ĐƯA VÀO QUYẾT TOÁN</v>
          </cell>
        </row>
      </sheetData>
      <sheetData sheetId="3712">
        <row r="4">
          <cell r="A4" t="str">
            <v>BẢNG TÍNH TOÁN, ĐO BÓC KHỐI LƯỢNG HOÀN THÀNH ĐƯA VÀO QUYẾT TOÁN</v>
          </cell>
        </row>
      </sheetData>
      <sheetData sheetId="3713">
        <row r="4">
          <cell r="A4" t="str">
            <v>BẢNG TÍNH TOÁN, ĐO BÓC KHỐI LƯỢNG HOÀN THÀNH ĐƯA VÀO QUYẾT TOÁN</v>
          </cell>
        </row>
      </sheetData>
      <sheetData sheetId="3714">
        <row r="4">
          <cell r="A4" t="str">
            <v>BẢNG TÍNH TOÁN, ĐO BÓC KHỐI LƯỢNG HOÀN THÀNH ĐƯA VÀO QUYẾT TOÁN</v>
          </cell>
        </row>
      </sheetData>
      <sheetData sheetId="3715">
        <row r="4">
          <cell r="A4" t="str">
            <v>BẢNG TÍNH TOÁN, ĐO BÓC KHỐI LƯỢNG HOÀN THÀNH ĐƯA VÀO QUYẾT TOÁN</v>
          </cell>
        </row>
      </sheetData>
      <sheetData sheetId="3716">
        <row r="4">
          <cell r="A4" t="str">
            <v>BẢNG TÍNH TOÁN, ĐO BÓC KHỐI LƯỢNG HOÀN THÀNH ĐƯA VÀO QUYẾT TOÁN</v>
          </cell>
        </row>
      </sheetData>
      <sheetData sheetId="3717">
        <row r="4">
          <cell r="A4" t="str">
            <v>BẢNG TÍNH TOÁN, ĐO BÓC KHỐI LƯỢNG HOÀN THÀNH ĐƯA VÀO QUYẾT TOÁN</v>
          </cell>
        </row>
      </sheetData>
      <sheetData sheetId="3718">
        <row r="4">
          <cell r="A4" t="str">
            <v>BẢNG TÍNH TOÁN, ĐO BÓC KHỐI LƯỢNG HOÀN THÀNH ĐƯA VÀO QUYẾT TOÁN</v>
          </cell>
        </row>
      </sheetData>
      <sheetData sheetId="3719">
        <row r="4">
          <cell r="A4" t="str">
            <v>BẢNG TÍNH TOÁN, ĐO BÓC KHỐI LƯỢNG HOÀN THÀNH ĐƯA VÀO QUYẾT TOÁN</v>
          </cell>
        </row>
      </sheetData>
      <sheetData sheetId="3720">
        <row r="4">
          <cell r="A4" t="str">
            <v>BẢNG TÍNH TOÁN, ĐO BÓC KHỐI LƯỢNG HOÀN THÀNH ĐƯA VÀO QUYẾT TOÁN</v>
          </cell>
        </row>
      </sheetData>
      <sheetData sheetId="3721">
        <row r="4">
          <cell r="A4" t="str">
            <v>BẢNG TÍNH TOÁN, ĐO BÓC KHỐI LƯỢNG HOÀN THÀNH ĐƯA VÀO QUYẾT TOÁN</v>
          </cell>
        </row>
      </sheetData>
      <sheetData sheetId="3722">
        <row r="4">
          <cell r="A4" t="str">
            <v>BẢNG TÍNH TOÁN, ĐO BÓC KHỐI LƯỢNG HOÀN THÀNH ĐƯA VÀO QUYẾT TOÁN</v>
          </cell>
        </row>
      </sheetData>
      <sheetData sheetId="3723">
        <row r="4">
          <cell r="A4" t="str">
            <v>BẢNG TÍNH TOÁN, ĐO BÓC KHỐI LƯỢNG HOÀN THÀNH ĐƯA VÀO QUYẾT TOÁN</v>
          </cell>
        </row>
      </sheetData>
      <sheetData sheetId="3724">
        <row r="4">
          <cell r="A4" t="str">
            <v>BẢNG TÍNH TOÁN, ĐO BÓC KHỐI LƯỢNG HOÀN THÀNH ĐƯA VÀO QUYẾT TOÁN</v>
          </cell>
        </row>
      </sheetData>
      <sheetData sheetId="3725">
        <row r="4">
          <cell r="A4" t="str">
            <v>BẢNG TÍNH TOÁN, ĐO BÓC KHỐI LƯỢNG HOÀN THÀNH ĐƯA VÀO QUYẾT TOÁN</v>
          </cell>
        </row>
      </sheetData>
      <sheetData sheetId="3726">
        <row r="4">
          <cell r="A4" t="str">
            <v>BẢNG TÍNH TOÁN, ĐO BÓC KHỐI LƯỢNG HOÀN THÀNH ĐƯA VÀO QUYẾT TOÁN</v>
          </cell>
        </row>
      </sheetData>
      <sheetData sheetId="3727">
        <row r="4">
          <cell r="A4" t="str">
            <v>BẢNG TÍNH TOÁN, ĐO BÓC KHỐI LƯỢNG HOÀN THÀNH ĐƯA VÀO QUYẾT TOÁN</v>
          </cell>
        </row>
      </sheetData>
      <sheetData sheetId="3728">
        <row r="4">
          <cell r="A4" t="str">
            <v>BẢNG TÍNH TOÁN, ĐO BÓC KHỐI LƯỢNG HOÀN THÀNH ĐƯA VÀO QUYẾT TOÁN</v>
          </cell>
        </row>
      </sheetData>
      <sheetData sheetId="3729">
        <row r="4">
          <cell r="A4" t="str">
            <v>BẢNG TÍNH TOÁN, ĐO BÓC KHỐI LƯỢNG HOÀN THÀNH ĐƯA VÀO QUYẾT TOÁN</v>
          </cell>
        </row>
      </sheetData>
      <sheetData sheetId="3730">
        <row r="4">
          <cell r="A4" t="str">
            <v>BẢNG TÍNH TOÁN, ĐO BÓC KHỐI LƯỢNG HOÀN THÀNH ĐƯA VÀO QUYẾT TOÁN</v>
          </cell>
        </row>
      </sheetData>
      <sheetData sheetId="3731">
        <row r="4">
          <cell r="A4" t="str">
            <v>BẢNG TÍNH TOÁN, ĐO BÓC KHỐI LƯỢNG HOÀN THÀNH ĐƯA VÀO QUYẾT TOÁN</v>
          </cell>
        </row>
      </sheetData>
      <sheetData sheetId="3732">
        <row r="4">
          <cell r="A4" t="str">
            <v>BẢNG TÍNH TOÁN, ĐO BÓC KHỐI LƯỢNG HOÀN THÀNH ĐƯA VÀO QUYẾT TOÁN</v>
          </cell>
        </row>
      </sheetData>
      <sheetData sheetId="3733">
        <row r="4">
          <cell r="A4" t="str">
            <v>BẢNG TÍNH TOÁN, ĐO BÓC KHỐI LƯỢNG HOÀN THÀNH ĐƯA VÀO QUYẾT TOÁN</v>
          </cell>
        </row>
      </sheetData>
      <sheetData sheetId="3734">
        <row r="4">
          <cell r="A4" t="str">
            <v>BẢNG TÍNH TOÁN, ĐO BÓC KHỐI LƯỢNG HOÀN THÀNH ĐƯA VÀO QUYẾT TOÁN</v>
          </cell>
        </row>
      </sheetData>
      <sheetData sheetId="3735">
        <row r="4">
          <cell r="A4" t="str">
            <v>BẢNG TÍNH TOÁN, ĐO BÓC KHỐI LƯỢNG HOÀN THÀNH ĐƯA VÀO QUYẾT TOÁN</v>
          </cell>
        </row>
      </sheetData>
      <sheetData sheetId="3736">
        <row r="4">
          <cell r="A4" t="str">
            <v>BẢNG TÍNH TOÁN, ĐO BÓC KHỐI LƯỢNG HOÀN THÀNH ĐƯA VÀO QUYẾT TOÁN</v>
          </cell>
        </row>
      </sheetData>
      <sheetData sheetId="3737">
        <row r="4">
          <cell r="A4" t="str">
            <v>BẢNG TÍNH TOÁN, ĐO BÓC KHỐI LƯỢNG HOÀN THÀNH ĐƯA VÀO QUYẾT TOÁN</v>
          </cell>
        </row>
      </sheetData>
      <sheetData sheetId="3738">
        <row r="4">
          <cell r="A4" t="str">
            <v>BẢNG TÍNH TOÁN, ĐO BÓC KHỐI LƯỢNG HOÀN THÀNH ĐƯA VÀO QUYẾT TOÁN</v>
          </cell>
        </row>
      </sheetData>
      <sheetData sheetId="3739">
        <row r="4">
          <cell r="A4" t="str">
            <v>BẢNG TÍNH TOÁN, ĐO BÓC KHỐI LƯỢNG HOÀN THÀNH ĐƯA VÀO QUYẾT TOÁN</v>
          </cell>
        </row>
      </sheetData>
      <sheetData sheetId="3740">
        <row r="4">
          <cell r="A4" t="str">
            <v>BẢNG TÍNH TOÁN, ĐO BÓC KHỐI LƯỢNG HOÀN THÀNH ĐƯA VÀO QUYẾT TOÁN</v>
          </cell>
        </row>
      </sheetData>
      <sheetData sheetId="3741">
        <row r="4">
          <cell r="A4" t="str">
            <v>BẢNG TÍNH TOÁN, ĐO BÓC KHỐI LƯỢNG HOÀN THÀNH ĐƯA VÀO QUYẾT TOÁN</v>
          </cell>
        </row>
      </sheetData>
      <sheetData sheetId="3742">
        <row r="4">
          <cell r="A4" t="str">
            <v>BẢNG TÍNH TOÁN, ĐO BÓC KHỐI LƯỢNG HOÀN THÀNH ĐƯA VÀO QUYẾT TOÁN</v>
          </cell>
        </row>
      </sheetData>
      <sheetData sheetId="3743">
        <row r="4">
          <cell r="A4" t="str">
            <v>BẢNG TÍNH TOÁN, ĐO BÓC KHỐI LƯỢNG HOÀN THÀNH ĐƯA VÀO QUYẾT TOÁN</v>
          </cell>
        </row>
      </sheetData>
      <sheetData sheetId="3744">
        <row r="4">
          <cell r="A4" t="str">
            <v>BẢNG TÍNH TOÁN, ĐO BÓC KHỐI LƯỢNG HOÀN THÀNH ĐƯA VÀO QUYẾT TOÁN</v>
          </cell>
        </row>
      </sheetData>
      <sheetData sheetId="3745">
        <row r="4">
          <cell r="A4" t="str">
            <v>BẢNG TÍNH TOÁN, ĐO BÓC KHỐI LƯỢNG HOÀN THÀNH ĐƯA VÀO QUYẾT TOÁN</v>
          </cell>
        </row>
      </sheetData>
      <sheetData sheetId="3746">
        <row r="4">
          <cell r="A4" t="str">
            <v>BẢNG TÍNH TOÁN, ĐO BÓC KHỐI LƯỢNG HOÀN THÀNH ĐƯA VÀO QUYẾT TOÁN</v>
          </cell>
        </row>
      </sheetData>
      <sheetData sheetId="3747">
        <row r="4">
          <cell r="A4" t="str">
            <v>BẢNG TÍNH TOÁN, ĐO BÓC KHỐI LƯỢNG HOÀN THÀNH ĐƯA VÀO QUYẾT TOÁN</v>
          </cell>
        </row>
      </sheetData>
      <sheetData sheetId="3748">
        <row r="4">
          <cell r="A4" t="str">
            <v>BẢNG TÍNH TOÁN, ĐO BÓC KHỐI LƯỢNG HOÀN THÀNH ĐƯA VÀO QUYẾT TOÁN</v>
          </cell>
        </row>
      </sheetData>
      <sheetData sheetId="3749">
        <row r="4">
          <cell r="A4" t="str">
            <v>BẢNG TÍNH TOÁN, ĐO BÓC KHỐI LƯỢNG HOÀN THÀNH ĐƯA VÀO QUYẾT TOÁN</v>
          </cell>
        </row>
      </sheetData>
      <sheetData sheetId="3750">
        <row r="4">
          <cell r="A4" t="str">
            <v>BẢNG TÍNH TOÁN, ĐO BÓC KHỐI LƯỢNG HOÀN THÀNH ĐƯA VÀO QUYẾT TOÁN</v>
          </cell>
        </row>
      </sheetData>
      <sheetData sheetId="3751">
        <row r="4">
          <cell r="A4" t="str">
            <v>BẢNG TÍNH TOÁN, ĐO BÓC KHỐI LƯỢNG HOÀN THÀNH ĐƯA VÀO QUYẾT TOÁN</v>
          </cell>
        </row>
      </sheetData>
      <sheetData sheetId="3752">
        <row r="4">
          <cell r="A4" t="str">
            <v>BẢNG TÍNH TOÁN, ĐO BÓC KHỐI LƯỢNG HOÀN THÀNH ĐƯA VÀO QUYẾT TOÁN</v>
          </cell>
        </row>
      </sheetData>
      <sheetData sheetId="3753">
        <row r="4">
          <cell r="A4" t="str">
            <v>BẢNG TÍNH TOÁN, ĐO BÓC KHỐI LƯỢNG HOÀN THÀNH ĐƯA VÀO QUYẾT TOÁN</v>
          </cell>
        </row>
      </sheetData>
      <sheetData sheetId="3754">
        <row r="4">
          <cell r="A4" t="str">
            <v>BẢNG TÍNH TOÁN, ĐO BÓC KHỐI LƯỢNG HOÀN THÀNH ĐƯA VÀO QUYẾT TOÁN</v>
          </cell>
        </row>
      </sheetData>
      <sheetData sheetId="3755">
        <row r="4">
          <cell r="A4" t="str">
            <v>BẢNG TÍNH TOÁN, ĐO BÓC KHỐI LƯỢNG HOÀN THÀNH ĐƯA VÀO QUYẾT TOÁN</v>
          </cell>
        </row>
      </sheetData>
      <sheetData sheetId="3756">
        <row r="4">
          <cell r="A4" t="str">
            <v>BẢNG TÍNH TOÁN, ĐO BÓC KHỐI LƯỢNG HOÀN THÀNH ĐƯA VÀO QUYẾT TOÁN</v>
          </cell>
        </row>
      </sheetData>
      <sheetData sheetId="3757">
        <row r="4">
          <cell r="A4" t="str">
            <v>BẢNG TÍNH TOÁN, ĐO BÓC KHỐI LƯỢNG HOÀN THÀNH ĐƯA VÀO QUYẾT TOÁN</v>
          </cell>
        </row>
      </sheetData>
      <sheetData sheetId="3758">
        <row r="4">
          <cell r="A4" t="str">
            <v>BẢNG TÍNH TOÁN, ĐO BÓC KHỐI LƯỢNG HOÀN THÀNH ĐƯA VÀO QUYẾT TOÁN</v>
          </cell>
        </row>
      </sheetData>
      <sheetData sheetId="3759">
        <row r="4">
          <cell r="A4" t="str">
            <v>BẢNG TÍNH TOÁN, ĐO BÓC KHỐI LƯỢNG HOÀN THÀNH ĐƯA VÀO QUYẾT TOÁN</v>
          </cell>
        </row>
      </sheetData>
      <sheetData sheetId="3760">
        <row r="4">
          <cell r="A4" t="str">
            <v>BẢNG TÍNH TOÁN, ĐO BÓC KHỐI LƯỢNG HOÀN THÀNH ĐƯA VÀO QUYẾT TOÁN</v>
          </cell>
        </row>
      </sheetData>
      <sheetData sheetId="3761">
        <row r="4">
          <cell r="A4" t="str">
            <v>BẢNG TÍNH TOÁN, ĐO BÓC KHỐI LƯỢNG HOÀN THÀNH ĐƯA VÀO QUYẾT TOÁN</v>
          </cell>
        </row>
      </sheetData>
      <sheetData sheetId="3762">
        <row r="4">
          <cell r="A4" t="str">
            <v>BẢNG TÍNH TOÁN, ĐO BÓC KHỐI LƯỢNG HOÀN THÀNH ĐƯA VÀO QUYẾT TOÁN</v>
          </cell>
        </row>
      </sheetData>
      <sheetData sheetId="3763">
        <row r="4">
          <cell r="A4" t="str">
            <v>BẢNG TÍNH TOÁN, ĐO BÓC KHỐI LƯỢNG HOÀN THÀNH ĐƯA VÀO QUYẾT TOÁN</v>
          </cell>
        </row>
      </sheetData>
      <sheetData sheetId="3764">
        <row r="4">
          <cell r="A4" t="str">
            <v>BẢNG TÍNH TOÁN, ĐO BÓC KHỐI LƯỢNG HOÀN THÀNH ĐƯA VÀO QUYẾT TOÁN</v>
          </cell>
        </row>
      </sheetData>
      <sheetData sheetId="3765">
        <row r="4">
          <cell r="A4" t="str">
            <v>BẢNG TÍNH TOÁN, ĐO BÓC KHỐI LƯỢNG HOÀN THÀNH ĐƯA VÀO QUYẾT TOÁN</v>
          </cell>
        </row>
      </sheetData>
      <sheetData sheetId="3766">
        <row r="4">
          <cell r="A4" t="str">
            <v>BẢNG TÍNH TOÁN, ĐO BÓC KHỐI LƯỢNG HOÀN THÀNH ĐƯA VÀO QUYẾT TOÁN</v>
          </cell>
        </row>
      </sheetData>
      <sheetData sheetId="3767">
        <row r="4">
          <cell r="A4" t="str">
            <v>BẢNG TÍNH TOÁN, ĐO BÓC KHỐI LƯỢNG HOÀN THÀNH ĐƯA VÀO QUYẾT TOÁN</v>
          </cell>
        </row>
      </sheetData>
      <sheetData sheetId="3768">
        <row r="4">
          <cell r="A4" t="str">
            <v>BẢNG TÍNH TOÁN, ĐO BÓC KHỐI LƯỢNG HOÀN THÀNH ĐƯA VÀO QUYẾT TOÁN</v>
          </cell>
        </row>
      </sheetData>
      <sheetData sheetId="3769">
        <row r="4">
          <cell r="A4" t="str">
            <v>BẢNG TÍNH TOÁN, ĐO BÓC KHỐI LƯỢNG HOÀN THÀNH ĐƯA VÀO QUYẾT TOÁN</v>
          </cell>
        </row>
      </sheetData>
      <sheetData sheetId="3770">
        <row r="4">
          <cell r="A4" t="str">
            <v>BẢNG TÍNH TOÁN, ĐO BÓC KHỐI LƯỢNG HOÀN THÀNH ĐƯA VÀO QUYẾT TOÁN</v>
          </cell>
        </row>
      </sheetData>
      <sheetData sheetId="3771">
        <row r="4">
          <cell r="A4" t="str">
            <v>BẢNG TÍNH TOÁN, ĐO BÓC KHỐI LƯỢNG HOÀN THÀNH ĐƯA VÀO QUYẾT TOÁN</v>
          </cell>
        </row>
      </sheetData>
      <sheetData sheetId="3772">
        <row r="4">
          <cell r="A4" t="str">
            <v>BẢNG TÍNH TOÁN, ĐO BÓC KHỐI LƯỢNG HOÀN THÀNH ĐƯA VÀO QUYẾT TOÁN</v>
          </cell>
        </row>
      </sheetData>
      <sheetData sheetId="3773">
        <row r="4">
          <cell r="A4" t="str">
            <v>BẢNG TÍNH TOÁN, ĐO BÓC KHỐI LƯỢNG HOÀN THÀNH ĐƯA VÀO QUYẾT TOÁN</v>
          </cell>
        </row>
      </sheetData>
      <sheetData sheetId="3774">
        <row r="4">
          <cell r="A4" t="str">
            <v>BẢNG TÍNH TOÁN, ĐO BÓC KHỐI LƯỢNG HOÀN THÀNH ĐƯA VÀO QUYẾT TOÁN</v>
          </cell>
        </row>
      </sheetData>
      <sheetData sheetId="3775">
        <row r="4">
          <cell r="A4" t="str">
            <v>BẢNG TÍNH TOÁN, ĐO BÓC KHỐI LƯỢNG HOÀN THÀNH ĐƯA VÀO QUYẾT TOÁN</v>
          </cell>
        </row>
      </sheetData>
      <sheetData sheetId="3776">
        <row r="4">
          <cell r="A4" t="str">
            <v>BẢNG TÍNH TOÁN, ĐO BÓC KHỐI LƯỢNG HOÀN THÀNH ĐƯA VÀO QUYẾT TOÁN</v>
          </cell>
        </row>
      </sheetData>
      <sheetData sheetId="3777">
        <row r="4">
          <cell r="A4" t="str">
            <v>BẢNG TÍNH TOÁN, ĐO BÓC KHỐI LƯỢNG HOÀN THÀNH ĐƯA VÀO QUYẾT TOÁN</v>
          </cell>
        </row>
      </sheetData>
      <sheetData sheetId="3778">
        <row r="4">
          <cell r="A4" t="str">
            <v>BẢNG TÍNH TOÁN, ĐO BÓC KHỐI LƯỢNG HOÀN THÀNH ĐƯA VÀO QUYẾT TOÁN</v>
          </cell>
        </row>
      </sheetData>
      <sheetData sheetId="3779">
        <row r="4">
          <cell r="A4" t="str">
            <v>BẢNG TÍNH TOÁN, ĐO BÓC KHỐI LƯỢNG HOÀN THÀNH ĐƯA VÀO QUYẾT TOÁN</v>
          </cell>
        </row>
      </sheetData>
      <sheetData sheetId="3780">
        <row r="4">
          <cell r="A4" t="str">
            <v>BẢNG TÍNH TOÁN, ĐO BÓC KHỐI LƯỢNG HOÀN THÀNH ĐƯA VÀO QUYẾT TOÁN</v>
          </cell>
        </row>
      </sheetData>
      <sheetData sheetId="3781">
        <row r="4">
          <cell r="A4" t="str">
            <v>BẢNG TÍNH TOÁN, ĐO BÓC KHỐI LƯỢNG HOÀN THÀNH ĐƯA VÀO QUYẾT TOÁN</v>
          </cell>
        </row>
      </sheetData>
      <sheetData sheetId="3782">
        <row r="4">
          <cell r="A4" t="str">
            <v>BẢNG TÍNH TOÁN, ĐO BÓC KHỐI LƯỢNG HOÀN THÀNH ĐƯA VÀO QUYẾT TOÁN</v>
          </cell>
        </row>
      </sheetData>
      <sheetData sheetId="3783">
        <row r="4">
          <cell r="A4" t="str">
            <v>BẢNG TÍNH TOÁN, ĐO BÓC KHỐI LƯỢNG HOÀN THÀNH ĐƯA VÀO QUYẾT TOÁN</v>
          </cell>
        </row>
      </sheetData>
      <sheetData sheetId="3784">
        <row r="4">
          <cell r="A4" t="str">
            <v>BẢNG TÍNH TOÁN, ĐO BÓC KHỐI LƯỢNG HOÀN THÀNH ĐƯA VÀO QUYẾT TOÁN</v>
          </cell>
        </row>
      </sheetData>
      <sheetData sheetId="3785">
        <row r="4">
          <cell r="A4" t="str">
            <v>BẢNG TÍNH TOÁN, ĐO BÓC KHỐI LƯỢNG HOÀN THÀNH ĐƯA VÀO QUYẾT TOÁN</v>
          </cell>
        </row>
      </sheetData>
      <sheetData sheetId="3786">
        <row r="4">
          <cell r="A4" t="str">
            <v>BẢNG TÍNH TOÁN, ĐO BÓC KHỐI LƯỢNG HOÀN THÀNH ĐƯA VÀO QUYẾT TOÁN</v>
          </cell>
        </row>
      </sheetData>
      <sheetData sheetId="3787">
        <row r="4">
          <cell r="A4" t="str">
            <v>BẢNG TÍNH TOÁN, ĐO BÓC KHỐI LƯỢNG HOÀN THÀNH ĐƯA VÀO QUYẾT TOÁN</v>
          </cell>
        </row>
      </sheetData>
      <sheetData sheetId="3788">
        <row r="4">
          <cell r="A4" t="str">
            <v>BẢNG TÍNH TOÁN, ĐO BÓC KHỐI LƯỢNG HOÀN THÀNH ĐƯA VÀO QUYẾT TOÁN</v>
          </cell>
        </row>
      </sheetData>
      <sheetData sheetId="3789">
        <row r="4">
          <cell r="A4" t="str">
            <v>BẢNG TÍNH TOÁN, ĐO BÓC KHỐI LƯỢNG HOÀN THÀNH ĐƯA VÀO QUYẾT TOÁN</v>
          </cell>
        </row>
      </sheetData>
      <sheetData sheetId="3790">
        <row r="4">
          <cell r="A4" t="str">
            <v>BẢNG TÍNH TOÁN, ĐO BÓC KHỐI LƯỢNG HOÀN THÀNH ĐƯA VÀO QUYẾT TOÁN</v>
          </cell>
        </row>
      </sheetData>
      <sheetData sheetId="3791">
        <row r="4">
          <cell r="A4" t="str">
            <v>BẢNG TÍNH TOÁN, ĐO BÓC KHỐI LƯỢNG HOÀN THÀNH ĐƯA VÀO QUYẾT TOÁN</v>
          </cell>
        </row>
      </sheetData>
      <sheetData sheetId="3792">
        <row r="4">
          <cell r="A4" t="str">
            <v>BẢNG TÍNH TOÁN, ĐO BÓC KHỐI LƯỢNG HOÀN THÀNH ĐƯA VÀO QUYẾT TOÁN</v>
          </cell>
        </row>
      </sheetData>
      <sheetData sheetId="3793">
        <row r="4">
          <cell r="A4" t="str">
            <v>BẢNG TÍNH TOÁN, ĐO BÓC KHỐI LƯỢNG HOÀN THÀNH ĐƯA VÀO QUYẾT TOÁN</v>
          </cell>
        </row>
      </sheetData>
      <sheetData sheetId="3794">
        <row r="4">
          <cell r="A4" t="str">
            <v>BẢNG TÍNH TOÁN, ĐO BÓC KHỐI LƯỢNG HOÀN THÀNH ĐƯA VÀO QUYẾT TOÁN</v>
          </cell>
        </row>
      </sheetData>
      <sheetData sheetId="3795">
        <row r="4">
          <cell r="A4" t="str">
            <v>BẢNG TÍNH TOÁN, ĐO BÓC KHỐI LƯỢNG HOÀN THÀNH ĐƯA VÀO QUYẾT TOÁN</v>
          </cell>
        </row>
      </sheetData>
      <sheetData sheetId="3796">
        <row r="4">
          <cell r="A4" t="str">
            <v>BẢNG TÍNH TOÁN, ĐO BÓC KHỐI LƯỢNG HOÀN THÀNH ĐƯA VÀO QUYẾT TOÁN</v>
          </cell>
        </row>
      </sheetData>
      <sheetData sheetId="3797">
        <row r="4">
          <cell r="A4" t="str">
            <v>BẢNG TÍNH TOÁN, ĐO BÓC KHỐI LƯỢNG HOÀN THÀNH ĐƯA VÀO QUYẾT TOÁN</v>
          </cell>
        </row>
      </sheetData>
      <sheetData sheetId="3798">
        <row r="4">
          <cell r="A4" t="str">
            <v>BẢNG TÍNH TOÁN, ĐO BÓC KHỐI LƯỢNG HOÀN THÀNH ĐƯA VÀO QUYẾT TOÁN</v>
          </cell>
        </row>
      </sheetData>
      <sheetData sheetId="3799">
        <row r="4">
          <cell r="A4" t="str">
            <v>BẢNG TÍNH TOÁN, ĐO BÓC KHỐI LƯỢNG HOÀN THÀNH ĐƯA VÀO QUYẾT TOÁN</v>
          </cell>
        </row>
      </sheetData>
      <sheetData sheetId="3800">
        <row r="4">
          <cell r="A4" t="str">
            <v>BẢNG TÍNH TOÁN, ĐO BÓC KHỐI LƯỢNG HOÀN THÀNH ĐƯA VÀO QUYẾT TOÁN</v>
          </cell>
        </row>
      </sheetData>
      <sheetData sheetId="3801">
        <row r="4">
          <cell r="A4" t="str">
            <v>BẢNG TÍNH TOÁN, ĐO BÓC KHỐI LƯỢNG HOÀN THÀNH ĐƯA VÀO QUYẾT TOÁN</v>
          </cell>
        </row>
      </sheetData>
      <sheetData sheetId="3802">
        <row r="4">
          <cell r="A4" t="str">
            <v>BẢNG TÍNH TOÁN, ĐO BÓC KHỐI LƯỢNG HOÀN THÀNH ĐƯA VÀO QUYẾT TOÁN</v>
          </cell>
        </row>
      </sheetData>
      <sheetData sheetId="3803">
        <row r="4">
          <cell r="A4" t="str">
            <v>BẢNG TÍNH TOÁN, ĐO BÓC KHỐI LƯỢNG HOÀN THÀNH ĐƯA VÀO QUYẾT TOÁN</v>
          </cell>
        </row>
      </sheetData>
      <sheetData sheetId="3804">
        <row r="4">
          <cell r="A4" t="str">
            <v>BẢNG TÍNH TOÁN, ĐO BÓC KHỐI LƯỢNG HOÀN THÀNH ĐƯA VÀO QUYẾT TOÁN</v>
          </cell>
        </row>
      </sheetData>
      <sheetData sheetId="3805">
        <row r="4">
          <cell r="A4" t="str">
            <v>BẢNG TÍNH TOÁN, ĐO BÓC KHỐI LƯỢNG HOÀN THÀNH ĐƯA VÀO QUYẾT TOÁN</v>
          </cell>
        </row>
      </sheetData>
      <sheetData sheetId="3806">
        <row r="4">
          <cell r="A4" t="str">
            <v>BẢNG TÍNH TOÁN, ĐO BÓC KHỐI LƯỢNG HOÀN THÀNH ĐƯA VÀO QUYẾT TOÁN</v>
          </cell>
        </row>
      </sheetData>
      <sheetData sheetId="3807">
        <row r="4">
          <cell r="A4" t="str">
            <v>BẢNG TÍNH TOÁN, ĐO BÓC KHỐI LƯỢNG HOÀN THÀNH ĐƯA VÀO QUYẾT TOÁN</v>
          </cell>
        </row>
      </sheetData>
      <sheetData sheetId="3808">
        <row r="4">
          <cell r="A4" t="str">
            <v>BẢNG TÍNH TOÁN, ĐO BÓC KHỐI LƯỢNG HOÀN THÀNH ĐƯA VÀO QUYẾT TOÁN</v>
          </cell>
        </row>
      </sheetData>
      <sheetData sheetId="3809">
        <row r="4">
          <cell r="A4" t="str">
            <v>BẢNG TÍNH TOÁN, ĐO BÓC KHỐI LƯỢNG HOÀN THÀNH ĐƯA VÀO QUYẾT TOÁN</v>
          </cell>
        </row>
      </sheetData>
      <sheetData sheetId="3810">
        <row r="4">
          <cell r="A4" t="str">
            <v>BẢNG TÍNH TOÁN, ĐO BÓC KHỐI LƯỢNG HOÀN THÀNH ĐƯA VÀO QUYẾT TOÁN</v>
          </cell>
        </row>
      </sheetData>
      <sheetData sheetId="3811">
        <row r="4">
          <cell r="A4" t="str">
            <v>BẢNG TÍNH TOÁN, ĐO BÓC KHỐI LƯỢNG HOÀN THÀNH ĐƯA VÀO QUYẾT TOÁN</v>
          </cell>
        </row>
      </sheetData>
      <sheetData sheetId="3812">
        <row r="4">
          <cell r="A4" t="str">
            <v>BẢNG TÍNH TOÁN, ĐO BÓC KHỐI LƯỢNG HOÀN THÀNH ĐƯA VÀO QUYẾT TOÁN</v>
          </cell>
        </row>
      </sheetData>
      <sheetData sheetId="3813">
        <row r="4">
          <cell r="A4" t="str">
            <v>BẢNG TÍNH TOÁN, ĐO BÓC KHỐI LƯỢNG HOÀN THÀNH ĐƯA VÀO QUYẾT TOÁN</v>
          </cell>
        </row>
      </sheetData>
      <sheetData sheetId="3814">
        <row r="4">
          <cell r="A4" t="str">
            <v>BẢNG TÍNH TOÁN, ĐO BÓC KHỐI LƯỢNG HOÀN THÀNH ĐƯA VÀO QUYẾT TOÁN</v>
          </cell>
        </row>
      </sheetData>
      <sheetData sheetId="3815">
        <row r="4">
          <cell r="A4" t="str">
            <v>BẢNG TÍNH TOÁN, ĐO BÓC KHỐI LƯỢNG HOÀN THÀNH ĐƯA VÀO QUYẾT TOÁN</v>
          </cell>
        </row>
      </sheetData>
      <sheetData sheetId="3816">
        <row r="4">
          <cell r="A4" t="str">
            <v>BẢNG TÍNH TOÁN, ĐO BÓC KHỐI LƯỢNG HOÀN THÀNH ĐƯA VÀO QUYẾT TOÁN</v>
          </cell>
        </row>
      </sheetData>
      <sheetData sheetId="3817">
        <row r="4">
          <cell r="A4" t="str">
            <v>BẢNG TÍNH TOÁN, ĐO BÓC KHỐI LƯỢNG HOÀN THÀNH ĐƯA VÀO QUYẾT TOÁN</v>
          </cell>
        </row>
      </sheetData>
      <sheetData sheetId="3818">
        <row r="4">
          <cell r="A4" t="str">
            <v>BẢNG TÍNH TOÁN, ĐO BÓC KHỐI LƯỢNG HOÀN THÀNH ĐƯA VÀO QUYẾT TOÁN</v>
          </cell>
        </row>
      </sheetData>
      <sheetData sheetId="3819">
        <row r="4">
          <cell r="A4" t="str">
            <v>BẢNG TÍNH TOÁN, ĐO BÓC KHỐI LƯỢNG HOÀN THÀNH ĐƯA VÀO QUYẾT TOÁN</v>
          </cell>
        </row>
      </sheetData>
      <sheetData sheetId="3820">
        <row r="4">
          <cell r="A4" t="str">
            <v>BẢNG TÍNH TOÁN, ĐO BÓC KHỐI LƯỢNG HOÀN THÀNH ĐƯA VÀO QUYẾT TOÁN</v>
          </cell>
        </row>
      </sheetData>
      <sheetData sheetId="3821">
        <row r="4">
          <cell r="A4" t="str">
            <v>BẢNG TÍNH TOÁN, ĐO BÓC KHỐI LƯỢNG HOÀN THÀNH ĐƯA VÀO QUYẾT TOÁN</v>
          </cell>
        </row>
      </sheetData>
      <sheetData sheetId="3822">
        <row r="4">
          <cell r="A4" t="str">
            <v>BẢNG TÍNH TOÁN, ĐO BÓC KHỐI LƯỢNG HOÀN THÀNH ĐƯA VÀO QUYẾT TOÁN</v>
          </cell>
        </row>
      </sheetData>
      <sheetData sheetId="3823">
        <row r="4">
          <cell r="A4" t="str">
            <v>BẢNG TÍNH TOÁN, ĐO BÓC KHỐI LƯỢNG HOÀN THÀNH ĐƯA VÀO QUYẾT TOÁN</v>
          </cell>
        </row>
      </sheetData>
      <sheetData sheetId="3824">
        <row r="4">
          <cell r="A4" t="str">
            <v>BẢNG TÍNH TOÁN, ĐO BÓC KHỐI LƯỢNG HOÀN THÀNH ĐƯA VÀO QUYẾT TOÁN</v>
          </cell>
        </row>
      </sheetData>
      <sheetData sheetId="3825">
        <row r="4">
          <cell r="A4" t="str">
            <v>BẢNG TÍNH TOÁN, ĐO BÓC KHỐI LƯỢNG HOÀN THÀNH ĐƯA VÀO QUYẾT TOÁN</v>
          </cell>
        </row>
      </sheetData>
      <sheetData sheetId="3826">
        <row r="4">
          <cell r="A4" t="str">
            <v>BẢNG TÍNH TOÁN, ĐO BÓC KHỐI LƯỢNG HOÀN THÀNH ĐƯA VÀO QUYẾT TOÁN</v>
          </cell>
        </row>
      </sheetData>
      <sheetData sheetId="3827">
        <row r="4">
          <cell r="A4" t="str">
            <v>BẢNG TÍNH TOÁN, ĐO BÓC KHỐI LƯỢNG HOÀN THÀNH ĐƯA VÀO QUYẾT TOÁN</v>
          </cell>
        </row>
      </sheetData>
      <sheetData sheetId="3828">
        <row r="4">
          <cell r="A4" t="str">
            <v>BẢNG TÍNH TOÁN, ĐO BÓC KHỐI LƯỢNG HOÀN THÀNH ĐƯA VÀO QUYẾT TOÁN</v>
          </cell>
        </row>
      </sheetData>
      <sheetData sheetId="3829">
        <row r="4">
          <cell r="A4" t="str">
            <v>BẢNG TÍNH TOÁN, ĐO BÓC KHỐI LƯỢNG HOÀN THÀNH ĐƯA VÀO QUYẾT TOÁN</v>
          </cell>
        </row>
      </sheetData>
      <sheetData sheetId="3830">
        <row r="4">
          <cell r="A4" t="str">
            <v>BẢNG TÍNH TOÁN, ĐO BÓC KHỐI LƯỢNG HOÀN THÀNH ĐƯA VÀO QUYẾT TOÁN</v>
          </cell>
        </row>
      </sheetData>
      <sheetData sheetId="3831">
        <row r="4">
          <cell r="A4" t="str">
            <v>BẢNG TÍNH TOÁN, ĐO BÓC KHỐI LƯỢNG HOÀN THÀNH ĐƯA VÀO QUYẾT TOÁN</v>
          </cell>
        </row>
      </sheetData>
      <sheetData sheetId="3832">
        <row r="4">
          <cell r="A4" t="str">
            <v>BẢNG TÍNH TOÁN, ĐO BÓC KHỐI LƯỢNG HOÀN THÀNH ĐƯA VÀO QUYẾT TOÁN</v>
          </cell>
        </row>
      </sheetData>
      <sheetData sheetId="3833">
        <row r="4">
          <cell r="A4" t="str">
            <v>BẢNG TÍNH TOÁN, ĐO BÓC KHỐI LƯỢNG HOÀN THÀNH ĐƯA VÀO QUYẾT TOÁN</v>
          </cell>
        </row>
      </sheetData>
      <sheetData sheetId="3834">
        <row r="4">
          <cell r="A4" t="str">
            <v>BẢNG TÍNH TOÁN, ĐO BÓC KHỐI LƯỢNG HOÀN THÀNH ĐƯA VÀO QUYẾT TOÁN</v>
          </cell>
        </row>
      </sheetData>
      <sheetData sheetId="3835">
        <row r="4">
          <cell r="A4" t="str">
            <v>BẢNG TÍNH TOÁN, ĐO BÓC KHỐI LƯỢNG HOÀN THÀNH ĐƯA VÀO QUYẾT TOÁN</v>
          </cell>
        </row>
      </sheetData>
      <sheetData sheetId="3836">
        <row r="4">
          <cell r="A4" t="str">
            <v>BẢNG TÍNH TOÁN, ĐO BÓC KHỐI LƯỢNG HOÀN THÀNH ĐƯA VÀO QUYẾT TOÁN</v>
          </cell>
        </row>
      </sheetData>
      <sheetData sheetId="3837">
        <row r="4">
          <cell r="A4" t="str">
            <v>BẢNG TÍNH TOÁN, ĐO BÓC KHỐI LƯỢNG HOÀN THÀNH ĐƯA VÀO QUYẾT TOÁN</v>
          </cell>
        </row>
      </sheetData>
      <sheetData sheetId="3838">
        <row r="4">
          <cell r="A4" t="str">
            <v>BẢNG TÍNH TOÁN, ĐO BÓC KHỐI LƯỢNG HOÀN THÀNH ĐƯA VÀO QUYẾT TOÁN</v>
          </cell>
        </row>
      </sheetData>
      <sheetData sheetId="3839">
        <row r="4">
          <cell r="A4" t="str">
            <v>BẢNG TÍNH TOÁN, ĐO BÓC KHỐI LƯỢNG HOÀN THÀNH ĐƯA VÀO QUYẾT TOÁN</v>
          </cell>
        </row>
      </sheetData>
      <sheetData sheetId="3840">
        <row r="4">
          <cell r="A4" t="str">
            <v>BẢNG TÍNH TOÁN, ĐO BÓC KHỐI LƯỢNG HOÀN THÀNH ĐƯA VÀO QUYẾT TOÁN</v>
          </cell>
        </row>
      </sheetData>
      <sheetData sheetId="3841">
        <row r="4">
          <cell r="A4" t="str">
            <v>BẢNG TÍNH TOÁN, ĐO BÓC KHỐI LƯỢNG HOÀN THÀNH ĐƯA VÀO QUYẾT TOÁN</v>
          </cell>
        </row>
      </sheetData>
      <sheetData sheetId="3842">
        <row r="4">
          <cell r="A4" t="str">
            <v>BẢNG TÍNH TOÁN, ĐO BÓC KHỐI LƯỢNG HOÀN THÀNH ĐƯA VÀO QUYẾT TOÁN</v>
          </cell>
        </row>
      </sheetData>
      <sheetData sheetId="3843">
        <row r="4">
          <cell r="A4" t="str">
            <v>BẢNG TÍNH TOÁN, ĐO BÓC KHỐI LƯỢNG HOÀN THÀNH ĐƯA VÀO QUYẾT TOÁN</v>
          </cell>
        </row>
      </sheetData>
      <sheetData sheetId="3844">
        <row r="4">
          <cell r="A4" t="str">
            <v>BẢNG TÍNH TOÁN, ĐO BÓC KHỐI LƯỢNG HOÀN THÀNH ĐƯA VÀO QUYẾT TOÁN</v>
          </cell>
        </row>
      </sheetData>
      <sheetData sheetId="3845">
        <row r="4">
          <cell r="A4" t="str">
            <v>BẢNG TÍNH TOÁN, ĐO BÓC KHỐI LƯỢNG HOÀN THÀNH ĐƯA VÀO QUYẾT TOÁN</v>
          </cell>
        </row>
      </sheetData>
      <sheetData sheetId="3846">
        <row r="4">
          <cell r="A4" t="str">
            <v>BẢNG TÍNH TOÁN, ĐO BÓC KHỐI LƯỢNG HOÀN THÀNH ĐƯA VÀO QUYẾT TOÁN</v>
          </cell>
        </row>
      </sheetData>
      <sheetData sheetId="3847">
        <row r="4">
          <cell r="A4" t="str">
            <v>BẢNG TÍNH TOÁN, ĐO BÓC KHỐI LƯỢNG HOÀN THÀNH ĐƯA VÀO QUYẾT TOÁN</v>
          </cell>
        </row>
      </sheetData>
      <sheetData sheetId="3848">
        <row r="4">
          <cell r="A4" t="str">
            <v>BẢNG TÍNH TOÁN, ĐO BÓC KHỐI LƯỢNG HOÀN THÀNH ĐƯA VÀO QUYẾT TOÁN</v>
          </cell>
        </row>
      </sheetData>
      <sheetData sheetId="3849">
        <row r="4">
          <cell r="A4" t="str">
            <v>BẢNG TÍNH TOÁN, ĐO BÓC KHỐI LƯỢNG HOÀN THÀNH ĐƯA VÀO QUYẾT TOÁN</v>
          </cell>
        </row>
      </sheetData>
      <sheetData sheetId="3850">
        <row r="4">
          <cell r="A4" t="str">
            <v>BẢNG TÍNH TOÁN, ĐO BÓC KHỐI LƯỢNG HOÀN THÀNH ĐƯA VÀO QUYẾT TOÁN</v>
          </cell>
        </row>
      </sheetData>
      <sheetData sheetId="3851">
        <row r="4">
          <cell r="A4" t="str">
            <v>BẢNG TÍNH TOÁN, ĐO BÓC KHỐI LƯỢNG HOÀN THÀNH ĐƯA VÀO QUYẾT TOÁN</v>
          </cell>
        </row>
      </sheetData>
      <sheetData sheetId="3852">
        <row r="4">
          <cell r="A4" t="str">
            <v>BẢNG TÍNH TOÁN, ĐO BÓC KHỐI LƯỢNG HOÀN THÀNH ĐƯA VÀO QUYẾT TOÁN</v>
          </cell>
        </row>
      </sheetData>
      <sheetData sheetId="3853">
        <row r="4">
          <cell r="A4" t="str">
            <v>BẢNG TÍNH TOÁN, ĐO BÓC KHỐI LƯỢNG HOÀN THÀNH ĐƯA VÀO QUYẾT TOÁN</v>
          </cell>
        </row>
      </sheetData>
      <sheetData sheetId="3854">
        <row r="4">
          <cell r="A4" t="str">
            <v>BẢNG TÍNH TOÁN, ĐO BÓC KHỐI LƯỢNG HOÀN THÀNH ĐƯA VÀO QUYẾT TOÁN</v>
          </cell>
        </row>
      </sheetData>
      <sheetData sheetId="3855">
        <row r="4">
          <cell r="A4" t="str">
            <v>BẢNG TÍNH TOÁN, ĐO BÓC KHỐI LƯỢNG HOÀN THÀNH ĐƯA VÀO QUYẾT TOÁN</v>
          </cell>
        </row>
      </sheetData>
      <sheetData sheetId="3856">
        <row r="4">
          <cell r="A4" t="str">
            <v>BẢNG TÍNH TOÁN, ĐO BÓC KHỐI LƯỢNG HOÀN THÀNH ĐƯA VÀO QUYẾT TOÁN</v>
          </cell>
        </row>
      </sheetData>
      <sheetData sheetId="3857">
        <row r="4">
          <cell r="A4" t="str">
            <v>BẢNG TÍNH TOÁN, ĐO BÓC KHỐI LƯỢNG HOÀN THÀNH ĐƯA VÀO QUYẾT TOÁN</v>
          </cell>
        </row>
      </sheetData>
      <sheetData sheetId="3858">
        <row r="4">
          <cell r="A4" t="str">
            <v>BẢNG TÍNH TOÁN, ĐO BÓC KHỐI LƯỢNG HOÀN THÀNH ĐƯA VÀO QUYẾT TOÁN</v>
          </cell>
        </row>
      </sheetData>
      <sheetData sheetId="3859">
        <row r="4">
          <cell r="A4" t="str">
            <v>BẢNG TÍNH TOÁN, ĐO BÓC KHỐI LƯỢNG HOÀN THÀNH ĐƯA VÀO QUYẾT TOÁN</v>
          </cell>
        </row>
      </sheetData>
      <sheetData sheetId="3860">
        <row r="4">
          <cell r="A4" t="str">
            <v>BẢNG TÍNH TOÁN, ĐO BÓC KHỐI LƯỢNG HOÀN THÀNH ĐƯA VÀO QUYẾT TOÁN</v>
          </cell>
        </row>
      </sheetData>
      <sheetData sheetId="3861">
        <row r="4">
          <cell r="A4" t="str">
            <v>BẢNG TÍNH TOÁN, ĐO BÓC KHỐI LƯỢNG HOÀN THÀNH ĐƯA VÀO QUYẾT TOÁN</v>
          </cell>
        </row>
      </sheetData>
      <sheetData sheetId="3862">
        <row r="4">
          <cell r="A4" t="str">
            <v>BẢNG TÍNH TOÁN, ĐO BÓC KHỐI LƯỢNG HOÀN THÀNH ĐƯA VÀO QUYẾT TOÁN</v>
          </cell>
        </row>
      </sheetData>
      <sheetData sheetId="3863">
        <row r="4">
          <cell r="A4" t="str">
            <v>BẢNG TÍNH TOÁN, ĐO BÓC KHỐI LƯỢNG HOÀN THÀNH ĐƯA VÀO QUYẾT TOÁN</v>
          </cell>
        </row>
      </sheetData>
      <sheetData sheetId="3864">
        <row r="4">
          <cell r="A4" t="str">
            <v>BẢNG TÍNH TOÁN, ĐO BÓC KHỐI LƯỢNG HOÀN THÀNH ĐƯA VÀO QUYẾT TOÁN</v>
          </cell>
        </row>
      </sheetData>
      <sheetData sheetId="3865">
        <row r="4">
          <cell r="A4" t="str">
            <v>BẢNG TÍNH TOÁN, ĐO BÓC KHỐI LƯỢNG HOÀN THÀNH ĐƯA VÀO QUYẾT TOÁN</v>
          </cell>
        </row>
      </sheetData>
      <sheetData sheetId="3866">
        <row r="4">
          <cell r="A4" t="str">
            <v>BẢNG TÍNH TOÁN, ĐO BÓC KHỐI LƯỢNG HOÀN THÀNH ĐƯA VÀO QUYẾT TOÁN</v>
          </cell>
        </row>
      </sheetData>
      <sheetData sheetId="3867">
        <row r="4">
          <cell r="A4" t="str">
            <v>BẢNG TÍNH TOÁN, ĐO BÓC KHỐI LƯỢNG HOÀN THÀNH ĐƯA VÀO QUYẾT TOÁN</v>
          </cell>
        </row>
      </sheetData>
      <sheetData sheetId="3868">
        <row r="4">
          <cell r="A4" t="str">
            <v>BẢNG TÍNH TOÁN, ĐO BÓC KHỐI LƯỢNG HOÀN THÀNH ĐƯA VÀO QUYẾT TOÁN</v>
          </cell>
        </row>
      </sheetData>
      <sheetData sheetId="3869">
        <row r="4">
          <cell r="A4" t="str">
            <v>BẢNG TÍNH TOÁN, ĐO BÓC KHỐI LƯỢNG HOÀN THÀNH ĐƯA VÀO QUYẾT TOÁN</v>
          </cell>
        </row>
      </sheetData>
      <sheetData sheetId="3870">
        <row r="4">
          <cell r="A4" t="str">
            <v>BẢNG TÍNH TOÁN, ĐO BÓC KHỐI LƯỢNG HOÀN THÀNH ĐƯA VÀO QUYẾT TOÁN</v>
          </cell>
        </row>
      </sheetData>
      <sheetData sheetId="3871">
        <row r="4">
          <cell r="A4" t="str">
            <v>BẢNG TÍNH TOÁN, ĐO BÓC KHỐI LƯỢNG HOÀN THÀNH ĐƯA VÀO QUYẾT TOÁN</v>
          </cell>
        </row>
      </sheetData>
      <sheetData sheetId="3872">
        <row r="4">
          <cell r="A4" t="str">
            <v>BẢNG TÍNH TOÁN, ĐO BÓC KHỐI LƯỢNG HOÀN THÀNH ĐƯA VÀO QUYẾT TOÁN</v>
          </cell>
        </row>
      </sheetData>
      <sheetData sheetId="3873">
        <row r="4">
          <cell r="A4" t="str">
            <v>BẢNG TÍNH TOÁN, ĐO BÓC KHỐI LƯỢNG HOÀN THÀNH ĐƯA VÀO QUYẾT TOÁN</v>
          </cell>
        </row>
      </sheetData>
      <sheetData sheetId="3874">
        <row r="4">
          <cell r="A4" t="str">
            <v>BẢNG TÍNH TOÁN, ĐO BÓC KHỐI LƯỢNG HOÀN THÀNH ĐƯA VÀO QUYẾT TOÁN</v>
          </cell>
        </row>
      </sheetData>
      <sheetData sheetId="3875">
        <row r="4">
          <cell r="A4" t="str">
            <v>BẢNG TÍNH TOÁN, ĐO BÓC KHỐI LƯỢNG HOÀN THÀNH ĐƯA VÀO QUYẾT TOÁN</v>
          </cell>
        </row>
      </sheetData>
      <sheetData sheetId="3876">
        <row r="4">
          <cell r="A4" t="str">
            <v>BẢNG TÍNH TOÁN, ĐO BÓC KHỐI LƯỢNG HOÀN THÀNH ĐƯA VÀO QUYẾT TOÁN</v>
          </cell>
        </row>
      </sheetData>
      <sheetData sheetId="3877">
        <row r="4">
          <cell r="A4" t="str">
            <v>BẢNG TÍNH TOÁN, ĐO BÓC KHỐI LƯỢNG HOÀN THÀNH ĐƯA VÀO QUYẾT TOÁN</v>
          </cell>
        </row>
      </sheetData>
      <sheetData sheetId="3878">
        <row r="4">
          <cell r="A4" t="str">
            <v>BẢNG TÍNH TOÁN, ĐO BÓC KHỐI LƯỢNG HOÀN THÀNH ĐƯA VÀO QUYẾT TOÁN</v>
          </cell>
        </row>
      </sheetData>
      <sheetData sheetId="3879">
        <row r="4">
          <cell r="A4" t="str">
            <v>BẢNG TÍNH TOÁN, ĐO BÓC KHỐI LƯỢNG HOÀN THÀNH ĐƯA VÀO QUYẾT TOÁN</v>
          </cell>
        </row>
      </sheetData>
      <sheetData sheetId="3880">
        <row r="4">
          <cell r="A4" t="str">
            <v>BẢNG TÍNH TOÁN, ĐO BÓC KHỐI LƯỢNG HOÀN THÀNH ĐƯA VÀO QUYẾT TOÁN</v>
          </cell>
        </row>
      </sheetData>
      <sheetData sheetId="3881">
        <row r="4">
          <cell r="A4" t="str">
            <v>BẢNG TÍNH TOÁN, ĐO BÓC KHỐI LƯỢNG HOÀN THÀNH ĐƯA VÀO QUYẾT TOÁN</v>
          </cell>
        </row>
      </sheetData>
      <sheetData sheetId="3882">
        <row r="4">
          <cell r="A4" t="str">
            <v>BẢNG TÍNH TOÁN, ĐO BÓC KHỐI LƯỢNG HOÀN THÀNH ĐƯA VÀO QUYẾT TOÁN</v>
          </cell>
        </row>
      </sheetData>
      <sheetData sheetId="3883">
        <row r="4">
          <cell r="A4" t="str">
            <v>BẢNG TÍNH TOÁN, ĐO BÓC KHỐI LƯỢNG HOÀN THÀNH ĐƯA VÀO QUYẾT TOÁN</v>
          </cell>
        </row>
      </sheetData>
      <sheetData sheetId="3884">
        <row r="4">
          <cell r="A4" t="str">
            <v>BẢNG TÍNH TOÁN, ĐO BÓC KHỐI LƯỢNG HOÀN THÀNH ĐƯA VÀO QUYẾT TOÁN</v>
          </cell>
        </row>
      </sheetData>
      <sheetData sheetId="3885">
        <row r="4">
          <cell r="A4" t="str">
            <v>BẢNG TÍNH TOÁN, ĐO BÓC KHỐI LƯỢNG HOÀN THÀNH ĐƯA VÀO QUYẾT TOÁN</v>
          </cell>
        </row>
      </sheetData>
      <sheetData sheetId="3886">
        <row r="4">
          <cell r="A4" t="str">
            <v>BẢNG TÍNH TOÁN, ĐO BÓC KHỐI LƯỢNG HOÀN THÀNH ĐƯA VÀO QUYẾT TOÁN</v>
          </cell>
        </row>
      </sheetData>
      <sheetData sheetId="3887">
        <row r="4">
          <cell r="A4" t="str">
            <v>BẢNG TÍNH TOÁN, ĐO BÓC KHỐI LƯỢNG HOÀN THÀNH ĐƯA VÀO QUYẾT TOÁN</v>
          </cell>
        </row>
      </sheetData>
      <sheetData sheetId="3888">
        <row r="4">
          <cell r="A4" t="str">
            <v>BẢNG TÍNH TOÁN, ĐO BÓC KHỐI LƯỢNG HOÀN THÀNH ĐƯA VÀO QUYẾT TOÁN</v>
          </cell>
        </row>
      </sheetData>
      <sheetData sheetId="3889">
        <row r="4">
          <cell r="A4" t="str">
            <v>BẢNG TÍNH TOÁN, ĐO BÓC KHỐI LƯỢNG HOÀN THÀNH ĐƯA VÀO QUYẾT TOÁN</v>
          </cell>
        </row>
      </sheetData>
      <sheetData sheetId="3890">
        <row r="4">
          <cell r="A4" t="str">
            <v>BẢNG TÍNH TOÁN, ĐO BÓC KHỐI LƯỢNG HOÀN THÀNH ĐƯA VÀO QUYẾT TOÁN</v>
          </cell>
        </row>
      </sheetData>
      <sheetData sheetId="3891">
        <row r="4">
          <cell r="A4" t="str">
            <v>BẢNG TÍNH TOÁN, ĐO BÓC KHỐI LƯỢNG HOÀN THÀNH ĐƯA VÀO QUYẾT TOÁN</v>
          </cell>
        </row>
      </sheetData>
      <sheetData sheetId="3892">
        <row r="4">
          <cell r="A4" t="str">
            <v>BẢNG TÍNH TOÁN, ĐO BÓC KHỐI LƯỢNG HOÀN THÀNH ĐƯA VÀO QUYẾT TOÁN</v>
          </cell>
        </row>
      </sheetData>
      <sheetData sheetId="3893">
        <row r="4">
          <cell r="A4" t="str">
            <v>BẢNG TÍNH TOÁN, ĐO BÓC KHỐI LƯỢNG HOÀN THÀNH ĐƯA VÀO QUYẾT TOÁN</v>
          </cell>
        </row>
      </sheetData>
      <sheetData sheetId="3894">
        <row r="4">
          <cell r="A4" t="str">
            <v>BẢNG TÍNH TOÁN, ĐO BÓC KHỐI LƯỢNG HOÀN THÀNH ĐƯA VÀO QUYẾT TOÁN</v>
          </cell>
        </row>
      </sheetData>
      <sheetData sheetId="3895">
        <row r="4">
          <cell r="A4" t="str">
            <v>BẢNG TÍNH TOÁN, ĐO BÓC KHỐI LƯỢNG HOÀN THÀNH ĐƯA VÀO QUYẾT TOÁN</v>
          </cell>
        </row>
      </sheetData>
      <sheetData sheetId="3896">
        <row r="4">
          <cell r="A4" t="str">
            <v>BẢNG TÍNH TOÁN, ĐO BÓC KHỐI LƯỢNG HOÀN THÀNH ĐƯA VÀO QUYẾT TOÁN</v>
          </cell>
        </row>
      </sheetData>
      <sheetData sheetId="3897">
        <row r="4">
          <cell r="A4" t="str">
            <v>BẢNG TÍNH TOÁN, ĐO BÓC KHỐI LƯỢNG HOÀN THÀNH ĐƯA VÀO QUYẾT TOÁN</v>
          </cell>
        </row>
      </sheetData>
      <sheetData sheetId="3898">
        <row r="4">
          <cell r="A4" t="str">
            <v>BẢNG TÍNH TOÁN, ĐO BÓC KHỐI LƯỢNG HOÀN THÀNH ĐƯA VÀO QUYẾT TOÁN</v>
          </cell>
        </row>
      </sheetData>
      <sheetData sheetId="3899">
        <row r="4">
          <cell r="A4" t="str">
            <v>BẢNG TÍNH TOÁN, ĐO BÓC KHỐI LƯỢNG HOÀN THÀNH ĐƯA VÀO QUYẾT TOÁN</v>
          </cell>
        </row>
      </sheetData>
      <sheetData sheetId="3900">
        <row r="4">
          <cell r="A4" t="str">
            <v>BẢNG TÍNH TOÁN, ĐO BÓC KHỐI LƯỢNG HOÀN THÀNH ĐƯA VÀO QUYẾT TOÁN</v>
          </cell>
        </row>
      </sheetData>
      <sheetData sheetId="3901">
        <row r="4">
          <cell r="A4" t="str">
            <v>BẢNG TÍNH TOÁN, ĐO BÓC KHỐI LƯỢNG HOÀN THÀNH ĐƯA VÀO QUYẾT TOÁN</v>
          </cell>
        </row>
      </sheetData>
      <sheetData sheetId="3902">
        <row r="4">
          <cell r="A4" t="str">
            <v>BẢNG TÍNH TOÁN, ĐO BÓC KHỐI LƯỢNG HOÀN THÀNH ĐƯA VÀO QUYẾT TOÁN</v>
          </cell>
        </row>
      </sheetData>
      <sheetData sheetId="3903">
        <row r="4">
          <cell r="A4" t="str">
            <v>BẢNG TÍNH TOÁN, ĐO BÓC KHỐI LƯỢNG HOÀN THÀNH ĐƯA VÀO QUYẾT TOÁN</v>
          </cell>
        </row>
      </sheetData>
      <sheetData sheetId="3904">
        <row r="4">
          <cell r="A4" t="str">
            <v>BẢNG TÍNH TOÁN, ĐO BÓC KHỐI LƯỢNG HOÀN THÀNH ĐƯA VÀO QUYẾT TOÁN</v>
          </cell>
        </row>
      </sheetData>
      <sheetData sheetId="3905">
        <row r="4">
          <cell r="A4" t="str">
            <v>BẢNG TÍNH TOÁN, ĐO BÓC KHỐI LƯỢNG HOÀN THÀNH ĐƯA VÀO QUYẾT TOÁN</v>
          </cell>
        </row>
      </sheetData>
      <sheetData sheetId="3906">
        <row r="4">
          <cell r="A4" t="str">
            <v>BẢNG TÍNH TOÁN, ĐO BÓC KHỐI LƯỢNG HOÀN THÀNH ĐƯA VÀO QUYẾT TOÁN</v>
          </cell>
        </row>
      </sheetData>
      <sheetData sheetId="3907">
        <row r="4">
          <cell r="A4" t="str">
            <v>BẢNG TÍNH TOÁN, ĐO BÓC KHỐI LƯỢNG HOÀN THÀNH ĐƯA VÀO QUYẾT TOÁN</v>
          </cell>
        </row>
      </sheetData>
      <sheetData sheetId="3908">
        <row r="4">
          <cell r="A4" t="str">
            <v>BẢNG TÍNH TOÁN, ĐO BÓC KHỐI LƯỢNG HOÀN THÀNH ĐƯA VÀO QUYẾT TOÁN</v>
          </cell>
        </row>
      </sheetData>
      <sheetData sheetId="3909">
        <row r="4">
          <cell r="A4" t="str">
            <v>BẢNG TÍNH TOÁN, ĐO BÓC KHỐI LƯỢNG HOÀN THÀNH ĐƯA VÀO QUYẾT TOÁN</v>
          </cell>
        </row>
      </sheetData>
      <sheetData sheetId="3910">
        <row r="4">
          <cell r="A4" t="str">
            <v>BẢNG TÍNH TOÁN, ĐO BÓC KHỐI LƯỢNG HOÀN THÀNH ĐƯA VÀO QUYẾT TOÁN</v>
          </cell>
        </row>
      </sheetData>
      <sheetData sheetId="3911">
        <row r="4">
          <cell r="A4" t="str">
            <v>BẢNG TÍNH TOÁN, ĐO BÓC KHỐI LƯỢNG HOÀN THÀNH ĐƯA VÀO QUYẾT TOÁN</v>
          </cell>
        </row>
      </sheetData>
      <sheetData sheetId="3912">
        <row r="4">
          <cell r="A4" t="str">
            <v>BẢNG TÍNH TOÁN, ĐO BÓC KHỐI LƯỢNG HOÀN THÀNH ĐƯA VÀO QUYẾT TOÁN</v>
          </cell>
        </row>
      </sheetData>
      <sheetData sheetId="3913">
        <row r="4">
          <cell r="A4" t="str">
            <v>BẢNG TÍNH TOÁN, ĐO BÓC KHỐI LƯỢNG HOÀN THÀNH ĐƯA VÀO QUYẾT TOÁN</v>
          </cell>
        </row>
      </sheetData>
      <sheetData sheetId="3914">
        <row r="4">
          <cell r="A4" t="str">
            <v>BẢNG TÍNH TOÁN, ĐO BÓC KHỐI LƯỢNG HOÀN THÀNH ĐƯA VÀO QUYẾT TOÁN</v>
          </cell>
        </row>
      </sheetData>
      <sheetData sheetId="3915">
        <row r="4">
          <cell r="A4" t="str">
            <v>BẢNG TÍNH TOÁN, ĐO BÓC KHỐI LƯỢNG HOÀN THÀNH ĐƯA VÀO QUYẾT TOÁN</v>
          </cell>
        </row>
      </sheetData>
      <sheetData sheetId="3916">
        <row r="4">
          <cell r="A4" t="str">
            <v>BẢNG TÍNH TOÁN, ĐO BÓC KHỐI LƯỢNG HOÀN THÀNH ĐƯA VÀO QUYẾT TOÁN</v>
          </cell>
        </row>
      </sheetData>
      <sheetData sheetId="3917">
        <row r="4">
          <cell r="A4" t="str">
            <v>BẢNG TÍNH TOÁN, ĐO BÓC KHỐI LƯỢNG HOÀN THÀNH ĐƯA VÀO QUYẾT TOÁN</v>
          </cell>
        </row>
      </sheetData>
      <sheetData sheetId="3918">
        <row r="4">
          <cell r="A4" t="str">
            <v>BẢNG TÍNH TOÁN, ĐO BÓC KHỐI LƯỢNG HOÀN THÀNH ĐƯA VÀO QUYẾT TOÁN</v>
          </cell>
        </row>
      </sheetData>
      <sheetData sheetId="3919">
        <row r="4">
          <cell r="A4" t="str">
            <v>BẢNG TÍNH TOÁN, ĐO BÓC KHỐI LƯỢNG HOÀN THÀNH ĐƯA VÀO QUYẾT TOÁN</v>
          </cell>
        </row>
      </sheetData>
      <sheetData sheetId="3920">
        <row r="4">
          <cell r="A4" t="str">
            <v>BẢNG TÍNH TOÁN, ĐO BÓC KHỐI LƯỢNG HOÀN THÀNH ĐƯA VÀO QUYẾT TOÁN</v>
          </cell>
        </row>
      </sheetData>
      <sheetData sheetId="3921">
        <row r="4">
          <cell r="A4" t="str">
            <v>BẢNG TÍNH TOÁN, ĐO BÓC KHỐI LƯỢNG HOÀN THÀNH ĐƯA VÀO QUYẾT TOÁN</v>
          </cell>
        </row>
      </sheetData>
      <sheetData sheetId="3922">
        <row r="4">
          <cell r="A4" t="str">
            <v>BẢNG TÍNH TOÁN, ĐO BÓC KHỐI LƯỢNG HOÀN THÀNH ĐƯA VÀO QUYẾT TOÁN</v>
          </cell>
        </row>
      </sheetData>
      <sheetData sheetId="3923">
        <row r="4">
          <cell r="A4" t="str">
            <v>BẢNG TÍNH TOÁN, ĐO BÓC KHỐI LƯỢNG HOÀN THÀNH ĐƯA VÀO QUYẾT TOÁN</v>
          </cell>
        </row>
      </sheetData>
      <sheetData sheetId="3924">
        <row r="4">
          <cell r="A4" t="str">
            <v>BẢNG TÍNH TOÁN, ĐO BÓC KHỐI LƯỢNG HOÀN THÀNH ĐƯA VÀO QUYẾT TOÁN</v>
          </cell>
        </row>
      </sheetData>
      <sheetData sheetId="3925">
        <row r="4">
          <cell r="A4" t="str">
            <v>BẢNG TÍNH TOÁN, ĐO BÓC KHỐI LƯỢNG HOÀN THÀNH ĐƯA VÀO QUYẾT TOÁN</v>
          </cell>
        </row>
      </sheetData>
      <sheetData sheetId="3926">
        <row r="4">
          <cell r="A4" t="str">
            <v>BẢNG TÍNH TOÁN, ĐO BÓC KHỐI LƯỢNG HOÀN THÀNH ĐƯA VÀO QUYẾT TOÁN</v>
          </cell>
        </row>
      </sheetData>
      <sheetData sheetId="3927">
        <row r="4">
          <cell r="A4" t="str">
            <v>BẢNG TÍNH TOÁN, ĐO BÓC KHỐI LƯỢNG HOÀN THÀNH ĐƯA VÀO QUYẾT TOÁN</v>
          </cell>
        </row>
      </sheetData>
      <sheetData sheetId="3928">
        <row r="4">
          <cell r="A4" t="str">
            <v>BẢNG TÍNH TOÁN, ĐO BÓC KHỐI LƯỢNG HOÀN THÀNH ĐƯA VÀO QUYẾT TOÁN</v>
          </cell>
        </row>
      </sheetData>
      <sheetData sheetId="3929">
        <row r="4">
          <cell r="A4" t="str">
            <v>BẢNG TÍNH TOÁN, ĐO BÓC KHỐI LƯỢNG HOÀN THÀNH ĐƯA VÀO QUYẾT TOÁN</v>
          </cell>
        </row>
      </sheetData>
      <sheetData sheetId="3930">
        <row r="4">
          <cell r="A4" t="str">
            <v>BẢNG TÍNH TOÁN, ĐO BÓC KHỐI LƯỢNG HOÀN THÀNH ĐƯA VÀO QUYẾT TOÁN</v>
          </cell>
        </row>
      </sheetData>
      <sheetData sheetId="3931">
        <row r="4">
          <cell r="A4" t="str">
            <v>BẢNG TÍNH TOÁN, ĐO BÓC KHỐI LƯỢNG HOÀN THÀNH ĐƯA VÀO QUYẾT TOÁN</v>
          </cell>
        </row>
      </sheetData>
      <sheetData sheetId="3932">
        <row r="4">
          <cell r="A4" t="str">
            <v>BẢNG TÍNH TOÁN, ĐO BÓC KHỐI LƯỢNG HOÀN THÀNH ĐƯA VÀO QUYẾT TOÁN</v>
          </cell>
        </row>
      </sheetData>
      <sheetData sheetId="3933">
        <row r="4">
          <cell r="A4" t="str">
            <v>BẢNG TÍNH TOÁN, ĐO BÓC KHỐI LƯỢNG HOÀN THÀNH ĐƯA VÀO QUYẾT TOÁN</v>
          </cell>
        </row>
      </sheetData>
      <sheetData sheetId="3934">
        <row r="4">
          <cell r="A4" t="str">
            <v>BẢNG TÍNH TOÁN, ĐO BÓC KHỐI LƯỢNG HOÀN THÀNH ĐƯA VÀO QUYẾT TOÁN</v>
          </cell>
        </row>
      </sheetData>
      <sheetData sheetId="3935">
        <row r="4">
          <cell r="A4" t="str">
            <v>BẢNG TÍNH TOÁN, ĐO BÓC KHỐI LƯỢNG HOÀN THÀNH ĐƯA VÀO QUYẾT TOÁN</v>
          </cell>
        </row>
      </sheetData>
      <sheetData sheetId="3936">
        <row r="4">
          <cell r="A4" t="str">
            <v>BẢNG TÍNH TOÁN, ĐO BÓC KHỐI LƯỢNG HOÀN THÀNH ĐƯA VÀO QUYẾT TOÁN</v>
          </cell>
        </row>
      </sheetData>
      <sheetData sheetId="3937">
        <row r="4">
          <cell r="A4" t="str">
            <v>BẢNG TÍNH TOÁN, ĐO BÓC KHỐI LƯỢNG HOÀN THÀNH ĐƯA VÀO QUYẾT TOÁN</v>
          </cell>
        </row>
      </sheetData>
      <sheetData sheetId="3938">
        <row r="4">
          <cell r="A4" t="str">
            <v>BẢNG TÍNH TOÁN, ĐO BÓC KHỐI LƯỢNG HOÀN THÀNH ĐƯA VÀO QUYẾT TOÁN</v>
          </cell>
        </row>
      </sheetData>
      <sheetData sheetId="3939">
        <row r="4">
          <cell r="A4" t="str">
            <v>BẢNG TÍNH TOÁN, ĐO BÓC KHỐI LƯỢNG HOÀN THÀNH ĐƯA VÀO QUYẾT TOÁN</v>
          </cell>
        </row>
      </sheetData>
      <sheetData sheetId="3940">
        <row r="4">
          <cell r="A4" t="str">
            <v>BẢNG TÍNH TOÁN, ĐO BÓC KHỐI LƯỢNG HOÀN THÀNH ĐƯA VÀO QUYẾT TOÁN</v>
          </cell>
        </row>
      </sheetData>
      <sheetData sheetId="3941">
        <row r="4">
          <cell r="A4" t="str">
            <v>BẢNG TÍNH TOÁN, ĐO BÓC KHỐI LƯỢNG HOÀN THÀNH ĐƯA VÀO QUYẾT TOÁN</v>
          </cell>
        </row>
      </sheetData>
      <sheetData sheetId="3942">
        <row r="4">
          <cell r="A4" t="str">
            <v>BẢNG TÍNH TOÁN, ĐO BÓC KHỐI LƯỢNG HOÀN THÀNH ĐƯA VÀO QUYẾT TOÁN</v>
          </cell>
        </row>
      </sheetData>
      <sheetData sheetId="3943">
        <row r="4">
          <cell r="A4" t="str">
            <v>BẢNG TÍNH TOÁN, ĐO BÓC KHỐI LƯỢNG HOÀN THÀNH ĐƯA VÀO QUYẾT TOÁN</v>
          </cell>
        </row>
      </sheetData>
      <sheetData sheetId="3944">
        <row r="4">
          <cell r="A4" t="str">
            <v>BẢNG TÍNH TOÁN, ĐO BÓC KHỐI LƯỢNG HOÀN THÀNH ĐƯA VÀO QUYẾT TOÁN</v>
          </cell>
        </row>
      </sheetData>
      <sheetData sheetId="3945">
        <row r="4">
          <cell r="A4" t="str">
            <v>BẢNG TÍNH TOÁN, ĐO BÓC KHỐI LƯỢNG HOÀN THÀNH ĐƯA VÀO QUYẾT TOÁN</v>
          </cell>
        </row>
      </sheetData>
      <sheetData sheetId="3946">
        <row r="4">
          <cell r="A4" t="str">
            <v>BẢNG TÍNH TOÁN, ĐO BÓC KHỐI LƯỢNG HOÀN THÀNH ĐƯA VÀO QUYẾT TOÁN</v>
          </cell>
        </row>
      </sheetData>
      <sheetData sheetId="3947">
        <row r="4">
          <cell r="A4" t="str">
            <v>BẢNG TÍNH TOÁN, ĐO BÓC KHỐI LƯỢNG HOÀN THÀNH ĐƯA VÀO QUYẾT TOÁN</v>
          </cell>
        </row>
      </sheetData>
      <sheetData sheetId="3948">
        <row r="4">
          <cell r="A4" t="str">
            <v>BẢNG TÍNH TOÁN, ĐO BÓC KHỐI LƯỢNG HOÀN THÀNH ĐƯA VÀO QUYẾT TOÁN</v>
          </cell>
        </row>
      </sheetData>
      <sheetData sheetId="3949">
        <row r="4">
          <cell r="A4" t="str">
            <v>BẢNG TÍNH TOÁN, ĐO BÓC KHỐI LƯỢNG HOÀN THÀNH ĐƯA VÀO QUYẾT TOÁN</v>
          </cell>
        </row>
      </sheetData>
      <sheetData sheetId="3950">
        <row r="4">
          <cell r="A4" t="str">
            <v>BẢNG TÍNH TOÁN, ĐO BÓC KHỐI LƯỢNG HOÀN THÀNH ĐƯA VÀO QUYẾT TOÁN</v>
          </cell>
        </row>
      </sheetData>
      <sheetData sheetId="3951">
        <row r="4">
          <cell r="A4" t="str">
            <v>BẢNG TÍNH TOÁN, ĐO BÓC KHỐI LƯỢNG HOÀN THÀNH ĐƯA VÀO QUYẾT TOÁN</v>
          </cell>
        </row>
      </sheetData>
      <sheetData sheetId="3952">
        <row r="4">
          <cell r="A4" t="str">
            <v>BẢNG TÍNH TOÁN, ĐO BÓC KHỐI LƯỢNG HOÀN THÀNH ĐƯA VÀO QUYẾT TOÁN</v>
          </cell>
        </row>
      </sheetData>
      <sheetData sheetId="3953">
        <row r="4">
          <cell r="A4" t="str">
            <v>BẢNG TÍNH TOÁN, ĐO BÓC KHỐI LƯỢNG HOÀN THÀNH ĐƯA VÀO QUYẾT TOÁN</v>
          </cell>
        </row>
      </sheetData>
      <sheetData sheetId="3954">
        <row r="4">
          <cell r="A4" t="str">
            <v>BẢNG TÍNH TOÁN, ĐO BÓC KHỐI LƯỢNG HOÀN THÀNH ĐƯA VÀO QUYẾT TOÁN</v>
          </cell>
        </row>
      </sheetData>
      <sheetData sheetId="3955">
        <row r="4">
          <cell r="A4" t="str">
            <v>BẢNG TÍNH TOÁN, ĐO BÓC KHỐI LƯỢNG HOÀN THÀNH ĐƯA VÀO QUYẾT TOÁN</v>
          </cell>
        </row>
      </sheetData>
      <sheetData sheetId="3956">
        <row r="4">
          <cell r="A4" t="str">
            <v>BẢNG TÍNH TOÁN, ĐO BÓC KHỐI LƯỢNG HOÀN THÀNH ĐƯA VÀO QUYẾT TOÁN</v>
          </cell>
        </row>
      </sheetData>
      <sheetData sheetId="3957">
        <row r="4">
          <cell r="A4" t="str">
            <v>BẢNG TÍNH TOÁN, ĐO BÓC KHỐI LƯỢNG HOÀN THÀNH ĐƯA VÀO QUYẾT TOÁN</v>
          </cell>
        </row>
      </sheetData>
      <sheetData sheetId="3958">
        <row r="4">
          <cell r="A4" t="str">
            <v>BẢNG TÍNH TOÁN, ĐO BÓC KHỐI LƯỢNG HOÀN THÀNH ĐƯA VÀO QUYẾT TOÁN</v>
          </cell>
        </row>
      </sheetData>
      <sheetData sheetId="3959">
        <row r="4">
          <cell r="A4" t="str">
            <v>BẢNG TÍNH TOÁN, ĐO BÓC KHỐI LƯỢNG HOÀN THÀNH ĐƯA VÀO QUYẾT TOÁN</v>
          </cell>
        </row>
      </sheetData>
      <sheetData sheetId="3960">
        <row r="4">
          <cell r="A4" t="str">
            <v>BẢNG TÍNH TOÁN, ĐO BÓC KHỐI LƯỢNG HOÀN THÀNH ĐƯA VÀO QUYẾT TOÁN</v>
          </cell>
        </row>
      </sheetData>
      <sheetData sheetId="3961">
        <row r="4">
          <cell r="A4" t="str">
            <v>BẢNG TÍNH TOÁN, ĐO BÓC KHỐI LƯỢNG HOÀN THÀNH ĐƯA VÀO QUYẾT TOÁN</v>
          </cell>
        </row>
      </sheetData>
      <sheetData sheetId="3962">
        <row r="4">
          <cell r="A4" t="str">
            <v>BẢNG TÍNH TOÁN, ĐO BÓC KHỐI LƯỢNG HOÀN THÀNH ĐƯA VÀO QUYẾT TOÁN</v>
          </cell>
        </row>
      </sheetData>
      <sheetData sheetId="3963">
        <row r="4">
          <cell r="A4" t="str">
            <v>BẢNG TÍNH TOÁN, ĐO BÓC KHỐI LƯỢNG HOÀN THÀNH ĐƯA VÀO QUYẾT TOÁN</v>
          </cell>
        </row>
      </sheetData>
      <sheetData sheetId="3964">
        <row r="4">
          <cell r="A4" t="str">
            <v>BẢNG TÍNH TOÁN, ĐO BÓC KHỐI LƯỢNG HOÀN THÀNH ĐƯA VÀO QUYẾT TOÁN</v>
          </cell>
        </row>
      </sheetData>
      <sheetData sheetId="3965">
        <row r="4">
          <cell r="A4" t="str">
            <v>BẢNG TÍNH TOÁN, ĐO BÓC KHỐI LƯỢNG HOÀN THÀNH ĐƯA VÀO QUYẾT TOÁN</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ow r="4">
          <cell r="A4" t="str">
            <v>BẢNG TÍNH TOÁN, ĐO BÓC KHỐI LƯỢNG HOÀN THÀNH ĐƯA VÀO QUYẾT TOÁN</v>
          </cell>
        </row>
      </sheetData>
      <sheetData sheetId="3994">
        <row r="4">
          <cell r="A4" t="str">
            <v>BẢNG TÍNH TOÁN, ĐO BÓC KHỐI LƯỢNG HOÀN THÀNH ĐƯA VÀO QUYẾT TOÁN</v>
          </cell>
        </row>
      </sheetData>
      <sheetData sheetId="3995">
        <row r="4">
          <cell r="A4" t="str">
            <v>BẢNG TÍNH TOÁN, ĐO BÓC KHỐI LƯỢNG HOÀN THÀNH ĐƯA VÀO QUYẾT TOÁN</v>
          </cell>
        </row>
      </sheetData>
      <sheetData sheetId="3996">
        <row r="4">
          <cell r="A4" t="str">
            <v>BẢNG TÍNH TOÁN, ĐO BÓC KHỐI LƯỢNG HOÀN THÀNH ĐƯA VÀO QUYẾT TOÁN</v>
          </cell>
        </row>
      </sheetData>
      <sheetData sheetId="3997">
        <row r="4">
          <cell r="A4" t="str">
            <v>BẢNG TÍNH TOÁN, ĐO BÓC KHỐI LƯỢNG HOÀN THÀNH ĐƯA VÀO QUYẾT TOÁN</v>
          </cell>
        </row>
      </sheetData>
      <sheetData sheetId="3998">
        <row r="4">
          <cell r="A4" t="str">
            <v>BẢNG TÍNH TOÁN, ĐO BÓC KHỐI LƯỢNG HOÀN THÀNH ĐƯA VÀO QUYẾT TOÁN</v>
          </cell>
        </row>
      </sheetData>
      <sheetData sheetId="3999">
        <row r="4">
          <cell r="A4" t="str">
            <v>BẢNG TÍNH TOÁN, ĐO BÓC KHỐI LƯỢNG HOÀN THÀNH ĐƯA VÀO QUYẾT TOÁN</v>
          </cell>
        </row>
      </sheetData>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ow r="9">
          <cell r="A9" t="str">
            <v>A</v>
          </cell>
        </row>
      </sheetData>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ow r="4">
          <cell r="A4" t="str">
            <v>BẢNG TÍNH TOÁN, ĐO BÓC KHỐI LƯỢNG HOÀN THÀNH ĐƯA VÀO QUYẾT TOÁN</v>
          </cell>
        </row>
      </sheetData>
      <sheetData sheetId="4061">
        <row r="4">
          <cell r="A4" t="str">
            <v>BẢNG TÍNH TOÁN, ĐO BÓC KHỐI LƯỢNG HOÀN THÀNH ĐƯA VÀO QUYẾT TOÁN</v>
          </cell>
        </row>
      </sheetData>
      <sheetData sheetId="4062">
        <row r="4">
          <cell r="A4" t="str">
            <v>BẢNG TÍNH TOÁN, ĐO BÓC KHỐI LƯỢNG HOÀN THÀNH ĐƯA VÀO QUYẾT TOÁN</v>
          </cell>
        </row>
      </sheetData>
      <sheetData sheetId="4063">
        <row r="4">
          <cell r="A4" t="str">
            <v>BẢNG TÍNH TOÁN, ĐO BÓC KHỐI LƯỢNG HOÀN THÀNH ĐƯA VÀO QUYẾT TOÁN</v>
          </cell>
        </row>
      </sheetData>
      <sheetData sheetId="4064">
        <row r="4">
          <cell r="A4" t="str">
            <v>BẢNG TÍNH TOÁN, ĐO BÓC KHỐI LƯỢNG HOÀN THÀNH ĐƯA VÀO QUYẾT TOÁN</v>
          </cell>
        </row>
      </sheetData>
      <sheetData sheetId="4065" refreshError="1"/>
      <sheetData sheetId="4066" refreshError="1"/>
      <sheetData sheetId="4067" refreshError="1"/>
      <sheetData sheetId="4068" refreshError="1"/>
      <sheetData sheetId="4069"/>
      <sheetData sheetId="4070">
        <row r="9">
          <cell r="A9" t="str">
            <v>A</v>
          </cell>
        </row>
      </sheetData>
      <sheetData sheetId="4071">
        <row r="9">
          <cell r="A9" t="str">
            <v>A</v>
          </cell>
        </row>
      </sheetData>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ow r="9">
          <cell r="A9" t="str">
            <v>A</v>
          </cell>
        </row>
      </sheetData>
      <sheetData sheetId="4097">
        <row r="4">
          <cell r="A4" t="str">
            <v>BẢNG TÍNH TOÁN, ĐO BÓC KHỐI LƯỢNG HOÀN THÀNH ĐƯA VÀO QUYẾT TOÁN</v>
          </cell>
        </row>
      </sheetData>
      <sheetData sheetId="4098">
        <row r="4">
          <cell r="A4" t="str">
            <v>BẢNG TÍNH TOÁN, ĐO BÓC KHỐI LƯỢNG HOÀN THÀNH ĐƯA VÀO QUYẾT TOÁN</v>
          </cell>
        </row>
      </sheetData>
      <sheetData sheetId="4099">
        <row r="4">
          <cell r="A4" t="str">
            <v>BẢNG TÍNH TOÁN, ĐO BÓC KHỐI LƯỢNG HOÀN THÀNH ĐƯA VÀO QUYẾT TOÁN</v>
          </cell>
        </row>
      </sheetData>
      <sheetData sheetId="4100">
        <row r="4">
          <cell r="A4" t="str">
            <v>BẢNG TÍNH TOÁN, ĐO BÓC KHỐI LƯỢNG HOÀN THÀNH ĐƯA VÀO QUYẾT TOÁN</v>
          </cell>
        </row>
      </sheetData>
      <sheetData sheetId="4101">
        <row r="4">
          <cell r="A4" t="str">
            <v>BẢNG TÍNH TOÁN, ĐO BÓC KHỐI LƯỢNG HOÀN THÀNH ĐƯA VÀO QUYẾT TOÁN</v>
          </cell>
        </row>
      </sheetData>
      <sheetData sheetId="4102">
        <row r="4">
          <cell r="A4" t="str">
            <v>BẢNG TÍNH TOÁN, ĐO BÓC KHỐI LƯỢNG HOÀN THÀNH ĐƯA VÀO QUYẾT TOÁN</v>
          </cell>
        </row>
      </sheetData>
      <sheetData sheetId="4103">
        <row r="4">
          <cell r="A4" t="str">
            <v>BẢNG TÍNH TOÁN, ĐO BÓC KHỐI LƯỢNG HOÀN THÀNH ĐƯA VÀO QUYẾT TOÁN</v>
          </cell>
        </row>
      </sheetData>
      <sheetData sheetId="4104">
        <row r="4">
          <cell r="A4" t="str">
            <v>BẢNG TÍNH TOÁN, ĐO BÓC KHỐI LƯỢNG HOÀN THÀNH ĐƯA VÀO QUYẾT TOÁN</v>
          </cell>
        </row>
      </sheetData>
      <sheetData sheetId="4105">
        <row r="4">
          <cell r="A4" t="str">
            <v>BẢNG TÍNH TOÁN, ĐO BÓC KHỐI LƯỢNG HOÀN THÀNH ĐƯA VÀO QUYẾT TOÁN</v>
          </cell>
        </row>
      </sheetData>
      <sheetData sheetId="4106">
        <row r="4">
          <cell r="A4" t="str">
            <v>BẢNG TÍNH TOÁN, ĐO BÓC KHỐI LƯỢNG HOÀN THÀNH ĐƯA VÀO QUYẾT TOÁN</v>
          </cell>
        </row>
      </sheetData>
      <sheetData sheetId="4107">
        <row r="4">
          <cell r="A4" t="str">
            <v>BẢNG TÍNH TOÁN, ĐO BÓC KHỐI LƯỢNG HOÀN THÀNH ĐƯA VÀO QUYẾT TOÁN</v>
          </cell>
        </row>
      </sheetData>
      <sheetData sheetId="4108">
        <row r="4">
          <cell r="A4" t="str">
            <v>BẢNG TÍNH TOÁN, ĐO BÓC KHỐI LƯỢNG HOÀN THÀNH ĐƯA VÀO QUYẾT TOÁN</v>
          </cell>
        </row>
      </sheetData>
      <sheetData sheetId="4109">
        <row r="4">
          <cell r="A4" t="str">
            <v>BẢNG TÍNH TOÁN, ĐO BÓC KHỐI LƯỢNG HOÀN THÀNH ĐƯA VÀO QUYẾT TOÁN</v>
          </cell>
        </row>
      </sheetData>
      <sheetData sheetId="4110">
        <row r="4">
          <cell r="A4" t="str">
            <v>BẢNG TÍNH TOÁN, ĐO BÓC KHỐI LƯỢNG HOÀN THÀNH ĐƯA VÀO QUYẾT TOÁN</v>
          </cell>
        </row>
      </sheetData>
      <sheetData sheetId="4111">
        <row r="4">
          <cell r="A4" t="str">
            <v>BẢNG TÍNH TOÁN, ĐO BÓC KHỐI LƯỢNG HOÀN THÀNH ĐƯA VÀO QUYẾT TOÁN</v>
          </cell>
        </row>
      </sheetData>
      <sheetData sheetId="4112">
        <row r="4">
          <cell r="A4" t="str">
            <v>BẢNG TÍNH TOÁN, ĐO BÓC KHỐI LƯỢNG HOÀN THÀNH ĐƯA VÀO QUYẾT TOÁN</v>
          </cell>
        </row>
      </sheetData>
      <sheetData sheetId="4113">
        <row r="4">
          <cell r="A4" t="str">
            <v>BẢNG TÍNH TOÁN, ĐO BÓC KHỐI LƯỢNG HOÀN THÀNH ĐƯA VÀO QUYẾT TOÁN</v>
          </cell>
        </row>
      </sheetData>
      <sheetData sheetId="4114">
        <row r="4">
          <cell r="A4" t="str">
            <v>BẢNG TÍNH TOÁN, ĐO BÓC KHỐI LƯỢNG HOÀN THÀNH ĐƯA VÀO QUYẾT TOÁN</v>
          </cell>
        </row>
      </sheetData>
      <sheetData sheetId="4115">
        <row r="4">
          <cell r="A4" t="str">
            <v>BẢNG TÍNH TOÁN, ĐO BÓC KHỐI LƯỢNG HOÀN THÀNH ĐƯA VÀO QUYẾT TOÁN</v>
          </cell>
        </row>
      </sheetData>
      <sheetData sheetId="4116">
        <row r="4">
          <cell r="A4" t="str">
            <v>BẢNG TÍNH TOÁN, ĐO BÓC KHỐI LƯỢNG HOÀN THÀNH ĐƯA VÀO QUYẾT TOÁN</v>
          </cell>
        </row>
      </sheetData>
      <sheetData sheetId="4117">
        <row r="4">
          <cell r="A4" t="str">
            <v>BẢNG TÍNH TOÁN, ĐO BÓC KHỐI LƯỢNG HOÀN THÀNH ĐƯA VÀO QUYẾT TOÁN</v>
          </cell>
        </row>
      </sheetData>
      <sheetData sheetId="4118">
        <row r="4">
          <cell r="A4" t="str">
            <v>BẢNG TÍNH TOÁN, ĐO BÓC KHỐI LƯỢNG HOÀN THÀNH ĐƯA VÀO QUYẾT TOÁN</v>
          </cell>
        </row>
      </sheetData>
      <sheetData sheetId="4119">
        <row r="4">
          <cell r="A4" t="str">
            <v>BẢNG TÍNH TOÁN, ĐO BÓC KHỐI LƯỢNG HOÀN THÀNH ĐƯA VÀO QUYẾT TOÁN</v>
          </cell>
        </row>
      </sheetData>
      <sheetData sheetId="4120">
        <row r="4">
          <cell r="A4" t="str">
            <v>BẢNG TÍNH TOÁN, ĐO BÓC KHỐI LƯỢNG HOÀN THÀNH ĐƯA VÀO QUYẾT TOÁN</v>
          </cell>
        </row>
      </sheetData>
      <sheetData sheetId="4121">
        <row r="4">
          <cell r="A4" t="str">
            <v>BẢNG TÍNH TOÁN, ĐO BÓC KHỐI LƯỢNG HOÀN THÀNH ĐƯA VÀO QUYẾT TOÁN</v>
          </cell>
        </row>
      </sheetData>
      <sheetData sheetId="4122">
        <row r="4">
          <cell r="A4" t="str">
            <v>BẢNG TÍNH TOÁN, ĐO BÓC KHỐI LƯỢNG HOÀN THÀNH ĐƯA VÀO QUYẾT TOÁN</v>
          </cell>
        </row>
      </sheetData>
      <sheetData sheetId="4123">
        <row r="4">
          <cell r="A4" t="str">
            <v>BẢNG TÍNH TOÁN, ĐO BÓC KHỐI LƯỢNG HOÀN THÀNH ĐƯA VÀO QUYẾT TOÁN</v>
          </cell>
        </row>
      </sheetData>
      <sheetData sheetId="4124">
        <row r="4">
          <cell r="A4" t="str">
            <v>BẢNG TÍNH TOÁN, ĐO BÓC KHỐI LƯỢNG HOÀN THÀNH ĐƯA VÀO QUYẾT TOÁN</v>
          </cell>
        </row>
      </sheetData>
      <sheetData sheetId="4125">
        <row r="4">
          <cell r="A4" t="str">
            <v>BẢNG TÍNH TOÁN, ĐO BÓC KHỐI LƯỢNG HOÀN THÀNH ĐƯA VÀO QUYẾT TOÁN</v>
          </cell>
        </row>
      </sheetData>
      <sheetData sheetId="4126">
        <row r="4">
          <cell r="A4" t="str">
            <v>BẢNG TÍNH TOÁN, ĐO BÓC KHỐI LƯỢNG HOÀN THÀNH ĐƯA VÀO QUYẾT TOÁN</v>
          </cell>
        </row>
      </sheetData>
      <sheetData sheetId="4127">
        <row r="4">
          <cell r="A4" t="str">
            <v>BẢNG TÍNH TOÁN, ĐO BÓC KHỐI LƯỢNG HOÀN THÀNH ĐƯA VÀO QUYẾT TOÁN</v>
          </cell>
        </row>
      </sheetData>
      <sheetData sheetId="4128">
        <row r="4">
          <cell r="A4" t="str">
            <v>BẢNG TÍNH TOÁN, ĐO BÓC KHỐI LƯỢNG HOÀN THÀNH ĐƯA VÀO QUYẾT TOÁN</v>
          </cell>
        </row>
      </sheetData>
      <sheetData sheetId="4129">
        <row r="4">
          <cell r="A4" t="str">
            <v>BẢNG TÍNH TOÁN, ĐO BÓC KHỐI LƯỢNG HOÀN THÀNH ĐƯA VÀO QUYẾT TOÁN</v>
          </cell>
        </row>
      </sheetData>
      <sheetData sheetId="4130">
        <row r="4">
          <cell r="A4" t="str">
            <v>BẢNG TÍNH TOÁN, ĐO BÓC KHỐI LƯỢNG HOÀN THÀNH ĐƯA VÀO QUYẾT TOÁN</v>
          </cell>
        </row>
      </sheetData>
      <sheetData sheetId="4131">
        <row r="4">
          <cell r="A4" t="str">
            <v>BẢNG TÍNH TOÁN, ĐO BÓC KHỐI LƯỢNG HOÀN THÀNH ĐƯA VÀO QUYẾT TOÁN</v>
          </cell>
        </row>
      </sheetData>
      <sheetData sheetId="4132">
        <row r="4">
          <cell r="A4" t="str">
            <v>BẢNG TÍNH TOÁN, ĐO BÓC KHỐI LƯỢNG HOÀN THÀNH ĐƯA VÀO QUYẾT TOÁN</v>
          </cell>
        </row>
      </sheetData>
      <sheetData sheetId="4133">
        <row r="4">
          <cell r="A4" t="str">
            <v>BẢNG TÍNH TOÁN, ĐO BÓC KHỐI LƯỢNG HOÀN THÀNH ĐƯA VÀO QUYẾT TOÁN</v>
          </cell>
        </row>
      </sheetData>
      <sheetData sheetId="4134">
        <row r="4">
          <cell r="A4" t="str">
            <v>BẢNG TÍNH TOÁN, ĐO BÓC KHỐI LƯỢNG HOÀN THÀNH ĐƯA VÀO QUYẾT TOÁN</v>
          </cell>
        </row>
      </sheetData>
      <sheetData sheetId="4135">
        <row r="4">
          <cell r="A4" t="str">
            <v>BẢNG TÍNH TOÁN, ĐO BÓC KHỐI LƯỢNG HOÀN THÀNH ĐƯA VÀO QUYẾT TOÁN</v>
          </cell>
        </row>
      </sheetData>
      <sheetData sheetId="4136">
        <row r="4">
          <cell r="A4" t="str">
            <v>BẢNG TÍNH TOÁN, ĐO BÓC KHỐI LƯỢNG HOÀN THÀNH ĐƯA VÀO QUYẾT TOÁN</v>
          </cell>
        </row>
      </sheetData>
      <sheetData sheetId="4137">
        <row r="4">
          <cell r="A4" t="str">
            <v>BẢNG TÍNH TOÁN, ĐO BÓC KHỐI LƯỢNG HOÀN THÀNH ĐƯA VÀO QUYẾT TOÁN</v>
          </cell>
        </row>
      </sheetData>
      <sheetData sheetId="4138">
        <row r="4">
          <cell r="A4" t="str">
            <v>BẢNG TÍNH TOÁN, ĐO BÓC KHỐI LƯỢNG HOÀN THÀNH ĐƯA VÀO QUYẾT TOÁN</v>
          </cell>
        </row>
      </sheetData>
      <sheetData sheetId="4139">
        <row r="4">
          <cell r="A4" t="str">
            <v>BẢNG TÍNH TOÁN, ĐO BÓC KHỐI LƯỢNG HOÀN THÀNH ĐƯA VÀO QUYẾT TOÁN</v>
          </cell>
        </row>
      </sheetData>
      <sheetData sheetId="4140">
        <row r="4">
          <cell r="A4" t="str">
            <v>BẢNG TÍNH TOÁN, ĐO BÓC KHỐI LƯỢNG HOÀN THÀNH ĐƯA VÀO QUYẾT TOÁN</v>
          </cell>
        </row>
      </sheetData>
      <sheetData sheetId="4141">
        <row r="4">
          <cell r="A4" t="str">
            <v>BẢNG TÍNH TOÁN, ĐO BÓC KHỐI LƯỢNG HOÀN THÀNH ĐƯA VÀO QUYẾT TOÁN</v>
          </cell>
        </row>
      </sheetData>
      <sheetData sheetId="4142">
        <row r="4">
          <cell r="A4" t="str">
            <v>BẢNG TÍNH TOÁN, ĐO BÓC KHỐI LƯỢNG HOÀN THÀNH ĐƯA VÀO QUYẾT TOÁN</v>
          </cell>
        </row>
      </sheetData>
      <sheetData sheetId="4143">
        <row r="4">
          <cell r="A4" t="str">
            <v>BẢNG TÍNH TOÁN, ĐO BÓC KHỐI LƯỢNG HOÀN THÀNH ĐƯA VÀO QUYẾT TOÁN</v>
          </cell>
        </row>
      </sheetData>
      <sheetData sheetId="4144">
        <row r="4">
          <cell r="A4" t="str">
            <v>BẢNG TÍNH TOÁN, ĐO BÓC KHỐI LƯỢNG HOÀN THÀNH ĐƯA VÀO QUYẾT TOÁN</v>
          </cell>
        </row>
      </sheetData>
      <sheetData sheetId="4145">
        <row r="4">
          <cell r="A4" t="str">
            <v>BẢNG TÍNH TOÁN, ĐO BÓC KHỐI LƯỢNG HOÀN THÀNH ĐƯA VÀO QUYẾT TOÁN</v>
          </cell>
        </row>
      </sheetData>
      <sheetData sheetId="4146">
        <row r="4">
          <cell r="A4" t="str">
            <v>BẢNG TÍNH TOÁN, ĐO BÓC KHỐI LƯỢNG HOÀN THÀNH ĐƯA VÀO QUYẾT TOÁN</v>
          </cell>
        </row>
      </sheetData>
      <sheetData sheetId="4147">
        <row r="4">
          <cell r="A4" t="str">
            <v>BẢNG TÍNH TOÁN, ĐO BÓC KHỐI LƯỢNG HOÀN THÀNH ĐƯA VÀO QUYẾT TOÁN</v>
          </cell>
        </row>
      </sheetData>
      <sheetData sheetId="4148">
        <row r="4">
          <cell r="A4" t="str">
            <v>BẢNG TÍNH TOÁN, ĐO BÓC KHỐI LƯỢNG HOÀN THÀNH ĐƯA VÀO QUYẾT TOÁN</v>
          </cell>
        </row>
      </sheetData>
      <sheetData sheetId="4149">
        <row r="4">
          <cell r="A4" t="str">
            <v>BẢNG TÍNH TOÁN, ĐO BÓC KHỐI LƯỢNG HOÀN THÀNH ĐƯA VÀO QUYẾT TOÁN</v>
          </cell>
        </row>
      </sheetData>
      <sheetData sheetId="4150">
        <row r="4">
          <cell r="A4" t="str">
            <v>BẢNG TÍNH TOÁN, ĐO BÓC KHỐI LƯỢNG HOÀN THÀNH ĐƯA VÀO QUYẾT TOÁN</v>
          </cell>
        </row>
      </sheetData>
      <sheetData sheetId="4151">
        <row r="4">
          <cell r="A4" t="str">
            <v>BẢNG TÍNH TOÁN, ĐO BÓC KHỐI LƯỢNG HOÀN THÀNH ĐƯA VÀO QUYẾT TOÁN</v>
          </cell>
        </row>
      </sheetData>
      <sheetData sheetId="4152">
        <row r="4">
          <cell r="A4" t="str">
            <v>BẢNG TÍNH TOÁN, ĐO BÓC KHỐI LƯỢNG HOÀN THÀNH ĐƯA VÀO QUYẾT TOÁN</v>
          </cell>
        </row>
      </sheetData>
      <sheetData sheetId="4153">
        <row r="4">
          <cell r="A4" t="str">
            <v>BẢNG TÍNH TOÁN, ĐO BÓC KHỐI LƯỢNG HOÀN THÀNH ĐƯA VÀO QUYẾT TOÁN</v>
          </cell>
        </row>
      </sheetData>
      <sheetData sheetId="4154">
        <row r="4">
          <cell r="A4" t="str">
            <v>BẢNG TÍNH TOÁN, ĐO BÓC KHỐI LƯỢNG HOÀN THÀNH ĐƯA VÀO QUYẾT TOÁN</v>
          </cell>
        </row>
      </sheetData>
      <sheetData sheetId="4155">
        <row r="4">
          <cell r="A4" t="str">
            <v>BẢNG TÍNH TOÁN, ĐO BÓC KHỐI LƯỢNG HOÀN THÀNH ĐƯA VÀO QUYẾT TOÁN</v>
          </cell>
        </row>
      </sheetData>
      <sheetData sheetId="4156">
        <row r="4">
          <cell r="A4" t="str">
            <v>BẢNG TÍNH TOÁN, ĐO BÓC KHỐI LƯỢNG HOÀN THÀNH ĐƯA VÀO QUYẾT TOÁN</v>
          </cell>
        </row>
      </sheetData>
      <sheetData sheetId="4157">
        <row r="4">
          <cell r="A4" t="str">
            <v>BẢNG TÍNH TOÁN, ĐO BÓC KHỐI LƯỢNG HOÀN THÀNH ĐƯA VÀO QUYẾT TOÁN</v>
          </cell>
        </row>
      </sheetData>
      <sheetData sheetId="4158">
        <row r="4">
          <cell r="A4" t="str">
            <v>BẢNG TÍNH TOÁN, ĐO BÓC KHỐI LƯỢNG HOÀN THÀNH ĐƯA VÀO QUYẾT TOÁN</v>
          </cell>
        </row>
      </sheetData>
      <sheetData sheetId="4159">
        <row r="4">
          <cell r="A4" t="str">
            <v>BẢNG TÍNH TOÁN, ĐO BÓC KHỐI LƯỢNG HOÀN THÀNH ĐƯA VÀO QUYẾT TOÁN</v>
          </cell>
        </row>
      </sheetData>
      <sheetData sheetId="4160">
        <row r="4">
          <cell r="A4" t="str">
            <v>BẢNG TÍNH TOÁN, ĐO BÓC KHỐI LƯỢNG HOÀN THÀNH ĐƯA VÀO QUYẾT TOÁN</v>
          </cell>
        </row>
      </sheetData>
      <sheetData sheetId="4161">
        <row r="4">
          <cell r="A4" t="str">
            <v>BẢNG TÍNH TOÁN, ĐO BÓC KHỐI LƯỢNG HOÀN THÀNH ĐƯA VÀO QUYẾT TOÁN</v>
          </cell>
        </row>
      </sheetData>
      <sheetData sheetId="4162">
        <row r="4">
          <cell r="A4" t="str">
            <v>BẢNG TÍNH TOÁN, ĐO BÓC KHỐI LƯỢNG HOÀN THÀNH ĐƯA VÀO QUYẾT TOÁN</v>
          </cell>
        </row>
      </sheetData>
      <sheetData sheetId="4163">
        <row r="4">
          <cell r="A4" t="str">
            <v>BẢNG TÍNH TOÁN, ĐO BÓC KHỐI LƯỢNG HOÀN THÀNH ĐƯA VÀO QUYẾT TOÁN</v>
          </cell>
        </row>
      </sheetData>
      <sheetData sheetId="4164">
        <row r="4">
          <cell r="A4" t="str">
            <v>BẢNG TÍNH TOÁN, ĐO BÓC KHỐI LƯỢNG HOÀN THÀNH ĐƯA VÀO QUYẾT TOÁN</v>
          </cell>
        </row>
      </sheetData>
      <sheetData sheetId="4165">
        <row r="4">
          <cell r="A4" t="str">
            <v>BẢNG TÍNH TOÁN, ĐO BÓC KHỐI LƯỢNG HOÀN THÀNH ĐƯA VÀO QUYẾT TOÁN</v>
          </cell>
        </row>
      </sheetData>
      <sheetData sheetId="4166">
        <row r="4">
          <cell r="A4" t="str">
            <v>BẢNG TÍNH TOÁN, ĐO BÓC KHỐI LƯỢNG HOÀN THÀNH ĐƯA VÀO QUYẾT TOÁN</v>
          </cell>
        </row>
      </sheetData>
      <sheetData sheetId="4167">
        <row r="4">
          <cell r="A4" t="str">
            <v>BẢNG TÍNH TOÁN, ĐO BÓC KHỐI LƯỢNG HOÀN THÀNH ĐƯA VÀO QUYẾT TOÁN</v>
          </cell>
        </row>
      </sheetData>
      <sheetData sheetId="4168">
        <row r="4">
          <cell r="A4" t="str">
            <v>BẢNG TÍNH TOÁN, ĐO BÓC KHỐI LƯỢNG HOÀN THÀNH ĐƯA VÀO QUYẾT TOÁN</v>
          </cell>
        </row>
      </sheetData>
      <sheetData sheetId="4169">
        <row r="4">
          <cell r="A4" t="str">
            <v>BẢNG TÍNH TOÁN, ĐO BÓC KHỐI LƯỢNG HOÀN THÀNH ĐƯA VÀO QUYẾT TOÁN</v>
          </cell>
        </row>
      </sheetData>
      <sheetData sheetId="4170">
        <row r="4">
          <cell r="A4" t="str">
            <v>BẢNG TÍNH TOÁN, ĐO BÓC KHỐI LƯỢNG HOÀN THÀNH ĐƯA VÀO QUYẾT TOÁN</v>
          </cell>
        </row>
      </sheetData>
      <sheetData sheetId="4171">
        <row r="4">
          <cell r="A4" t="str">
            <v>BẢNG TÍNH TOÁN, ĐO BÓC KHỐI LƯỢNG HOÀN THÀNH ĐƯA VÀO QUYẾT TOÁN</v>
          </cell>
        </row>
      </sheetData>
      <sheetData sheetId="4172">
        <row r="4">
          <cell r="A4" t="str">
            <v>BẢNG TÍNH TOÁN, ĐO BÓC KHỐI LƯỢNG HOÀN THÀNH ĐƯA VÀO QUYẾT TOÁN</v>
          </cell>
        </row>
      </sheetData>
      <sheetData sheetId="4173">
        <row r="4">
          <cell r="A4" t="str">
            <v>BẢNG TÍNH TOÁN, ĐO BÓC KHỐI LƯỢNG HOÀN THÀNH ĐƯA VÀO QUYẾT TOÁN</v>
          </cell>
        </row>
      </sheetData>
      <sheetData sheetId="4174">
        <row r="4">
          <cell r="A4" t="str">
            <v>BẢNG TÍNH TOÁN, ĐO BÓC KHỐI LƯỢNG HOÀN THÀNH ĐƯA VÀO QUYẾT TOÁN</v>
          </cell>
        </row>
      </sheetData>
      <sheetData sheetId="4175">
        <row r="4">
          <cell r="A4" t="str">
            <v>BẢNG TÍNH TOÁN, ĐO BÓC KHỐI LƯỢNG HOÀN THÀNH ĐƯA VÀO QUYẾT TOÁN</v>
          </cell>
        </row>
      </sheetData>
      <sheetData sheetId="4176">
        <row r="4">
          <cell r="A4" t="str">
            <v>BẢNG TÍNH TOÁN, ĐO BÓC KHỐI LƯỢNG HOÀN THÀNH ĐƯA VÀO QUYẾT TOÁN</v>
          </cell>
        </row>
      </sheetData>
      <sheetData sheetId="4177">
        <row r="4">
          <cell r="A4" t="str">
            <v>BẢNG TÍNH TOÁN, ĐO BÓC KHỐI LƯỢNG HOÀN THÀNH ĐƯA VÀO QUYẾT TOÁN</v>
          </cell>
        </row>
      </sheetData>
      <sheetData sheetId="4178">
        <row r="4">
          <cell r="A4" t="str">
            <v>BẢNG TÍNH TOÁN, ĐO BÓC KHỐI LƯỢNG HOÀN THÀNH ĐƯA VÀO QUYẾT TOÁN</v>
          </cell>
        </row>
      </sheetData>
      <sheetData sheetId="4179">
        <row r="4">
          <cell r="A4" t="str">
            <v>BẢNG TÍNH TOÁN, ĐO BÓC KHỐI LƯỢNG HOÀN THÀNH ĐƯA VÀO QUYẾT TOÁN</v>
          </cell>
        </row>
      </sheetData>
      <sheetData sheetId="4180">
        <row r="4">
          <cell r="A4" t="str">
            <v>BẢNG TÍNH TOÁN, ĐO BÓC KHỐI LƯỢNG HOÀN THÀNH ĐƯA VÀO QUYẾT TOÁN</v>
          </cell>
        </row>
      </sheetData>
      <sheetData sheetId="4181">
        <row r="4">
          <cell r="A4" t="str">
            <v>BẢNG TÍNH TOÁN, ĐO BÓC KHỐI LƯỢNG HOÀN THÀNH ĐƯA VÀO QUYẾT TOÁN</v>
          </cell>
        </row>
      </sheetData>
      <sheetData sheetId="4182">
        <row r="4">
          <cell r="A4" t="str">
            <v>BẢNG TÍNH TOÁN, ĐO BÓC KHỐI LƯỢNG HOÀN THÀNH ĐƯA VÀO QUYẾT TOÁN</v>
          </cell>
        </row>
      </sheetData>
      <sheetData sheetId="4183">
        <row r="4">
          <cell r="A4" t="str">
            <v>BẢNG TÍNH TOÁN, ĐO BÓC KHỐI LƯỢNG HOÀN THÀNH ĐƯA VÀO QUYẾT TOÁN</v>
          </cell>
        </row>
      </sheetData>
      <sheetData sheetId="4184">
        <row r="4">
          <cell r="A4" t="str">
            <v>BẢNG TÍNH TOÁN, ĐO BÓC KHỐI LƯỢNG HOÀN THÀNH ĐƯA VÀO QUYẾT TOÁN</v>
          </cell>
        </row>
      </sheetData>
      <sheetData sheetId="4185">
        <row r="4">
          <cell r="A4" t="str">
            <v>BẢNG TÍNH TOÁN, ĐO BÓC KHỐI LƯỢNG HOÀN THÀNH ĐƯA VÀO QUYẾT TOÁN</v>
          </cell>
        </row>
      </sheetData>
      <sheetData sheetId="4186">
        <row r="4">
          <cell r="A4" t="str">
            <v>BẢNG TÍNH TOÁN, ĐO BÓC KHỐI LƯỢNG HOÀN THÀNH ĐƯA VÀO QUYẾT TOÁN</v>
          </cell>
        </row>
      </sheetData>
      <sheetData sheetId="4187">
        <row r="4">
          <cell r="A4" t="str">
            <v>BẢNG TÍNH TOÁN, ĐO BÓC KHỐI LƯỢNG HOÀN THÀNH ĐƯA VÀO QUYẾT TOÁN</v>
          </cell>
        </row>
      </sheetData>
      <sheetData sheetId="4188">
        <row r="4">
          <cell r="A4" t="str">
            <v>BẢNG TÍNH TOÁN, ĐO BÓC KHỐI LƯỢNG HOÀN THÀNH ĐƯA VÀO QUYẾT TOÁN</v>
          </cell>
        </row>
      </sheetData>
      <sheetData sheetId="4189">
        <row r="4">
          <cell r="A4" t="str">
            <v>BẢNG TÍNH TOÁN, ĐO BÓC KHỐI LƯỢNG HOÀN THÀNH ĐƯA VÀO QUYẾT TOÁN</v>
          </cell>
        </row>
      </sheetData>
      <sheetData sheetId="4190">
        <row r="4">
          <cell r="A4" t="str">
            <v>BẢNG TÍNH TOÁN, ĐO BÓC KHỐI LƯỢNG HOÀN THÀNH ĐƯA VÀO QUYẾT TOÁN</v>
          </cell>
        </row>
      </sheetData>
      <sheetData sheetId="4191">
        <row r="4">
          <cell r="A4" t="str">
            <v>BẢNG TÍNH TOÁN, ĐO BÓC KHỐI LƯỢNG HOÀN THÀNH ĐƯA VÀO QUYẾT TOÁN</v>
          </cell>
        </row>
      </sheetData>
      <sheetData sheetId="4192">
        <row r="4">
          <cell r="A4" t="str">
            <v>BẢNG TÍNH TOÁN, ĐO BÓC KHỐI LƯỢNG HOÀN THÀNH ĐƯA VÀO QUYẾT TOÁN</v>
          </cell>
        </row>
      </sheetData>
      <sheetData sheetId="4193">
        <row r="4">
          <cell r="A4" t="str">
            <v>BẢNG TÍNH TOÁN, ĐO BÓC KHỐI LƯỢNG HOÀN THÀNH ĐƯA VÀO QUYẾT TOÁN</v>
          </cell>
        </row>
      </sheetData>
      <sheetData sheetId="4194">
        <row r="4">
          <cell r="A4" t="str">
            <v>BẢNG TÍNH TOÁN, ĐO BÓC KHỐI LƯỢNG HOÀN THÀNH ĐƯA VÀO QUYẾT TOÁN</v>
          </cell>
        </row>
      </sheetData>
      <sheetData sheetId="4195">
        <row r="4">
          <cell r="A4" t="str">
            <v>BẢNG TÍNH TOÁN, ĐO BÓC KHỐI LƯỢNG HOÀN THÀNH ĐƯA VÀO QUYẾT TOÁN</v>
          </cell>
        </row>
      </sheetData>
      <sheetData sheetId="4196">
        <row r="4">
          <cell r="A4" t="str">
            <v>BẢNG TÍNH TOÁN, ĐO BÓC KHỐI LƯỢNG HOÀN THÀNH ĐƯA VÀO QUYẾT TOÁN</v>
          </cell>
        </row>
      </sheetData>
      <sheetData sheetId="4197">
        <row r="4">
          <cell r="A4" t="str">
            <v>BẢNG TÍNH TOÁN, ĐO BÓC KHỐI LƯỢNG HOÀN THÀNH ĐƯA VÀO QUYẾT TOÁN</v>
          </cell>
        </row>
      </sheetData>
      <sheetData sheetId="4198">
        <row r="4">
          <cell r="A4" t="str">
            <v>BẢNG TÍNH TOÁN, ĐO BÓC KHỐI LƯỢNG HOÀN THÀNH ĐƯA VÀO QUYẾT TOÁN</v>
          </cell>
        </row>
      </sheetData>
      <sheetData sheetId="4199">
        <row r="4">
          <cell r="A4" t="str">
            <v>BẢNG TÍNH TOÁN, ĐO BÓC KHỐI LƯỢNG HOÀN THÀNH ĐƯA VÀO QUYẾT TOÁN</v>
          </cell>
        </row>
      </sheetData>
      <sheetData sheetId="4200">
        <row r="4">
          <cell r="A4" t="str">
            <v>BẢNG TÍNH TOÁN, ĐO BÓC KHỐI LƯỢNG HOÀN THÀNH ĐƯA VÀO QUYẾT TOÁN</v>
          </cell>
        </row>
      </sheetData>
      <sheetData sheetId="4201">
        <row r="4">
          <cell r="A4" t="str">
            <v>BẢNG TÍNH TOÁN, ĐO BÓC KHỐI LƯỢNG HOÀN THÀNH ĐƯA VÀO QUYẾT TOÁN</v>
          </cell>
        </row>
      </sheetData>
      <sheetData sheetId="4202">
        <row r="4">
          <cell r="A4" t="str">
            <v>BẢNG TÍNH TOÁN, ĐO BÓC KHỐI LƯỢNG HOÀN THÀNH ĐƯA VÀO QUYẾT TOÁN</v>
          </cell>
        </row>
      </sheetData>
      <sheetData sheetId="4203">
        <row r="4">
          <cell r="A4" t="str">
            <v>BẢNG TÍNH TOÁN, ĐO BÓC KHỐI LƯỢNG HOÀN THÀNH ĐƯA VÀO QUYẾT TOÁN</v>
          </cell>
        </row>
      </sheetData>
      <sheetData sheetId="4204">
        <row r="4">
          <cell r="A4" t="str">
            <v>BẢNG TÍNH TOÁN, ĐO BÓC KHỐI LƯỢNG HOÀN THÀNH ĐƯA VÀO QUYẾT TOÁN</v>
          </cell>
        </row>
      </sheetData>
      <sheetData sheetId="4205">
        <row r="4">
          <cell r="A4" t="str">
            <v>BẢNG TÍNH TOÁN, ĐO BÓC KHỐI LƯỢNG HOÀN THÀNH ĐƯA VÀO QUYẾT TOÁN</v>
          </cell>
        </row>
      </sheetData>
      <sheetData sheetId="4206">
        <row r="4">
          <cell r="A4" t="str">
            <v>BẢNG TÍNH TOÁN, ĐO BÓC KHỐI LƯỢNG HOÀN THÀNH ĐƯA VÀO QUYẾT TOÁN</v>
          </cell>
        </row>
      </sheetData>
      <sheetData sheetId="4207">
        <row r="4">
          <cell r="A4" t="str">
            <v>BẢNG TÍNH TOÁN, ĐO BÓC KHỐI LƯỢNG HOÀN THÀNH ĐƯA VÀO QUYẾT TOÁN</v>
          </cell>
        </row>
      </sheetData>
      <sheetData sheetId="4208">
        <row r="4">
          <cell r="A4" t="str">
            <v>BẢNG TÍNH TOÁN, ĐO BÓC KHỐI LƯỢNG HOÀN THÀNH ĐƯA VÀO QUYẾT TOÁN</v>
          </cell>
        </row>
      </sheetData>
      <sheetData sheetId="4209">
        <row r="4">
          <cell r="A4" t="str">
            <v>BẢNG TÍNH TOÁN, ĐO BÓC KHỐI LƯỢNG HOÀN THÀNH ĐƯA VÀO QUYẾT TOÁN</v>
          </cell>
        </row>
      </sheetData>
      <sheetData sheetId="4210">
        <row r="4">
          <cell r="A4" t="str">
            <v>BẢNG TÍNH TOÁN, ĐO BÓC KHỐI LƯỢNG HOÀN THÀNH ĐƯA VÀO QUYẾT TOÁN</v>
          </cell>
        </row>
      </sheetData>
      <sheetData sheetId="4211">
        <row r="4">
          <cell r="A4" t="str">
            <v>BẢNG TÍNH TOÁN, ĐO BÓC KHỐI LƯỢNG HOÀN THÀNH ĐƯA VÀO QUYẾT TOÁN</v>
          </cell>
        </row>
      </sheetData>
      <sheetData sheetId="4212">
        <row r="4">
          <cell r="A4" t="str">
            <v>BẢNG TÍNH TOÁN, ĐO BÓC KHỐI LƯỢNG HOÀN THÀNH ĐƯA VÀO QUYẾT TOÁN</v>
          </cell>
        </row>
      </sheetData>
      <sheetData sheetId="4213">
        <row r="4">
          <cell r="A4" t="str">
            <v>BẢNG TÍNH TOÁN, ĐO BÓC KHỐI LƯỢNG HOÀN THÀNH ĐƯA VÀO QUYẾT TOÁN</v>
          </cell>
        </row>
      </sheetData>
      <sheetData sheetId="4214">
        <row r="4">
          <cell r="A4" t="str">
            <v>BẢNG TÍNH TOÁN, ĐO BÓC KHỐI LƯỢNG HOÀN THÀNH ĐƯA VÀO QUYẾT TOÁN</v>
          </cell>
        </row>
      </sheetData>
      <sheetData sheetId="4215">
        <row r="4">
          <cell r="A4" t="str">
            <v>BẢNG TÍNH TOÁN, ĐO BÓC KHỐI LƯỢNG HOÀN THÀNH ĐƯA VÀO QUYẾT TOÁN</v>
          </cell>
        </row>
      </sheetData>
      <sheetData sheetId="4216">
        <row r="4">
          <cell r="A4" t="str">
            <v>BẢNG TÍNH TOÁN, ĐO BÓC KHỐI LƯỢNG HOÀN THÀNH ĐƯA VÀO QUYẾT TOÁN</v>
          </cell>
        </row>
      </sheetData>
      <sheetData sheetId="4217">
        <row r="4">
          <cell r="A4" t="str">
            <v>BẢNG TÍNH TOÁN, ĐO BÓC KHỐI LƯỢNG HOÀN THÀNH ĐƯA VÀO QUYẾT TOÁN</v>
          </cell>
        </row>
      </sheetData>
      <sheetData sheetId="4218">
        <row r="4">
          <cell r="A4" t="str">
            <v>BẢNG TÍNH TOÁN, ĐO BÓC KHỐI LƯỢNG HOÀN THÀNH ĐƯA VÀO QUYẾT TOÁN</v>
          </cell>
        </row>
      </sheetData>
      <sheetData sheetId="4219">
        <row r="4">
          <cell r="A4" t="str">
            <v>BẢNG TÍNH TOÁN, ĐO BÓC KHỐI LƯỢNG HOÀN THÀNH ĐƯA VÀO QUYẾT TOÁN</v>
          </cell>
        </row>
      </sheetData>
      <sheetData sheetId="4220">
        <row r="4">
          <cell r="A4" t="str">
            <v>BẢNG TÍNH TOÁN, ĐO BÓC KHỐI LƯỢNG HOÀN THÀNH ĐƯA VÀO QUYẾT TOÁN</v>
          </cell>
        </row>
      </sheetData>
      <sheetData sheetId="4221">
        <row r="4">
          <cell r="A4" t="str">
            <v>BẢNG TÍNH TOÁN, ĐO BÓC KHỐI LƯỢNG HOÀN THÀNH ĐƯA VÀO QUYẾT TOÁN</v>
          </cell>
        </row>
      </sheetData>
      <sheetData sheetId="4222">
        <row r="4">
          <cell r="A4" t="str">
            <v>BẢNG TÍNH TOÁN, ĐO BÓC KHỐI LƯỢNG HOÀN THÀNH ĐƯA VÀO QUYẾT TOÁN</v>
          </cell>
        </row>
      </sheetData>
      <sheetData sheetId="4223">
        <row r="4">
          <cell r="A4" t="str">
            <v>BẢNG TÍNH TOÁN, ĐO BÓC KHỐI LƯỢNG HOÀN THÀNH ĐƯA VÀO QUYẾT TOÁN</v>
          </cell>
        </row>
      </sheetData>
      <sheetData sheetId="4224">
        <row r="4">
          <cell r="A4" t="str">
            <v>BẢNG TÍNH TOÁN, ĐO BÓC KHỐI LƯỢNG HOÀN THÀNH ĐƯA VÀO QUYẾT TOÁN</v>
          </cell>
        </row>
      </sheetData>
      <sheetData sheetId="4225">
        <row r="4">
          <cell r="A4" t="str">
            <v>BẢNG TÍNH TOÁN, ĐO BÓC KHỐI LƯỢNG HOÀN THÀNH ĐƯA VÀO QUYẾT TOÁN</v>
          </cell>
        </row>
      </sheetData>
      <sheetData sheetId="4226">
        <row r="4">
          <cell r="A4" t="str">
            <v>BẢNG TÍNH TOÁN, ĐO BÓC KHỐI LƯỢNG HOÀN THÀNH ĐƯA VÀO QUYẾT TOÁN</v>
          </cell>
        </row>
      </sheetData>
      <sheetData sheetId="4227">
        <row r="4">
          <cell r="A4" t="str">
            <v>BẢNG TÍNH TOÁN, ĐO BÓC KHỐI LƯỢNG HOÀN THÀNH ĐƯA VÀO QUYẾT TOÁN</v>
          </cell>
        </row>
      </sheetData>
      <sheetData sheetId="4228">
        <row r="4">
          <cell r="A4" t="str">
            <v>BẢNG TÍNH TOÁN, ĐO BÓC KHỐI LƯỢNG HOÀN THÀNH ĐƯA VÀO QUYẾT TOÁN</v>
          </cell>
        </row>
      </sheetData>
      <sheetData sheetId="4229">
        <row r="4">
          <cell r="A4" t="str">
            <v>BẢNG TÍNH TOÁN, ĐO BÓC KHỐI LƯỢNG HOÀN THÀNH ĐƯA VÀO QUYẾT TOÁN</v>
          </cell>
        </row>
      </sheetData>
      <sheetData sheetId="4230">
        <row r="4">
          <cell r="A4" t="str">
            <v>BẢNG TÍNH TOÁN, ĐO BÓC KHỐI LƯỢNG HOÀN THÀNH ĐƯA VÀO QUYẾT TOÁN</v>
          </cell>
        </row>
      </sheetData>
      <sheetData sheetId="4231">
        <row r="4">
          <cell r="A4" t="str">
            <v>BẢNG TÍNH TOÁN, ĐO BÓC KHỐI LƯỢNG HOÀN THÀNH ĐƯA VÀO QUYẾT TOÁN</v>
          </cell>
        </row>
      </sheetData>
      <sheetData sheetId="4232">
        <row r="4">
          <cell r="A4" t="str">
            <v>BẢNG TÍNH TOÁN, ĐO BÓC KHỐI LƯỢNG HOÀN THÀNH ĐƯA VÀO QUYẾT TOÁN</v>
          </cell>
        </row>
      </sheetData>
      <sheetData sheetId="4233">
        <row r="4">
          <cell r="A4" t="str">
            <v>BẢNG TÍNH TOÁN, ĐO BÓC KHỐI LƯỢNG HOÀN THÀNH ĐƯA VÀO QUYẾT TOÁN</v>
          </cell>
        </row>
      </sheetData>
      <sheetData sheetId="4234">
        <row r="4">
          <cell r="A4" t="str">
            <v>BẢNG TÍNH TOÁN, ĐO BÓC KHỐI LƯỢNG HOÀN THÀNH ĐƯA VÀO QUYẾT TOÁN</v>
          </cell>
        </row>
      </sheetData>
      <sheetData sheetId="4235">
        <row r="4">
          <cell r="A4" t="str">
            <v>BẢNG TÍNH TOÁN, ĐO BÓC KHỐI LƯỢNG HOÀN THÀNH ĐƯA VÀO QUYẾT TOÁN</v>
          </cell>
        </row>
      </sheetData>
      <sheetData sheetId="4236">
        <row r="4">
          <cell r="A4" t="str">
            <v>BẢNG TÍNH TOÁN, ĐO BÓC KHỐI LƯỢNG HOÀN THÀNH ĐƯA VÀO QUYẾT TOÁN</v>
          </cell>
        </row>
      </sheetData>
      <sheetData sheetId="4237">
        <row r="4">
          <cell r="A4" t="str">
            <v>BẢNG TÍNH TOÁN, ĐO BÓC KHỐI LƯỢNG HOÀN THÀNH ĐƯA VÀO QUYẾT TOÁN</v>
          </cell>
        </row>
      </sheetData>
      <sheetData sheetId="4238">
        <row r="4">
          <cell r="A4" t="str">
            <v>BẢNG TÍNH TOÁN, ĐO BÓC KHỐI LƯỢNG HOÀN THÀNH ĐƯA VÀO QUYẾT TOÁN</v>
          </cell>
        </row>
      </sheetData>
      <sheetData sheetId="4239">
        <row r="4">
          <cell r="A4" t="str">
            <v>BẢNG TÍNH TOÁN, ĐO BÓC KHỐI LƯỢNG HOÀN THÀNH ĐƯA VÀO QUYẾT TOÁN</v>
          </cell>
        </row>
      </sheetData>
      <sheetData sheetId="4240">
        <row r="4">
          <cell r="A4" t="str">
            <v>BẢNG TÍNH TOÁN, ĐO BÓC KHỐI LƯỢNG HOÀN THÀNH ĐƯA VÀO QUYẾT TOÁN</v>
          </cell>
        </row>
      </sheetData>
      <sheetData sheetId="4241">
        <row r="4">
          <cell r="A4" t="str">
            <v>BẢNG TÍNH TOÁN, ĐO BÓC KHỐI LƯỢNG HOÀN THÀNH ĐƯA VÀO QUYẾT TOÁN</v>
          </cell>
        </row>
      </sheetData>
      <sheetData sheetId="4242">
        <row r="4">
          <cell r="A4" t="str">
            <v>BẢNG TÍNH TOÁN, ĐO BÓC KHỐI LƯỢNG HOÀN THÀNH ĐƯA VÀO QUYẾT TOÁN</v>
          </cell>
        </row>
      </sheetData>
      <sheetData sheetId="4243">
        <row r="4">
          <cell r="A4" t="str">
            <v>BẢNG TÍNH TOÁN, ĐO BÓC KHỐI LƯỢNG HOÀN THÀNH ĐƯA VÀO QUYẾT TOÁN</v>
          </cell>
        </row>
      </sheetData>
      <sheetData sheetId="4244">
        <row r="4">
          <cell r="A4" t="str">
            <v>BẢNG TÍNH TOÁN, ĐO BÓC KHỐI LƯỢNG HOÀN THÀNH ĐƯA VÀO QUYẾT TOÁN</v>
          </cell>
        </row>
      </sheetData>
      <sheetData sheetId="4245">
        <row r="4">
          <cell r="A4" t="str">
            <v>BẢNG TÍNH TOÁN, ĐO BÓC KHỐI LƯỢNG HOÀN THÀNH ĐƯA VÀO QUYẾT TOÁN</v>
          </cell>
        </row>
      </sheetData>
      <sheetData sheetId="4246">
        <row r="4">
          <cell r="A4" t="str">
            <v>BẢNG TÍNH TOÁN, ĐO BÓC KHỐI LƯỢNG HOÀN THÀNH ĐƯA VÀO QUYẾT TOÁN</v>
          </cell>
        </row>
      </sheetData>
      <sheetData sheetId="4247">
        <row r="4">
          <cell r="A4" t="str">
            <v>BẢNG TÍNH TOÁN, ĐO BÓC KHỐI LƯỢNG HOÀN THÀNH ĐƯA VÀO QUYẾT TOÁN</v>
          </cell>
        </row>
      </sheetData>
      <sheetData sheetId="4248">
        <row r="4">
          <cell r="A4" t="str">
            <v>BẢNG TÍNH TOÁN, ĐO BÓC KHỐI LƯỢNG HOÀN THÀNH ĐƯA VÀO QUYẾT TOÁN</v>
          </cell>
        </row>
      </sheetData>
      <sheetData sheetId="4249">
        <row r="4">
          <cell r="A4" t="str">
            <v>BẢNG TÍNH TOÁN, ĐO BÓC KHỐI LƯỢNG HOÀN THÀNH ĐƯA VÀO QUYẾT TOÁN</v>
          </cell>
        </row>
      </sheetData>
      <sheetData sheetId="4250">
        <row r="4">
          <cell r="A4" t="str">
            <v>BẢNG TÍNH TOÁN, ĐO BÓC KHỐI LƯỢNG HOÀN THÀNH ĐƯA VÀO QUYẾT TOÁN</v>
          </cell>
        </row>
      </sheetData>
      <sheetData sheetId="4251">
        <row r="4">
          <cell r="A4" t="str">
            <v>BẢNG TÍNH TOÁN, ĐO BÓC KHỐI LƯỢNG HOÀN THÀNH ĐƯA VÀO QUYẾT TOÁN</v>
          </cell>
        </row>
      </sheetData>
      <sheetData sheetId="4252">
        <row r="4">
          <cell r="A4" t="str">
            <v>BẢNG TÍNH TOÁN, ĐO BÓC KHỐI LƯỢNG HOÀN THÀNH ĐƯA VÀO QUYẾT TOÁN</v>
          </cell>
        </row>
      </sheetData>
      <sheetData sheetId="4253">
        <row r="4">
          <cell r="A4" t="str">
            <v>BẢNG TÍNH TOÁN, ĐO BÓC KHỐI LƯỢNG HOÀN THÀNH ĐƯA VÀO QUYẾT TOÁN</v>
          </cell>
        </row>
      </sheetData>
      <sheetData sheetId="4254">
        <row r="4">
          <cell r="A4" t="str">
            <v>BẢNG TÍNH TOÁN, ĐO BÓC KHỐI LƯỢNG HOÀN THÀNH ĐƯA VÀO QUYẾT TOÁN</v>
          </cell>
        </row>
      </sheetData>
      <sheetData sheetId="4255">
        <row r="4">
          <cell r="A4" t="str">
            <v>BẢNG TÍNH TOÁN, ĐO BÓC KHỐI LƯỢNG HOÀN THÀNH ĐƯA VÀO QUYẾT TOÁN</v>
          </cell>
        </row>
      </sheetData>
      <sheetData sheetId="4256">
        <row r="4">
          <cell r="A4" t="str">
            <v>BẢNG TÍNH TOÁN, ĐO BÓC KHỐI LƯỢNG HOÀN THÀNH ĐƯA VÀO QUYẾT TOÁN</v>
          </cell>
        </row>
      </sheetData>
      <sheetData sheetId="4257">
        <row r="4">
          <cell r="A4" t="str">
            <v>BẢNG TÍNH TOÁN, ĐO BÓC KHỐI LƯỢNG HOÀN THÀNH ĐƯA VÀO QUYẾT TOÁN</v>
          </cell>
        </row>
      </sheetData>
      <sheetData sheetId="4258">
        <row r="4">
          <cell r="A4" t="str">
            <v>BẢNG TÍNH TOÁN, ĐO BÓC KHỐI LƯỢNG HOÀN THÀNH ĐƯA VÀO QUYẾT TOÁN</v>
          </cell>
        </row>
      </sheetData>
      <sheetData sheetId="4259">
        <row r="4">
          <cell r="A4" t="str">
            <v>BẢNG TÍNH TOÁN, ĐO BÓC KHỐI LƯỢNG HOÀN THÀNH ĐƯA VÀO QUYẾT TOÁN</v>
          </cell>
        </row>
      </sheetData>
      <sheetData sheetId="4260">
        <row r="4">
          <cell r="A4" t="str">
            <v>BẢNG TÍNH TOÁN, ĐO BÓC KHỐI LƯỢNG HOÀN THÀNH ĐƯA VÀO QUYẾT TOÁN</v>
          </cell>
        </row>
      </sheetData>
      <sheetData sheetId="4261">
        <row r="4">
          <cell r="A4" t="str">
            <v>BẢNG TÍNH TOÁN, ĐO BÓC KHỐI LƯỢNG HOÀN THÀNH ĐƯA VÀO QUYẾT TOÁN</v>
          </cell>
        </row>
      </sheetData>
      <sheetData sheetId="4262">
        <row r="4">
          <cell r="A4" t="str">
            <v>BẢNG TÍNH TOÁN, ĐO BÓC KHỐI LƯỢNG HOÀN THÀNH ĐƯA VÀO QUYẾT TOÁN</v>
          </cell>
        </row>
      </sheetData>
      <sheetData sheetId="4263">
        <row r="4">
          <cell r="A4" t="str">
            <v>BẢNG TÍNH TOÁN, ĐO BÓC KHỐI LƯỢNG HOÀN THÀNH ĐƯA VÀO QUYẾT TOÁN</v>
          </cell>
        </row>
      </sheetData>
      <sheetData sheetId="4264">
        <row r="4">
          <cell r="A4" t="str">
            <v>BẢNG TÍNH TOÁN, ĐO BÓC KHỐI LƯỢNG HOÀN THÀNH ĐƯA VÀO QUYẾT TOÁN</v>
          </cell>
        </row>
      </sheetData>
      <sheetData sheetId="4265">
        <row r="4">
          <cell r="A4" t="str">
            <v>BẢNG TÍNH TOÁN, ĐO BÓC KHỐI LƯỢNG HOÀN THÀNH ĐƯA VÀO QUYẾT TOÁN</v>
          </cell>
        </row>
      </sheetData>
      <sheetData sheetId="4266">
        <row r="4">
          <cell r="A4" t="str">
            <v>BẢNG TÍNH TOÁN, ĐO BÓC KHỐI LƯỢNG HOÀN THÀNH ĐƯA VÀO QUYẾT TOÁN</v>
          </cell>
        </row>
      </sheetData>
      <sheetData sheetId="4267">
        <row r="4">
          <cell r="A4" t="str">
            <v>BẢNG TÍNH TOÁN, ĐO BÓC KHỐI LƯỢNG HOÀN THÀNH ĐƯA VÀO QUYẾT TOÁN</v>
          </cell>
        </row>
      </sheetData>
      <sheetData sheetId="4268">
        <row r="4">
          <cell r="A4" t="str">
            <v>BẢNG TÍNH TOÁN, ĐO BÓC KHỐI LƯỢNG HOÀN THÀNH ĐƯA VÀO QUYẾT TOÁN</v>
          </cell>
        </row>
      </sheetData>
      <sheetData sheetId="4269">
        <row r="4">
          <cell r="A4" t="str">
            <v>BẢNG TÍNH TOÁN, ĐO BÓC KHỐI LƯỢNG HOÀN THÀNH ĐƯA VÀO QUYẾT TOÁN</v>
          </cell>
        </row>
      </sheetData>
      <sheetData sheetId="4270">
        <row r="4">
          <cell r="A4" t="str">
            <v>BẢNG TÍNH TOÁN, ĐO BÓC KHỐI LƯỢNG HOÀN THÀNH ĐƯA VÀO QUYẾT TOÁN</v>
          </cell>
        </row>
      </sheetData>
      <sheetData sheetId="4271">
        <row r="4">
          <cell r="A4" t="str">
            <v>BẢNG TÍNH TOÁN, ĐO BÓC KHỐI LƯỢNG HOÀN THÀNH ĐƯA VÀO QUYẾT TOÁN</v>
          </cell>
        </row>
      </sheetData>
      <sheetData sheetId="4272">
        <row r="4">
          <cell r="A4" t="str">
            <v>BẢNG TÍNH TOÁN, ĐO BÓC KHỐI LƯỢNG HOÀN THÀNH ĐƯA VÀO QUYẾT TOÁN</v>
          </cell>
        </row>
      </sheetData>
      <sheetData sheetId="4273">
        <row r="4">
          <cell r="A4" t="str">
            <v>BẢNG TÍNH TOÁN, ĐO BÓC KHỐI LƯỢNG HOÀN THÀNH ĐƯA VÀO QUYẾT TOÁN</v>
          </cell>
        </row>
      </sheetData>
      <sheetData sheetId="4274">
        <row r="4">
          <cell r="A4" t="str">
            <v>BẢNG TÍNH TOÁN, ĐO BÓC KHỐI LƯỢNG HOÀN THÀNH ĐƯA VÀO QUYẾT TOÁN</v>
          </cell>
        </row>
      </sheetData>
      <sheetData sheetId="4275">
        <row r="4">
          <cell r="A4" t="str">
            <v>BẢNG TÍNH TOÁN, ĐO BÓC KHỐI LƯỢNG HOÀN THÀNH ĐƯA VÀO QUYẾT TOÁN</v>
          </cell>
        </row>
      </sheetData>
      <sheetData sheetId="4276">
        <row r="4">
          <cell r="A4" t="str">
            <v>BẢNG TÍNH TOÁN, ĐO BÓC KHỐI LƯỢNG HOÀN THÀNH ĐƯA VÀO QUYẾT TOÁN</v>
          </cell>
        </row>
      </sheetData>
      <sheetData sheetId="4277">
        <row r="4">
          <cell r="A4" t="str">
            <v>BẢNG TÍNH TOÁN, ĐO BÓC KHỐI LƯỢNG HOÀN THÀNH ĐƯA VÀO QUYẾT TOÁN</v>
          </cell>
        </row>
      </sheetData>
      <sheetData sheetId="4278">
        <row r="4">
          <cell r="A4" t="str">
            <v>BẢNG TÍNH TOÁN, ĐO BÓC KHỐI LƯỢNG HOÀN THÀNH ĐƯA VÀO QUYẾT TOÁN</v>
          </cell>
        </row>
      </sheetData>
      <sheetData sheetId="4279">
        <row r="4">
          <cell r="A4" t="str">
            <v>BẢNG TÍNH TOÁN, ĐO BÓC KHỐI LƯỢNG HOÀN THÀNH ĐƯA VÀO QUYẾT TOÁN</v>
          </cell>
        </row>
      </sheetData>
      <sheetData sheetId="4280">
        <row r="4">
          <cell r="A4" t="str">
            <v>BẢNG TÍNH TOÁN, ĐO BÓC KHỐI LƯỢNG HOÀN THÀNH ĐƯA VÀO QUYẾT TOÁN</v>
          </cell>
        </row>
      </sheetData>
      <sheetData sheetId="4281">
        <row r="4">
          <cell r="A4" t="str">
            <v>BẢNG TÍNH TOÁN, ĐO BÓC KHỐI LƯỢNG HOÀN THÀNH ĐƯA VÀO QUYẾT TOÁN</v>
          </cell>
        </row>
      </sheetData>
      <sheetData sheetId="4282">
        <row r="4">
          <cell r="A4" t="str">
            <v>BẢNG TÍNH TOÁN, ĐO BÓC KHỐI LƯỢNG HOÀN THÀNH ĐƯA VÀO QUYẾT TOÁN</v>
          </cell>
        </row>
      </sheetData>
      <sheetData sheetId="4283">
        <row r="4">
          <cell r="A4" t="str">
            <v>BẢNG TÍNH TOÁN, ĐO BÓC KHỐI LƯỢNG HOÀN THÀNH ĐƯA VÀO QUYẾT TOÁN</v>
          </cell>
        </row>
      </sheetData>
      <sheetData sheetId="4284">
        <row r="4">
          <cell r="A4" t="str">
            <v>BẢNG TÍNH TOÁN, ĐO BÓC KHỐI LƯỢNG HOÀN THÀNH ĐƯA VÀO QUYẾT TOÁN</v>
          </cell>
        </row>
      </sheetData>
      <sheetData sheetId="4285">
        <row r="4">
          <cell r="A4" t="str">
            <v>BẢNG TÍNH TOÁN, ĐO BÓC KHỐI LƯỢNG HOÀN THÀNH ĐƯA VÀO QUYẾT TOÁN</v>
          </cell>
        </row>
      </sheetData>
      <sheetData sheetId="4286">
        <row r="4">
          <cell r="A4" t="str">
            <v>BẢNG TÍNH TOÁN, ĐO BÓC KHỐI LƯỢNG HOÀN THÀNH ĐƯA VÀO QUYẾT TOÁN</v>
          </cell>
        </row>
      </sheetData>
      <sheetData sheetId="4287">
        <row r="4">
          <cell r="A4" t="str">
            <v>BẢNG TÍNH TOÁN, ĐO BÓC KHỐI LƯỢNG HOÀN THÀNH ĐƯA VÀO QUYẾT TOÁN</v>
          </cell>
        </row>
      </sheetData>
      <sheetData sheetId="4288">
        <row r="4">
          <cell r="A4" t="str">
            <v>BẢNG TÍNH TOÁN, ĐO BÓC KHỐI LƯỢNG HOÀN THÀNH ĐƯA VÀO QUYẾT TOÁN</v>
          </cell>
        </row>
      </sheetData>
      <sheetData sheetId="4289">
        <row r="4">
          <cell r="A4" t="str">
            <v>BẢNG TÍNH TOÁN, ĐO BÓC KHỐI LƯỢNG HOÀN THÀNH ĐƯA VÀO QUYẾT TOÁN</v>
          </cell>
        </row>
      </sheetData>
      <sheetData sheetId="4290">
        <row r="4">
          <cell r="A4" t="str">
            <v>BẢNG TÍNH TOÁN, ĐO BÓC KHỐI LƯỢNG HOÀN THÀNH ĐƯA VÀO QUYẾT TOÁN</v>
          </cell>
        </row>
      </sheetData>
      <sheetData sheetId="4291">
        <row r="4">
          <cell r="A4" t="str">
            <v>BẢNG TÍNH TOÁN, ĐO BÓC KHỐI LƯỢNG HOÀN THÀNH ĐƯA VÀO QUYẾT TOÁN</v>
          </cell>
        </row>
      </sheetData>
      <sheetData sheetId="4292">
        <row r="4">
          <cell r="A4" t="str">
            <v>BẢNG TÍNH TOÁN, ĐO BÓC KHỐI LƯỢNG HOÀN THÀNH ĐƯA VÀO QUYẾT TOÁN</v>
          </cell>
        </row>
      </sheetData>
      <sheetData sheetId="4293">
        <row r="4">
          <cell r="A4" t="str">
            <v>BẢNG TÍNH TOÁN, ĐO BÓC KHỐI LƯỢNG HOÀN THÀNH ĐƯA VÀO QUYẾT TOÁN</v>
          </cell>
        </row>
      </sheetData>
      <sheetData sheetId="4294">
        <row r="4">
          <cell r="A4" t="str">
            <v>BẢNG TÍNH TOÁN, ĐO BÓC KHỐI LƯỢNG HOÀN THÀNH ĐƯA VÀO QUYẾT TOÁN</v>
          </cell>
        </row>
      </sheetData>
      <sheetData sheetId="4295">
        <row r="4">
          <cell r="A4" t="str">
            <v>BẢNG TÍNH TOÁN, ĐO BÓC KHỐI LƯỢNG HOÀN THÀNH ĐƯA VÀO QUYẾT TOÁN</v>
          </cell>
        </row>
      </sheetData>
      <sheetData sheetId="4296">
        <row r="4">
          <cell r="A4" t="str">
            <v>BẢNG TÍNH TOÁN, ĐO BÓC KHỐI LƯỢNG HOÀN THÀNH ĐƯA VÀO QUYẾT TOÁN</v>
          </cell>
        </row>
      </sheetData>
      <sheetData sheetId="4297">
        <row r="4">
          <cell r="A4" t="str">
            <v>BẢNG TÍNH TOÁN, ĐO BÓC KHỐI LƯỢNG HOÀN THÀNH ĐƯA VÀO QUYẾT TOÁN</v>
          </cell>
        </row>
      </sheetData>
      <sheetData sheetId="4298">
        <row r="4">
          <cell r="A4" t="str">
            <v>BẢNG TÍNH TOÁN, ĐO BÓC KHỐI LƯỢNG HOÀN THÀNH ĐƯA VÀO QUYẾT TOÁN</v>
          </cell>
        </row>
      </sheetData>
      <sheetData sheetId="4299">
        <row r="4">
          <cell r="A4" t="str">
            <v>BẢNG TÍNH TOÁN, ĐO BÓC KHỐI LƯỢNG HOÀN THÀNH ĐƯA VÀO QUYẾT TOÁN</v>
          </cell>
        </row>
      </sheetData>
      <sheetData sheetId="4300">
        <row r="4">
          <cell r="A4" t="str">
            <v>BẢNG TÍNH TOÁN, ĐO BÓC KHỐI LƯỢNG HOÀN THÀNH ĐƯA VÀO QUYẾT TOÁN</v>
          </cell>
        </row>
      </sheetData>
      <sheetData sheetId="4301">
        <row r="4">
          <cell r="A4" t="str">
            <v>BẢNG TÍNH TOÁN, ĐO BÓC KHỐI LƯỢNG HOÀN THÀNH ĐƯA VÀO QUYẾT TOÁN</v>
          </cell>
        </row>
      </sheetData>
      <sheetData sheetId="4302">
        <row r="4">
          <cell r="A4" t="str">
            <v>BẢNG TÍNH TOÁN, ĐO BÓC KHỐI LƯỢNG HOÀN THÀNH ĐƯA VÀO QUYẾT TOÁN</v>
          </cell>
        </row>
      </sheetData>
      <sheetData sheetId="4303">
        <row r="4">
          <cell r="A4" t="str">
            <v>BẢNG TÍNH TOÁN, ĐO BÓC KHỐI LƯỢNG HOÀN THÀNH ĐƯA VÀO QUYẾT TOÁN</v>
          </cell>
        </row>
      </sheetData>
      <sheetData sheetId="4304">
        <row r="4">
          <cell r="A4" t="str">
            <v>BẢNG TÍNH TOÁN, ĐO BÓC KHỐI LƯỢNG HOÀN THÀNH ĐƯA VÀO QUYẾT TOÁN</v>
          </cell>
        </row>
      </sheetData>
      <sheetData sheetId="4305">
        <row r="4">
          <cell r="A4" t="str">
            <v>BẢNG TÍNH TOÁN, ĐO BÓC KHỐI LƯỢNG HOÀN THÀNH ĐƯA VÀO QUYẾT TOÁN</v>
          </cell>
        </row>
      </sheetData>
      <sheetData sheetId="4306">
        <row r="4">
          <cell r="A4" t="str">
            <v>BẢNG TÍNH TOÁN, ĐO BÓC KHỐI LƯỢNG HOÀN THÀNH ĐƯA VÀO QUYẾT TOÁN</v>
          </cell>
        </row>
      </sheetData>
      <sheetData sheetId="4307">
        <row r="4">
          <cell r="A4" t="str">
            <v>BẢNG TÍNH TOÁN, ĐO BÓC KHỐI LƯỢNG HOÀN THÀNH ĐƯA VÀO QUYẾT TOÁN</v>
          </cell>
        </row>
      </sheetData>
      <sheetData sheetId="4308">
        <row r="4">
          <cell r="A4" t="str">
            <v>BẢNG TÍNH TOÁN, ĐO BÓC KHỐI LƯỢNG HOÀN THÀNH ĐƯA VÀO QUYẾT TOÁN</v>
          </cell>
        </row>
      </sheetData>
      <sheetData sheetId="4309">
        <row r="4">
          <cell r="A4" t="str">
            <v>BẢNG TÍNH TOÁN, ĐO BÓC KHỐI LƯỢNG HOÀN THÀNH ĐƯA VÀO QUYẾT TOÁN</v>
          </cell>
        </row>
      </sheetData>
      <sheetData sheetId="4310">
        <row r="4">
          <cell r="A4" t="str">
            <v>BẢNG TÍNH TOÁN, ĐO BÓC KHỐI LƯỢNG HOÀN THÀNH ĐƯA VÀO QUYẾT TOÁN</v>
          </cell>
        </row>
      </sheetData>
      <sheetData sheetId="4311">
        <row r="4">
          <cell r="A4" t="str">
            <v>BẢNG TÍNH TOÁN, ĐO BÓC KHỐI LƯỢNG HOÀN THÀNH ĐƯA VÀO QUYẾT TOÁN</v>
          </cell>
        </row>
      </sheetData>
      <sheetData sheetId="4312">
        <row r="4">
          <cell r="A4" t="str">
            <v>BẢNG TÍNH TOÁN, ĐO BÓC KHỐI LƯỢNG HOÀN THÀNH ĐƯA VÀO QUYẾT TOÁN</v>
          </cell>
        </row>
      </sheetData>
      <sheetData sheetId="4313">
        <row r="4">
          <cell r="A4" t="str">
            <v>BẢNG TÍNH TOÁN, ĐO BÓC KHỐI LƯỢNG HOÀN THÀNH ĐƯA VÀO QUYẾT TOÁN</v>
          </cell>
        </row>
      </sheetData>
      <sheetData sheetId="4314">
        <row r="4">
          <cell r="A4" t="str">
            <v>BẢNG TÍNH TOÁN, ĐO BÓC KHỐI LƯỢNG HOÀN THÀNH ĐƯA VÀO QUYẾT TOÁN</v>
          </cell>
        </row>
      </sheetData>
      <sheetData sheetId="4315">
        <row r="4">
          <cell r="A4" t="str">
            <v>BẢNG TÍNH TOÁN, ĐO BÓC KHỐI LƯỢNG HOÀN THÀNH ĐƯA VÀO QUYẾT TOÁN</v>
          </cell>
        </row>
      </sheetData>
      <sheetData sheetId="4316">
        <row r="4">
          <cell r="A4" t="str">
            <v>BẢNG TÍNH TOÁN, ĐO BÓC KHỐI LƯỢNG HOÀN THÀNH ĐƯA VÀO QUYẾT TOÁN</v>
          </cell>
        </row>
      </sheetData>
      <sheetData sheetId="4317">
        <row r="4">
          <cell r="A4" t="str">
            <v>BẢNG TÍNH TOÁN, ĐO BÓC KHỐI LƯỢNG HOÀN THÀNH ĐƯA VÀO QUYẾT TOÁN</v>
          </cell>
        </row>
      </sheetData>
      <sheetData sheetId="4318">
        <row r="4">
          <cell r="A4" t="str">
            <v>BẢNG TÍNH TOÁN, ĐO BÓC KHỐI LƯỢNG HOÀN THÀNH ĐƯA VÀO QUYẾT TOÁN</v>
          </cell>
        </row>
      </sheetData>
      <sheetData sheetId="4319">
        <row r="4">
          <cell r="A4" t="str">
            <v>BẢNG TÍNH TOÁN, ĐO BÓC KHỐI LƯỢNG HOÀN THÀNH ĐƯA VÀO QUYẾT TOÁN</v>
          </cell>
        </row>
      </sheetData>
      <sheetData sheetId="4320">
        <row r="4">
          <cell r="A4" t="str">
            <v>BẢNG TÍNH TOÁN, ĐO BÓC KHỐI LƯỢNG HOÀN THÀNH ĐƯA VÀO QUYẾT TOÁN</v>
          </cell>
        </row>
      </sheetData>
      <sheetData sheetId="4321">
        <row r="4">
          <cell r="A4" t="str">
            <v>BẢNG TÍNH TOÁN, ĐO BÓC KHỐI LƯỢNG HOÀN THÀNH ĐƯA VÀO QUYẾT TOÁN</v>
          </cell>
        </row>
      </sheetData>
      <sheetData sheetId="4322">
        <row r="4">
          <cell r="A4" t="str">
            <v>BẢNG TÍNH TOÁN, ĐO BÓC KHỐI LƯỢNG HOÀN THÀNH ĐƯA VÀO QUYẾT TOÁN</v>
          </cell>
        </row>
      </sheetData>
      <sheetData sheetId="4323">
        <row r="4">
          <cell r="A4" t="str">
            <v>BẢNG TÍNH TOÁN, ĐO BÓC KHỐI LƯỢNG HOÀN THÀNH ĐƯA VÀO QUYẾT TOÁN</v>
          </cell>
        </row>
      </sheetData>
      <sheetData sheetId="4324">
        <row r="4">
          <cell r="A4" t="str">
            <v>BẢNG TÍNH TOÁN, ĐO BÓC KHỐI LƯỢNG HOÀN THÀNH ĐƯA VÀO QUYẾT TOÁN</v>
          </cell>
        </row>
      </sheetData>
      <sheetData sheetId="4325">
        <row r="4">
          <cell r="A4" t="str">
            <v>BẢNG TÍNH TOÁN, ĐO BÓC KHỐI LƯỢNG HOÀN THÀNH ĐƯA VÀO QUYẾT TOÁN</v>
          </cell>
        </row>
      </sheetData>
      <sheetData sheetId="4326">
        <row r="4">
          <cell r="A4" t="str">
            <v>BẢNG TÍNH TOÁN, ĐO BÓC KHỐI LƯỢNG HOÀN THÀNH ĐƯA VÀO QUYẾT TOÁN</v>
          </cell>
        </row>
      </sheetData>
      <sheetData sheetId="4327">
        <row r="4">
          <cell r="A4" t="str">
            <v>BẢNG TÍNH TOÁN, ĐO BÓC KHỐI LƯỢNG HOÀN THÀNH ĐƯA VÀO QUYẾT TOÁN</v>
          </cell>
        </row>
      </sheetData>
      <sheetData sheetId="4328">
        <row r="4">
          <cell r="A4" t="str">
            <v>BẢNG TÍNH TOÁN, ĐO BÓC KHỐI LƯỢNG HOÀN THÀNH ĐƯA VÀO QUYẾT TOÁN</v>
          </cell>
        </row>
      </sheetData>
      <sheetData sheetId="4329">
        <row r="4">
          <cell r="A4" t="str">
            <v>BẢNG TÍNH TOÁN, ĐO BÓC KHỐI LƯỢNG HOÀN THÀNH ĐƯA VÀO QUYẾT TOÁN</v>
          </cell>
        </row>
      </sheetData>
      <sheetData sheetId="4330">
        <row r="4">
          <cell r="A4" t="str">
            <v>BẢNG TÍNH TOÁN, ĐO BÓC KHỐI LƯỢNG HOÀN THÀNH ĐƯA VÀO QUYẾT TOÁN</v>
          </cell>
        </row>
      </sheetData>
      <sheetData sheetId="4331">
        <row r="4">
          <cell r="A4" t="str">
            <v>BẢNG TÍNH TOÁN, ĐO BÓC KHỐI LƯỢNG HOÀN THÀNH ĐƯA VÀO QUYẾT TOÁN</v>
          </cell>
        </row>
      </sheetData>
      <sheetData sheetId="4332">
        <row r="4">
          <cell r="A4" t="str">
            <v>BẢNG TÍNH TOÁN, ĐO BÓC KHỐI LƯỢNG HOÀN THÀNH ĐƯA VÀO QUYẾT TOÁN</v>
          </cell>
        </row>
      </sheetData>
      <sheetData sheetId="4333">
        <row r="4">
          <cell r="A4" t="str">
            <v>BẢNG TÍNH TOÁN, ĐO BÓC KHỐI LƯỢNG HOÀN THÀNH ĐƯA VÀO QUYẾT TOÁN</v>
          </cell>
        </row>
      </sheetData>
      <sheetData sheetId="4334">
        <row r="4">
          <cell r="A4" t="str">
            <v>BẢNG TÍNH TOÁN, ĐO BÓC KHỐI LƯỢNG HOÀN THÀNH ĐƯA VÀO QUYẾT TOÁN</v>
          </cell>
        </row>
      </sheetData>
      <sheetData sheetId="4335">
        <row r="4">
          <cell r="A4" t="str">
            <v>BẢNG TÍNH TOÁN, ĐO BÓC KHỐI LƯỢNG HOÀN THÀNH ĐƯA VÀO QUYẾT TOÁN</v>
          </cell>
        </row>
      </sheetData>
      <sheetData sheetId="4336">
        <row r="4">
          <cell r="A4" t="str">
            <v>BẢNG TÍNH TOÁN, ĐO BÓC KHỐI LƯỢNG HOÀN THÀNH ĐƯA VÀO QUYẾT TOÁN</v>
          </cell>
        </row>
      </sheetData>
      <sheetData sheetId="4337">
        <row r="4">
          <cell r="A4" t="str">
            <v>BẢNG TÍNH TOÁN, ĐO BÓC KHỐI LƯỢNG HOÀN THÀNH ĐƯA VÀO QUYẾT TOÁN</v>
          </cell>
        </row>
      </sheetData>
      <sheetData sheetId="4338">
        <row r="4">
          <cell r="A4" t="str">
            <v>BẢNG TÍNH TOÁN, ĐO BÓC KHỐI LƯỢNG HOÀN THÀNH ĐƯA VÀO QUYẾT TOÁN</v>
          </cell>
        </row>
      </sheetData>
      <sheetData sheetId="4339">
        <row r="4">
          <cell r="A4" t="str">
            <v>BẢNG TÍNH TOÁN, ĐO BÓC KHỐI LƯỢNG HOÀN THÀNH ĐƯA VÀO QUYẾT TOÁN</v>
          </cell>
        </row>
      </sheetData>
      <sheetData sheetId="4340">
        <row r="4">
          <cell r="A4" t="str">
            <v>BẢNG TÍNH TOÁN, ĐO BÓC KHỐI LƯỢNG HOÀN THÀNH ĐƯA VÀO QUYẾT TOÁN</v>
          </cell>
        </row>
      </sheetData>
      <sheetData sheetId="4341">
        <row r="4">
          <cell r="A4" t="str">
            <v>BẢNG TÍNH TOÁN, ĐO BÓC KHỐI LƯỢNG HOÀN THÀNH ĐƯA VÀO QUYẾT TOÁN</v>
          </cell>
        </row>
      </sheetData>
      <sheetData sheetId="4342">
        <row r="4">
          <cell r="A4" t="str">
            <v>BẢNG TÍNH TOÁN, ĐO BÓC KHỐI LƯỢNG HOÀN THÀNH ĐƯA VÀO QUYẾT TOÁN</v>
          </cell>
        </row>
      </sheetData>
      <sheetData sheetId="4343">
        <row r="4">
          <cell r="A4" t="str">
            <v>BẢNG TÍNH TOÁN, ĐO BÓC KHỐI LƯỢNG HOÀN THÀNH ĐƯA VÀO QUYẾT TOÁN</v>
          </cell>
        </row>
      </sheetData>
      <sheetData sheetId="4344">
        <row r="4">
          <cell r="A4" t="str">
            <v>BẢNG TÍNH TOÁN, ĐO BÓC KHỐI LƯỢNG HOÀN THÀNH ĐƯA VÀO QUYẾT TOÁN</v>
          </cell>
        </row>
      </sheetData>
      <sheetData sheetId="4345">
        <row r="4">
          <cell r="A4" t="str">
            <v>BẢNG TÍNH TOÁN, ĐO BÓC KHỐI LƯỢNG HOÀN THÀNH ĐƯA VÀO QUYẾT TOÁN</v>
          </cell>
        </row>
      </sheetData>
      <sheetData sheetId="4346">
        <row r="4">
          <cell r="A4" t="str">
            <v>BẢNG TÍNH TOÁN, ĐO BÓC KHỐI LƯỢNG HOÀN THÀNH ĐƯA VÀO QUYẾT TOÁN</v>
          </cell>
        </row>
      </sheetData>
      <sheetData sheetId="4347">
        <row r="4">
          <cell r="A4" t="str">
            <v>BẢNG TÍNH TOÁN, ĐO BÓC KHỐI LƯỢNG HOÀN THÀNH ĐƯA VÀO QUYẾT TOÁN</v>
          </cell>
        </row>
      </sheetData>
      <sheetData sheetId="4348">
        <row r="4">
          <cell r="A4" t="str">
            <v>BẢNG TÍNH TOÁN, ĐO BÓC KHỐI LƯỢNG HOÀN THÀNH ĐƯA VÀO QUYẾT TOÁN</v>
          </cell>
        </row>
      </sheetData>
      <sheetData sheetId="4349">
        <row r="4">
          <cell r="A4" t="str">
            <v>BẢNG TÍNH TOÁN, ĐO BÓC KHỐI LƯỢNG HOÀN THÀNH ĐƯA VÀO QUYẾT TOÁN</v>
          </cell>
        </row>
      </sheetData>
      <sheetData sheetId="4350">
        <row r="4">
          <cell r="A4" t="str">
            <v>BẢNG TÍNH TOÁN, ĐO BÓC KHỐI LƯỢNG HOÀN THÀNH ĐƯA VÀO QUYẾT TOÁN</v>
          </cell>
        </row>
      </sheetData>
      <sheetData sheetId="4351">
        <row r="4">
          <cell r="A4" t="str">
            <v>BẢNG TÍNH TOÁN, ĐO BÓC KHỐI LƯỢNG HOÀN THÀNH ĐƯA VÀO QUYẾT TOÁN</v>
          </cell>
        </row>
      </sheetData>
      <sheetData sheetId="4352">
        <row r="4">
          <cell r="A4" t="str">
            <v>BẢNG TÍNH TOÁN, ĐO BÓC KHỐI LƯỢNG HOÀN THÀNH ĐƯA VÀO QUYẾT TOÁN</v>
          </cell>
        </row>
      </sheetData>
      <sheetData sheetId="4353">
        <row r="4">
          <cell r="A4" t="str">
            <v>BẢNG TÍNH TOÁN, ĐO BÓC KHỐI LƯỢNG HOÀN THÀNH ĐƯA VÀO QUYẾT TOÁN</v>
          </cell>
        </row>
      </sheetData>
      <sheetData sheetId="4354">
        <row r="4">
          <cell r="A4" t="str">
            <v>BẢNG TÍNH TOÁN, ĐO BÓC KHỐI LƯỢNG HOÀN THÀNH ĐƯA VÀO QUYẾT TOÁN</v>
          </cell>
        </row>
      </sheetData>
      <sheetData sheetId="4355">
        <row r="4">
          <cell r="A4" t="str">
            <v>BẢNG TÍNH TOÁN, ĐO BÓC KHỐI LƯỢNG HOÀN THÀNH ĐƯA VÀO QUYẾT TOÁN</v>
          </cell>
        </row>
      </sheetData>
      <sheetData sheetId="4356">
        <row r="4">
          <cell r="A4" t="str">
            <v>BẢNG TÍNH TOÁN, ĐO BÓC KHỐI LƯỢNG HOÀN THÀNH ĐƯA VÀO QUYẾT TOÁN</v>
          </cell>
        </row>
      </sheetData>
      <sheetData sheetId="4357">
        <row r="4">
          <cell r="A4" t="str">
            <v>BẢNG TÍNH TOÁN, ĐO BÓC KHỐI LƯỢNG HOÀN THÀNH ĐƯA VÀO QUYẾT TOÁN</v>
          </cell>
        </row>
      </sheetData>
      <sheetData sheetId="4358">
        <row r="4">
          <cell r="A4" t="str">
            <v>BẢNG TÍNH TOÁN, ĐO BÓC KHỐI LƯỢNG HOÀN THÀNH ĐƯA VÀO QUYẾT TOÁN</v>
          </cell>
        </row>
      </sheetData>
      <sheetData sheetId="4359">
        <row r="4">
          <cell r="A4" t="str">
            <v>BẢNG TÍNH TOÁN, ĐO BÓC KHỐI LƯỢNG HOÀN THÀNH ĐƯA VÀO QUYẾT TOÁN</v>
          </cell>
        </row>
      </sheetData>
      <sheetData sheetId="4360">
        <row r="4">
          <cell r="A4" t="str">
            <v>BẢNG TÍNH TOÁN, ĐO BÓC KHỐI LƯỢNG HOÀN THÀNH ĐƯA VÀO QUYẾT TOÁN</v>
          </cell>
        </row>
      </sheetData>
      <sheetData sheetId="4361">
        <row r="4">
          <cell r="A4" t="str">
            <v>BẢNG TÍNH TOÁN, ĐO BÓC KHỐI LƯỢNG HOÀN THÀNH ĐƯA VÀO QUYẾT TOÁN</v>
          </cell>
        </row>
      </sheetData>
      <sheetData sheetId="4362">
        <row r="4">
          <cell r="A4" t="str">
            <v>BẢNG TÍNH TOÁN, ĐO BÓC KHỐI LƯỢNG HOÀN THÀNH ĐƯA VÀO QUYẾT TOÁN</v>
          </cell>
        </row>
      </sheetData>
      <sheetData sheetId="4363">
        <row r="4">
          <cell r="A4" t="str">
            <v>BẢNG TÍNH TOÁN, ĐO BÓC KHỐI LƯỢNG HOÀN THÀNH ĐƯA VÀO QUYẾT TOÁN</v>
          </cell>
        </row>
      </sheetData>
      <sheetData sheetId="4364">
        <row r="4">
          <cell r="A4" t="str">
            <v>BẢNG TÍNH TOÁN, ĐO BÓC KHỐI LƯỢNG HOÀN THÀNH ĐƯA VÀO QUYẾT TOÁN</v>
          </cell>
        </row>
      </sheetData>
      <sheetData sheetId="4365">
        <row r="4">
          <cell r="A4" t="str">
            <v>BẢNG TÍNH TOÁN, ĐO BÓC KHỐI LƯỢNG HOÀN THÀNH ĐƯA VÀO QUYẾT TOÁN</v>
          </cell>
        </row>
      </sheetData>
      <sheetData sheetId="4366">
        <row r="4">
          <cell r="A4" t="str">
            <v>BẢNG TÍNH TOÁN, ĐO BÓC KHỐI LƯỢNG HOÀN THÀNH ĐƯA VÀO QUYẾT TOÁN</v>
          </cell>
        </row>
      </sheetData>
      <sheetData sheetId="4367">
        <row r="4">
          <cell r="A4" t="str">
            <v>BẢNG TÍNH TOÁN, ĐO BÓC KHỐI LƯỢNG HOÀN THÀNH ĐƯA VÀO QUYẾT TOÁN</v>
          </cell>
        </row>
      </sheetData>
      <sheetData sheetId="4368">
        <row r="4">
          <cell r="A4" t="str">
            <v>BẢNG TÍNH TOÁN, ĐO BÓC KHỐI LƯỢNG HOÀN THÀNH ĐƯA VÀO QUYẾT TOÁN</v>
          </cell>
        </row>
      </sheetData>
      <sheetData sheetId="4369">
        <row r="4">
          <cell r="A4" t="str">
            <v>BẢNG TÍNH TOÁN, ĐO BÓC KHỐI LƯỢNG HOÀN THÀNH ĐƯA VÀO QUYẾT TOÁN</v>
          </cell>
        </row>
      </sheetData>
      <sheetData sheetId="4370">
        <row r="4">
          <cell r="A4" t="str">
            <v>BẢNG TÍNH TOÁN, ĐO BÓC KHỐI LƯỢNG HOÀN THÀNH ĐƯA VÀO QUYẾT TOÁN</v>
          </cell>
        </row>
      </sheetData>
      <sheetData sheetId="4371">
        <row r="4">
          <cell r="A4" t="str">
            <v>BẢNG TÍNH TOÁN, ĐO BÓC KHỐI LƯỢNG HOÀN THÀNH ĐƯA VÀO QUYẾT TOÁN</v>
          </cell>
        </row>
      </sheetData>
      <sheetData sheetId="4372">
        <row r="4">
          <cell r="A4" t="str">
            <v>BẢNG TÍNH TOÁN, ĐO BÓC KHỐI LƯỢNG HOÀN THÀNH ĐƯA VÀO QUYẾT TOÁN</v>
          </cell>
        </row>
      </sheetData>
      <sheetData sheetId="4373">
        <row r="4">
          <cell r="A4" t="str">
            <v>BẢNG TÍNH TOÁN, ĐO BÓC KHỐI LƯỢNG HOÀN THÀNH ĐƯA VÀO QUYẾT TOÁN</v>
          </cell>
        </row>
      </sheetData>
      <sheetData sheetId="4374">
        <row r="4">
          <cell r="A4" t="str">
            <v>BẢNG TÍNH TOÁN, ĐO BÓC KHỐI LƯỢNG HOÀN THÀNH ĐƯA VÀO QUYẾT TOÁN</v>
          </cell>
        </row>
      </sheetData>
      <sheetData sheetId="4375">
        <row r="4">
          <cell r="A4" t="str">
            <v>BẢNG TÍNH TOÁN, ĐO BÓC KHỐI LƯỢNG HOÀN THÀNH ĐƯA VÀO QUYẾT TOÁN</v>
          </cell>
        </row>
      </sheetData>
      <sheetData sheetId="4376">
        <row r="4">
          <cell r="A4" t="str">
            <v>BẢNG TÍNH TOÁN, ĐO BÓC KHỐI LƯỢNG HOÀN THÀNH ĐƯA VÀO QUYẾT TOÁN</v>
          </cell>
        </row>
      </sheetData>
      <sheetData sheetId="4377">
        <row r="4">
          <cell r="A4" t="str">
            <v>BẢNG TÍNH TOÁN, ĐO BÓC KHỐI LƯỢNG HOÀN THÀNH ĐƯA VÀO QUYẾT TOÁN</v>
          </cell>
        </row>
      </sheetData>
      <sheetData sheetId="4378">
        <row r="4">
          <cell r="A4" t="str">
            <v>BẢNG TÍNH TOÁN, ĐO BÓC KHỐI LƯỢNG HOÀN THÀNH ĐƯA VÀO QUYẾT TOÁN</v>
          </cell>
        </row>
      </sheetData>
      <sheetData sheetId="4379">
        <row r="4">
          <cell r="A4" t="str">
            <v>BẢNG TÍNH TOÁN, ĐO BÓC KHỐI LƯỢNG HOÀN THÀNH ĐƯA VÀO QUYẾT TOÁN</v>
          </cell>
        </row>
      </sheetData>
      <sheetData sheetId="4380">
        <row r="4">
          <cell r="A4" t="str">
            <v>BẢNG TÍNH TOÁN, ĐO BÓC KHỐI LƯỢNG HOÀN THÀNH ĐƯA VÀO QUYẾT TOÁN</v>
          </cell>
        </row>
      </sheetData>
      <sheetData sheetId="4381">
        <row r="4">
          <cell r="A4" t="str">
            <v>BẢNG TÍNH TOÁN, ĐO BÓC KHỐI LƯỢNG HOÀN THÀNH ĐƯA VÀO QUYẾT TOÁN</v>
          </cell>
        </row>
      </sheetData>
      <sheetData sheetId="4382">
        <row r="4">
          <cell r="A4" t="str">
            <v>BẢNG TÍNH TOÁN, ĐO BÓC KHỐI LƯỢNG HOÀN THÀNH ĐƯA VÀO QUYẾT TOÁN</v>
          </cell>
        </row>
      </sheetData>
      <sheetData sheetId="4383">
        <row r="4">
          <cell r="A4" t="str">
            <v>BẢNG TÍNH TOÁN, ĐO BÓC KHỐI LƯỢNG HOÀN THÀNH ĐƯA VÀO QUYẾT TOÁN</v>
          </cell>
        </row>
      </sheetData>
      <sheetData sheetId="4384">
        <row r="4">
          <cell r="A4" t="str">
            <v>BẢNG TÍNH TOÁN, ĐO BÓC KHỐI LƯỢNG HOÀN THÀNH ĐƯA VÀO QUYẾT TOÁN</v>
          </cell>
        </row>
      </sheetData>
      <sheetData sheetId="4385">
        <row r="4">
          <cell r="A4" t="str">
            <v>BẢNG TÍNH TOÁN, ĐO BÓC KHỐI LƯỢNG HOÀN THÀNH ĐƯA VÀO QUYẾT TOÁN</v>
          </cell>
        </row>
      </sheetData>
      <sheetData sheetId="4386">
        <row r="4">
          <cell r="A4" t="str">
            <v>BẢNG TÍNH TOÁN, ĐO BÓC KHỐI LƯỢNG HOÀN THÀNH ĐƯA VÀO QUYẾT TOÁN</v>
          </cell>
        </row>
      </sheetData>
      <sheetData sheetId="4387">
        <row r="4">
          <cell r="A4" t="str">
            <v>BẢNG TÍNH TOÁN, ĐO BÓC KHỐI LƯỢNG HOÀN THÀNH ĐƯA VÀO QUYẾT TOÁN</v>
          </cell>
        </row>
      </sheetData>
      <sheetData sheetId="4388">
        <row r="4">
          <cell r="A4" t="str">
            <v>BẢNG TÍNH TOÁN, ĐO BÓC KHỐI LƯỢNG HOÀN THÀNH ĐƯA VÀO QUYẾT TOÁN</v>
          </cell>
        </row>
      </sheetData>
      <sheetData sheetId="4389">
        <row r="4">
          <cell r="A4" t="str">
            <v>BẢNG TÍNH TOÁN, ĐO BÓC KHỐI LƯỢNG HOÀN THÀNH ĐƯA VÀO QUYẾT TOÁN</v>
          </cell>
        </row>
      </sheetData>
      <sheetData sheetId="4390">
        <row r="4">
          <cell r="A4" t="str">
            <v>BẢNG TÍNH TOÁN, ĐO BÓC KHỐI LƯỢNG HOÀN THÀNH ĐƯA VÀO QUYẾT TOÁN</v>
          </cell>
        </row>
      </sheetData>
      <sheetData sheetId="4391">
        <row r="4">
          <cell r="A4" t="str">
            <v>BẢNG TÍNH TOÁN, ĐO BÓC KHỐI LƯỢNG HOÀN THÀNH ĐƯA VÀO QUYẾT TOÁN</v>
          </cell>
        </row>
      </sheetData>
      <sheetData sheetId="4392">
        <row r="4">
          <cell r="A4" t="str">
            <v>BẢNG TÍNH TOÁN, ĐO BÓC KHỐI LƯỢNG HOÀN THÀNH ĐƯA VÀO QUYẾT TOÁN</v>
          </cell>
        </row>
      </sheetData>
      <sheetData sheetId="4393">
        <row r="4">
          <cell r="A4" t="str">
            <v>BẢNG TÍNH TOÁN, ĐO BÓC KHỐI LƯỢNG HOÀN THÀNH ĐƯA VÀO QUYẾT TOÁN</v>
          </cell>
        </row>
      </sheetData>
      <sheetData sheetId="4394">
        <row r="4">
          <cell r="A4" t="str">
            <v>BẢNG TÍNH TOÁN, ĐO BÓC KHỐI LƯỢNG HOÀN THÀNH ĐƯA VÀO QUYẾT TOÁN</v>
          </cell>
        </row>
      </sheetData>
      <sheetData sheetId="4395">
        <row r="4">
          <cell r="A4" t="str">
            <v>BẢNG TÍNH TOÁN, ĐO BÓC KHỐI LƯỢNG HOÀN THÀNH ĐƯA VÀO QUYẾT TOÁN</v>
          </cell>
        </row>
      </sheetData>
      <sheetData sheetId="4396">
        <row r="4">
          <cell r="A4" t="str">
            <v>BẢNG TÍNH TOÁN, ĐO BÓC KHỐI LƯỢNG HOÀN THÀNH ĐƯA VÀO QUYẾT TOÁN</v>
          </cell>
        </row>
      </sheetData>
      <sheetData sheetId="4397">
        <row r="4">
          <cell r="A4" t="str">
            <v>BẢNG TÍNH TOÁN, ĐO BÓC KHỐI LƯỢNG HOÀN THÀNH ĐƯA VÀO QUYẾT TOÁN</v>
          </cell>
        </row>
      </sheetData>
      <sheetData sheetId="4398">
        <row r="4">
          <cell r="A4" t="str">
            <v>BẢNG TÍNH TOÁN, ĐO BÓC KHỐI LƯỢNG HOÀN THÀNH ĐƯA VÀO QUYẾT TOÁN</v>
          </cell>
        </row>
      </sheetData>
      <sheetData sheetId="4399">
        <row r="4">
          <cell r="A4" t="str">
            <v>BẢNG TÍNH TOÁN, ĐO BÓC KHỐI LƯỢNG HOÀN THÀNH ĐƯA VÀO QUYẾT TOÁN</v>
          </cell>
        </row>
      </sheetData>
      <sheetData sheetId="4400">
        <row r="4">
          <cell r="A4" t="str">
            <v>BẢNG TÍNH TOÁN, ĐO BÓC KHỐI LƯỢNG HOÀN THÀNH ĐƯA VÀO QUYẾT TOÁN</v>
          </cell>
        </row>
      </sheetData>
      <sheetData sheetId="4401">
        <row r="4">
          <cell r="A4" t="str">
            <v>BẢNG TÍNH TOÁN, ĐO BÓC KHỐI LƯỢNG HOÀN THÀNH ĐƯA VÀO QUYẾT TOÁN</v>
          </cell>
        </row>
      </sheetData>
      <sheetData sheetId="4402">
        <row r="4">
          <cell r="A4" t="str">
            <v>BẢNG TÍNH TOÁN, ĐO BÓC KHỐI LƯỢNG HOÀN THÀNH ĐƯA VÀO QUYẾT TOÁN</v>
          </cell>
        </row>
      </sheetData>
      <sheetData sheetId="4403">
        <row r="4">
          <cell r="A4" t="str">
            <v>BẢNG TÍNH TOÁN, ĐO BÓC KHỐI LƯỢNG HOÀN THÀNH ĐƯA VÀO QUYẾT TOÁN</v>
          </cell>
        </row>
      </sheetData>
      <sheetData sheetId="4404">
        <row r="4">
          <cell r="A4" t="str">
            <v>BẢNG TÍNH TOÁN, ĐO BÓC KHỐI LƯỢNG HOÀN THÀNH ĐƯA VÀO QUYẾT TOÁN</v>
          </cell>
        </row>
      </sheetData>
      <sheetData sheetId="4405">
        <row r="4">
          <cell r="A4" t="str">
            <v>BẢNG TÍNH TOÁN, ĐO BÓC KHỐI LƯỢNG HOÀN THÀNH ĐƯA VÀO QUYẾT TOÁN</v>
          </cell>
        </row>
      </sheetData>
      <sheetData sheetId="4406">
        <row r="4">
          <cell r="A4" t="str">
            <v>BẢNG TÍNH TOÁN, ĐO BÓC KHỐI LƯỢNG HOÀN THÀNH ĐƯA VÀO QUYẾT TOÁN</v>
          </cell>
        </row>
      </sheetData>
      <sheetData sheetId="4407">
        <row r="4">
          <cell r="A4" t="str">
            <v>BẢNG TÍNH TOÁN, ĐO BÓC KHỐI LƯỢNG HOÀN THÀNH ĐƯA VÀO QUYẾT TOÁN</v>
          </cell>
        </row>
      </sheetData>
      <sheetData sheetId="4408">
        <row r="4">
          <cell r="A4" t="str">
            <v>BẢNG TÍNH TOÁN, ĐO BÓC KHỐI LƯỢNG HOÀN THÀNH ĐƯA VÀO QUYẾT TOÁN</v>
          </cell>
        </row>
      </sheetData>
      <sheetData sheetId="4409">
        <row r="4">
          <cell r="A4" t="str">
            <v>BẢNG TÍNH TOÁN, ĐO BÓC KHỐI LƯỢNG HOÀN THÀNH ĐƯA VÀO QUYẾT TOÁN</v>
          </cell>
        </row>
      </sheetData>
      <sheetData sheetId="4410">
        <row r="4">
          <cell r="A4" t="str">
            <v>BẢNG TÍNH TOÁN, ĐO BÓC KHỐI LƯỢNG HOÀN THÀNH ĐƯA VÀO QUYẾT TOÁN</v>
          </cell>
        </row>
      </sheetData>
      <sheetData sheetId="4411">
        <row r="4">
          <cell r="A4" t="str">
            <v>BẢNG TÍNH TOÁN, ĐO BÓC KHỐI LƯỢNG HOÀN THÀNH ĐƯA VÀO QUYẾT TOÁN</v>
          </cell>
        </row>
      </sheetData>
      <sheetData sheetId="4412">
        <row r="4">
          <cell r="A4" t="str">
            <v>BẢNG TÍNH TOÁN, ĐO BÓC KHỐI LƯỢNG HOÀN THÀNH ĐƯA VÀO QUYẾT TOÁN</v>
          </cell>
        </row>
      </sheetData>
      <sheetData sheetId="4413">
        <row r="4">
          <cell r="A4" t="str">
            <v>BẢNG TÍNH TOÁN, ĐO BÓC KHỐI LƯỢNG HOÀN THÀNH ĐƯA VÀO QUYẾT TOÁN</v>
          </cell>
        </row>
      </sheetData>
      <sheetData sheetId="4414">
        <row r="4">
          <cell r="A4" t="str">
            <v>BẢNG TÍNH TOÁN, ĐO BÓC KHỐI LƯỢNG HOÀN THÀNH ĐƯA VÀO QUYẾT TOÁN</v>
          </cell>
        </row>
      </sheetData>
      <sheetData sheetId="4415">
        <row r="4">
          <cell r="A4" t="str">
            <v>BẢNG TÍNH TOÁN, ĐO BÓC KHỐI LƯỢNG HOÀN THÀNH ĐƯA VÀO QUYẾT TOÁN</v>
          </cell>
        </row>
      </sheetData>
      <sheetData sheetId="4416">
        <row r="4">
          <cell r="A4" t="str">
            <v>BẢNG TÍNH TOÁN, ĐO BÓC KHỐI LƯỢNG HOÀN THÀNH ĐƯA VÀO QUYẾT TOÁN</v>
          </cell>
        </row>
      </sheetData>
      <sheetData sheetId="4417">
        <row r="4">
          <cell r="A4" t="str">
            <v>BẢNG TÍNH TOÁN, ĐO BÓC KHỐI LƯỢNG HOÀN THÀNH ĐƯA VÀO QUYẾT TOÁN</v>
          </cell>
        </row>
      </sheetData>
      <sheetData sheetId="4418">
        <row r="4">
          <cell r="A4" t="str">
            <v>BẢNG TÍNH TOÁN, ĐO BÓC KHỐI LƯỢNG HOÀN THÀNH ĐƯA VÀO QUYẾT TOÁN</v>
          </cell>
        </row>
      </sheetData>
      <sheetData sheetId="4419">
        <row r="4">
          <cell r="A4" t="str">
            <v>BẢNG TÍNH TOÁN, ĐO BÓC KHỐI LƯỢNG HOÀN THÀNH ĐƯA VÀO QUYẾT TOÁN</v>
          </cell>
        </row>
      </sheetData>
      <sheetData sheetId="4420">
        <row r="4">
          <cell r="A4" t="str">
            <v>BẢNG TÍNH TOÁN, ĐO BÓC KHỐI LƯỢNG HOÀN THÀNH ĐƯA VÀO QUYẾT TOÁN</v>
          </cell>
        </row>
      </sheetData>
      <sheetData sheetId="4421">
        <row r="4">
          <cell r="A4" t="str">
            <v>BẢNG TÍNH TOÁN, ĐO BÓC KHỐI LƯỢNG HOÀN THÀNH ĐƯA VÀO QUYẾT TOÁN</v>
          </cell>
        </row>
      </sheetData>
      <sheetData sheetId="4422">
        <row r="4">
          <cell r="A4" t="str">
            <v>BẢNG TÍNH TOÁN, ĐO BÓC KHỐI LƯỢNG HOÀN THÀNH ĐƯA VÀO QUYẾT TOÁN</v>
          </cell>
        </row>
      </sheetData>
      <sheetData sheetId="4423">
        <row r="4">
          <cell r="A4" t="str">
            <v>BẢNG TÍNH TOÁN, ĐO BÓC KHỐI LƯỢNG HOÀN THÀNH ĐƯA VÀO QUYẾT TOÁN</v>
          </cell>
        </row>
      </sheetData>
      <sheetData sheetId="4424">
        <row r="4">
          <cell r="A4" t="str">
            <v>BẢNG TÍNH TOÁN, ĐO BÓC KHỐI LƯỢNG HOÀN THÀNH ĐƯA VÀO QUYẾT TOÁN</v>
          </cell>
        </row>
      </sheetData>
      <sheetData sheetId="4425">
        <row r="4">
          <cell r="A4" t="str">
            <v>BẢNG TÍNH TOÁN, ĐO BÓC KHỐI LƯỢNG HOÀN THÀNH ĐƯA VÀO QUYẾT TOÁN</v>
          </cell>
        </row>
      </sheetData>
      <sheetData sheetId="4426">
        <row r="4">
          <cell r="A4" t="str">
            <v>BẢNG TÍNH TOÁN, ĐO BÓC KHỐI LƯỢNG HOÀN THÀNH ĐƯA VÀO QUYẾT TOÁN</v>
          </cell>
        </row>
      </sheetData>
      <sheetData sheetId="4427">
        <row r="4">
          <cell r="A4" t="str">
            <v>BẢNG TÍNH TOÁN, ĐO BÓC KHỐI LƯỢNG HOÀN THÀNH ĐƯA VÀO QUYẾT TOÁN</v>
          </cell>
        </row>
      </sheetData>
      <sheetData sheetId="4428">
        <row r="4">
          <cell r="A4" t="str">
            <v>BẢNG TÍNH TOÁN, ĐO BÓC KHỐI LƯỢNG HOÀN THÀNH ĐƯA VÀO QUYẾT TOÁN</v>
          </cell>
        </row>
      </sheetData>
      <sheetData sheetId="4429">
        <row r="4">
          <cell r="A4" t="str">
            <v>BẢNG TÍNH TOÁN, ĐO BÓC KHỐI LƯỢNG HOÀN THÀNH ĐƯA VÀO QUYẾT TOÁN</v>
          </cell>
        </row>
      </sheetData>
      <sheetData sheetId="4430">
        <row r="4">
          <cell r="A4" t="str">
            <v>BẢNG TÍNH TOÁN, ĐO BÓC KHỐI LƯỢNG HOÀN THÀNH ĐƯA VÀO QUYẾT TOÁN</v>
          </cell>
        </row>
      </sheetData>
      <sheetData sheetId="4431">
        <row r="4">
          <cell r="A4" t="str">
            <v>BẢNG TÍNH TOÁN, ĐO BÓC KHỐI LƯỢNG HOÀN THÀNH ĐƯA VÀO QUYẾT TOÁN</v>
          </cell>
        </row>
      </sheetData>
      <sheetData sheetId="4432">
        <row r="4">
          <cell r="A4" t="str">
            <v>BẢNG TÍNH TOÁN, ĐO BÓC KHỐI LƯỢNG HOÀN THÀNH ĐƯA VÀO QUYẾT TOÁN</v>
          </cell>
        </row>
      </sheetData>
      <sheetData sheetId="4433">
        <row r="4">
          <cell r="A4" t="str">
            <v>BẢNG TÍNH TOÁN, ĐO BÓC KHỐI LƯỢNG HOÀN THÀNH ĐƯA VÀO QUYẾT TOÁN</v>
          </cell>
        </row>
      </sheetData>
      <sheetData sheetId="4434">
        <row r="4">
          <cell r="A4" t="str">
            <v>BẢNG TÍNH TOÁN, ĐO BÓC KHỐI LƯỢNG HOÀN THÀNH ĐƯA VÀO QUYẾT TOÁN</v>
          </cell>
        </row>
      </sheetData>
      <sheetData sheetId="4435">
        <row r="4">
          <cell r="A4" t="str">
            <v>BẢNG TÍNH TOÁN, ĐO BÓC KHỐI LƯỢNG HOÀN THÀNH ĐƯA VÀO QUYẾT TOÁN</v>
          </cell>
        </row>
      </sheetData>
      <sheetData sheetId="4436">
        <row r="4">
          <cell r="A4" t="str">
            <v>BẢNG TÍNH TOÁN, ĐO BÓC KHỐI LƯỢNG HOÀN THÀNH ĐƯA VÀO QUYẾT TOÁN</v>
          </cell>
        </row>
      </sheetData>
      <sheetData sheetId="4437">
        <row r="4">
          <cell r="A4" t="str">
            <v>BẢNG TÍNH TOÁN, ĐO BÓC KHỐI LƯỢNG HOÀN THÀNH ĐƯA VÀO QUYẾT TOÁN</v>
          </cell>
        </row>
      </sheetData>
      <sheetData sheetId="4438">
        <row r="4">
          <cell r="A4" t="str">
            <v>BẢNG TÍNH TOÁN, ĐO BÓC KHỐI LƯỢNG HOÀN THÀNH ĐƯA VÀO QUYẾT TOÁN</v>
          </cell>
        </row>
      </sheetData>
      <sheetData sheetId="4439">
        <row r="4">
          <cell r="A4" t="str">
            <v>BẢNG TÍNH TOÁN, ĐO BÓC KHỐI LƯỢNG HOÀN THÀNH ĐƯA VÀO QUYẾT TOÁN</v>
          </cell>
        </row>
      </sheetData>
      <sheetData sheetId="4440">
        <row r="4">
          <cell r="A4" t="str">
            <v>BẢNG TÍNH TOÁN, ĐO BÓC KHỐI LƯỢNG HOÀN THÀNH ĐƯA VÀO QUYẾT TOÁN</v>
          </cell>
        </row>
      </sheetData>
      <sheetData sheetId="4441">
        <row r="4">
          <cell r="A4" t="str">
            <v>BẢNG TÍNH TOÁN, ĐO BÓC KHỐI LƯỢNG HOÀN THÀNH ĐƯA VÀO QUYẾT TOÁN</v>
          </cell>
        </row>
      </sheetData>
      <sheetData sheetId="4442">
        <row r="4">
          <cell r="A4" t="str">
            <v>BẢNG TÍNH TOÁN, ĐO BÓC KHỐI LƯỢNG HOÀN THÀNH ĐƯA VÀO QUYẾT TOÁN</v>
          </cell>
        </row>
      </sheetData>
      <sheetData sheetId="4443">
        <row r="4">
          <cell r="A4" t="str">
            <v>BẢNG TÍNH TOÁN, ĐO BÓC KHỐI LƯỢNG HOÀN THÀNH ĐƯA VÀO QUYẾT TOÁN</v>
          </cell>
        </row>
      </sheetData>
      <sheetData sheetId="4444">
        <row r="4">
          <cell r="A4" t="str">
            <v>BẢNG TÍNH TOÁN, ĐO BÓC KHỐI LƯỢNG HOÀN THÀNH ĐƯA VÀO QUYẾT TOÁN</v>
          </cell>
        </row>
      </sheetData>
      <sheetData sheetId="4445">
        <row r="4">
          <cell r="A4" t="str">
            <v>BẢNG TÍNH TOÁN, ĐO BÓC KHỐI LƯỢNG HOÀN THÀNH ĐƯA VÀO QUYẾT TOÁN</v>
          </cell>
        </row>
      </sheetData>
      <sheetData sheetId="4446">
        <row r="4">
          <cell r="A4" t="str">
            <v>BẢNG TÍNH TOÁN, ĐO BÓC KHỐI LƯỢNG HOÀN THÀNH ĐƯA VÀO QUYẾT TOÁN</v>
          </cell>
        </row>
      </sheetData>
      <sheetData sheetId="4447">
        <row r="4">
          <cell r="A4" t="str">
            <v>BẢNG TÍNH TOÁN, ĐO BÓC KHỐI LƯỢNG HOÀN THÀNH ĐƯA VÀO QUYẾT TOÁN</v>
          </cell>
        </row>
      </sheetData>
      <sheetData sheetId="4448">
        <row r="4">
          <cell r="A4" t="str">
            <v>BẢNG TÍNH TOÁN, ĐO BÓC KHỐI LƯỢNG HOÀN THÀNH ĐƯA VÀO QUYẾT TOÁN</v>
          </cell>
        </row>
      </sheetData>
      <sheetData sheetId="4449">
        <row r="4">
          <cell r="A4" t="str">
            <v>BẢNG TÍNH TOÁN, ĐO BÓC KHỐI LƯỢNG HOÀN THÀNH ĐƯA VÀO QUYẾT TOÁN</v>
          </cell>
        </row>
      </sheetData>
      <sheetData sheetId="4450">
        <row r="4">
          <cell r="A4" t="str">
            <v>BẢNG TÍNH TOÁN, ĐO BÓC KHỐI LƯỢNG HOÀN THÀNH ĐƯA VÀO QUYẾT TOÁN</v>
          </cell>
        </row>
      </sheetData>
      <sheetData sheetId="4451">
        <row r="4">
          <cell r="A4" t="str">
            <v>BẢNG TÍNH TOÁN, ĐO BÓC KHỐI LƯỢNG HOÀN THÀNH ĐƯA VÀO QUYẾT TOÁN</v>
          </cell>
        </row>
      </sheetData>
      <sheetData sheetId="4452">
        <row r="4">
          <cell r="A4" t="str">
            <v>BẢNG TÍNH TOÁN, ĐO BÓC KHỐI LƯỢNG HOÀN THÀNH ĐƯA VÀO QUYẾT TOÁN</v>
          </cell>
        </row>
      </sheetData>
      <sheetData sheetId="4453">
        <row r="4">
          <cell r="A4" t="str">
            <v>BẢNG TÍNH TOÁN, ĐO BÓC KHỐI LƯỢNG HOÀN THÀNH ĐƯA VÀO QUYẾT TOÁN</v>
          </cell>
        </row>
      </sheetData>
      <sheetData sheetId="4454">
        <row r="4">
          <cell r="A4" t="str">
            <v>BẢNG TÍNH TOÁN, ĐO BÓC KHỐI LƯỢNG HOÀN THÀNH ĐƯA VÀO QUYẾT TOÁN</v>
          </cell>
        </row>
      </sheetData>
      <sheetData sheetId="4455">
        <row r="4">
          <cell r="A4" t="str">
            <v>BẢNG TÍNH TOÁN, ĐO BÓC KHỐI LƯỢNG HOÀN THÀNH ĐƯA VÀO QUYẾT TOÁN</v>
          </cell>
        </row>
      </sheetData>
      <sheetData sheetId="4456">
        <row r="4">
          <cell r="A4" t="str">
            <v>BẢNG TÍNH TOÁN, ĐO BÓC KHỐI LƯỢNG HOÀN THÀNH ĐƯA VÀO QUYẾT TOÁN</v>
          </cell>
        </row>
      </sheetData>
      <sheetData sheetId="4457">
        <row r="4">
          <cell r="A4" t="str">
            <v>BẢNG TÍNH TOÁN, ĐO BÓC KHỐI LƯỢNG HOÀN THÀNH ĐƯA VÀO QUYẾT TOÁN</v>
          </cell>
        </row>
      </sheetData>
      <sheetData sheetId="4458">
        <row r="4">
          <cell r="A4" t="str">
            <v>BẢNG TÍNH TOÁN, ĐO BÓC KHỐI LƯỢNG HOÀN THÀNH ĐƯA VÀO QUYẾT TOÁN</v>
          </cell>
        </row>
      </sheetData>
      <sheetData sheetId="4459">
        <row r="4">
          <cell r="A4" t="str">
            <v>BẢNG TÍNH TOÁN, ĐO BÓC KHỐI LƯỢNG HOÀN THÀNH ĐƯA VÀO QUYẾT TOÁN</v>
          </cell>
        </row>
      </sheetData>
      <sheetData sheetId="4460">
        <row r="4">
          <cell r="A4" t="str">
            <v>BẢNG TÍNH TOÁN, ĐO BÓC KHỐI LƯỢNG HOÀN THÀNH ĐƯA VÀO QUYẾT TOÁN</v>
          </cell>
        </row>
      </sheetData>
      <sheetData sheetId="4461">
        <row r="4">
          <cell r="A4" t="str">
            <v>BẢNG TÍNH TOÁN, ĐO BÓC KHỐI LƯỢNG HOÀN THÀNH ĐƯA VÀO QUYẾT TOÁN</v>
          </cell>
        </row>
      </sheetData>
      <sheetData sheetId="4462">
        <row r="4">
          <cell r="A4" t="str">
            <v>BẢNG TÍNH TOÁN, ĐO BÓC KHỐI LƯỢNG HOÀN THÀNH ĐƯA VÀO QUYẾT TOÁN</v>
          </cell>
        </row>
      </sheetData>
      <sheetData sheetId="4463">
        <row r="4">
          <cell r="A4" t="str">
            <v>BẢNG TÍNH TOÁN, ĐO BÓC KHỐI LƯỢNG HOÀN THÀNH ĐƯA VÀO QUYẾT TOÁN</v>
          </cell>
        </row>
      </sheetData>
      <sheetData sheetId="4464">
        <row r="4">
          <cell r="A4" t="str">
            <v>BẢNG TÍNH TOÁN, ĐO BÓC KHỐI LƯỢNG HOÀN THÀNH ĐƯA VÀO QUYẾT TOÁN</v>
          </cell>
        </row>
      </sheetData>
      <sheetData sheetId="4465">
        <row r="4">
          <cell r="A4" t="str">
            <v>BẢNG TÍNH TOÁN, ĐO BÓC KHỐI LƯỢNG HOÀN THÀNH ĐƯA VÀO QUYẾT TOÁN</v>
          </cell>
        </row>
      </sheetData>
      <sheetData sheetId="4466">
        <row r="4">
          <cell r="A4" t="str">
            <v>BẢNG TÍNH TOÁN, ĐO BÓC KHỐI LƯỢNG HOÀN THÀNH ĐƯA VÀO QUYẾT TOÁN</v>
          </cell>
        </row>
      </sheetData>
      <sheetData sheetId="4467">
        <row r="4">
          <cell r="A4" t="str">
            <v>BẢNG TÍNH TOÁN, ĐO BÓC KHỐI LƯỢNG HOÀN THÀNH ĐƯA VÀO QUYẾT TOÁN</v>
          </cell>
        </row>
      </sheetData>
      <sheetData sheetId="4468">
        <row r="4">
          <cell r="A4" t="str">
            <v>BẢNG TÍNH TOÁN, ĐO BÓC KHỐI LƯỢNG HOÀN THÀNH ĐƯA VÀO QUYẾT TOÁN</v>
          </cell>
        </row>
      </sheetData>
      <sheetData sheetId="4469">
        <row r="4">
          <cell r="A4" t="str">
            <v>BẢNG TÍNH TOÁN, ĐO BÓC KHỐI LƯỢNG HOÀN THÀNH ĐƯA VÀO QUYẾT TOÁN</v>
          </cell>
        </row>
      </sheetData>
      <sheetData sheetId="4470">
        <row r="4">
          <cell r="A4" t="str">
            <v>BẢNG TÍNH TOÁN, ĐO BÓC KHỐI LƯỢNG HOÀN THÀNH ĐƯA VÀO QUYẾT TOÁN</v>
          </cell>
        </row>
      </sheetData>
      <sheetData sheetId="4471">
        <row r="4">
          <cell r="A4" t="str">
            <v>BẢNG TÍNH TOÁN, ĐO BÓC KHỐI LƯỢNG HOÀN THÀNH ĐƯA VÀO QUYẾT TOÁN</v>
          </cell>
        </row>
      </sheetData>
      <sheetData sheetId="4472">
        <row r="4">
          <cell r="A4" t="str">
            <v>BẢNG TÍNH TOÁN, ĐO BÓC KHỐI LƯỢNG HOÀN THÀNH ĐƯA VÀO QUYẾT TOÁN</v>
          </cell>
        </row>
      </sheetData>
      <sheetData sheetId="4473">
        <row r="4">
          <cell r="A4" t="str">
            <v>BẢNG TÍNH TOÁN, ĐO BÓC KHỐI LƯỢNG HOÀN THÀNH ĐƯA VÀO QUYẾT TOÁN</v>
          </cell>
        </row>
      </sheetData>
      <sheetData sheetId="4474">
        <row r="4">
          <cell r="A4" t="str">
            <v>BẢNG TÍNH TOÁN, ĐO BÓC KHỐI LƯỢNG HOÀN THÀNH ĐƯA VÀO QUYẾT TOÁN</v>
          </cell>
        </row>
      </sheetData>
      <sheetData sheetId="4475">
        <row r="4">
          <cell r="A4" t="str">
            <v>BẢNG TÍNH TOÁN, ĐO BÓC KHỐI LƯỢNG HOÀN THÀNH ĐƯA VÀO QUYẾT TOÁN</v>
          </cell>
        </row>
      </sheetData>
      <sheetData sheetId="4476">
        <row r="4">
          <cell r="A4" t="str">
            <v>BẢNG TÍNH TOÁN, ĐO BÓC KHỐI LƯỢNG HOÀN THÀNH ĐƯA VÀO QUYẾT TOÁN</v>
          </cell>
        </row>
      </sheetData>
      <sheetData sheetId="4477">
        <row r="4">
          <cell r="A4" t="str">
            <v>BẢNG TÍNH TOÁN, ĐO BÓC KHỐI LƯỢNG HOÀN THÀNH ĐƯA VÀO QUYẾT TOÁN</v>
          </cell>
        </row>
      </sheetData>
      <sheetData sheetId="4478">
        <row r="4">
          <cell r="A4" t="str">
            <v>BẢNG TÍNH TOÁN, ĐO BÓC KHỐI LƯỢNG HOÀN THÀNH ĐƯA VÀO QUYẾT TOÁN</v>
          </cell>
        </row>
      </sheetData>
      <sheetData sheetId="4479">
        <row r="4">
          <cell r="A4" t="str">
            <v>BẢNG TÍNH TOÁN, ĐO BÓC KHỐI LƯỢNG HOÀN THÀNH ĐƯA VÀO QUYẾT TOÁN</v>
          </cell>
        </row>
      </sheetData>
      <sheetData sheetId="4480">
        <row r="4">
          <cell r="A4" t="str">
            <v>BẢNG TÍNH TOÁN, ĐO BÓC KHỐI LƯỢNG HOÀN THÀNH ĐƯA VÀO QUYẾT TOÁN</v>
          </cell>
        </row>
      </sheetData>
      <sheetData sheetId="4481">
        <row r="4">
          <cell r="A4" t="str">
            <v>BẢNG TÍNH TOÁN, ĐO BÓC KHỐI LƯỢNG HOÀN THÀNH ĐƯA VÀO QUYẾT TOÁN</v>
          </cell>
        </row>
      </sheetData>
      <sheetData sheetId="4482">
        <row r="4">
          <cell r="A4" t="str">
            <v>BẢNG TÍNH TOÁN, ĐO BÓC KHỐI LƯỢNG HOÀN THÀNH ĐƯA VÀO QUYẾT TOÁN</v>
          </cell>
        </row>
      </sheetData>
      <sheetData sheetId="4483">
        <row r="4">
          <cell r="A4" t="str">
            <v>BẢNG TÍNH TOÁN, ĐO BÓC KHỐI LƯỢNG HOÀN THÀNH ĐƯA VÀO QUYẾT TOÁN</v>
          </cell>
        </row>
      </sheetData>
      <sheetData sheetId="4484">
        <row r="4">
          <cell r="A4" t="str">
            <v>BẢNG TÍNH TOÁN, ĐO BÓC KHỐI LƯỢNG HOÀN THÀNH ĐƯA VÀO QUYẾT TOÁN</v>
          </cell>
        </row>
      </sheetData>
      <sheetData sheetId="4485">
        <row r="4">
          <cell r="A4" t="str">
            <v>BẢNG TÍNH TOÁN, ĐO BÓC KHỐI LƯỢNG HOÀN THÀNH ĐƯA VÀO QUYẾT TOÁN</v>
          </cell>
        </row>
      </sheetData>
      <sheetData sheetId="4486">
        <row r="4">
          <cell r="A4" t="str">
            <v>BẢNG TÍNH TOÁN, ĐO BÓC KHỐI LƯỢNG HOÀN THÀNH ĐƯA VÀO QUYẾT TOÁN</v>
          </cell>
        </row>
      </sheetData>
      <sheetData sheetId="4487">
        <row r="4">
          <cell r="A4" t="str">
            <v>BẢNG TÍNH TOÁN, ĐO BÓC KHỐI LƯỢNG HOÀN THÀNH ĐƯA VÀO QUYẾT TOÁN</v>
          </cell>
        </row>
      </sheetData>
      <sheetData sheetId="4488">
        <row r="4">
          <cell r="A4" t="str">
            <v>BẢNG TÍNH TOÁN, ĐO BÓC KHỐI LƯỢNG HOÀN THÀNH ĐƯA VÀO QUYẾT TOÁN</v>
          </cell>
        </row>
      </sheetData>
      <sheetData sheetId="4489">
        <row r="4">
          <cell r="A4" t="str">
            <v>BẢNG TÍNH TOÁN, ĐO BÓC KHỐI LƯỢNG HOÀN THÀNH ĐƯA VÀO QUYẾT TOÁN</v>
          </cell>
        </row>
      </sheetData>
      <sheetData sheetId="4490">
        <row r="4">
          <cell r="A4" t="str">
            <v>BẢNG TÍNH TOÁN, ĐO BÓC KHỐI LƯỢNG HOÀN THÀNH ĐƯA VÀO QUYẾT TOÁN</v>
          </cell>
        </row>
      </sheetData>
      <sheetData sheetId="4491">
        <row r="4">
          <cell r="A4" t="str">
            <v>BẢNG TÍNH TOÁN, ĐO BÓC KHỐI LƯỢNG HOÀN THÀNH ĐƯA VÀO QUYẾT TOÁN</v>
          </cell>
        </row>
      </sheetData>
      <sheetData sheetId="4492">
        <row r="4">
          <cell r="A4" t="str">
            <v>BẢNG TÍNH TOÁN, ĐO BÓC KHỐI LƯỢNG HOÀN THÀNH ĐƯA VÀO QUYẾT TOÁN</v>
          </cell>
        </row>
      </sheetData>
      <sheetData sheetId="4493">
        <row r="4">
          <cell r="A4" t="str">
            <v>BẢNG TÍNH TOÁN, ĐO BÓC KHỐI LƯỢNG HOÀN THÀNH ĐƯA VÀO QUYẾT TOÁN</v>
          </cell>
        </row>
      </sheetData>
      <sheetData sheetId="4494">
        <row r="4">
          <cell r="A4" t="str">
            <v>BẢNG TÍNH TOÁN, ĐO BÓC KHỐI LƯỢNG HOÀN THÀNH ĐƯA VÀO QUYẾT TOÁN</v>
          </cell>
        </row>
      </sheetData>
      <sheetData sheetId="4495">
        <row r="4">
          <cell r="A4" t="str">
            <v>BẢNG TÍNH TOÁN, ĐO BÓC KHỐI LƯỢNG HOÀN THÀNH ĐƯA VÀO QUYẾT TOÁN</v>
          </cell>
        </row>
      </sheetData>
      <sheetData sheetId="4496">
        <row r="4">
          <cell r="A4" t="str">
            <v>BẢNG TÍNH TOÁN, ĐO BÓC KHỐI LƯỢNG HOÀN THÀNH ĐƯA VÀO QUYẾT TOÁN</v>
          </cell>
        </row>
      </sheetData>
      <sheetData sheetId="4497">
        <row r="4">
          <cell r="A4" t="str">
            <v>BẢNG TÍNH TOÁN, ĐO BÓC KHỐI LƯỢNG HOÀN THÀNH ĐƯA VÀO QUYẾT TOÁN</v>
          </cell>
        </row>
      </sheetData>
      <sheetData sheetId="4498">
        <row r="4">
          <cell r="A4" t="str">
            <v>BẢNG TÍNH TOÁN, ĐO BÓC KHỐI LƯỢNG HOÀN THÀNH ĐƯA VÀO QUYẾT TOÁN</v>
          </cell>
        </row>
      </sheetData>
      <sheetData sheetId="4499">
        <row r="4">
          <cell r="A4" t="str">
            <v>BẢNG TÍNH TOÁN, ĐO BÓC KHỐI LƯỢNG HOÀN THÀNH ĐƯA VÀO QUYẾT TOÁN</v>
          </cell>
        </row>
      </sheetData>
      <sheetData sheetId="4500">
        <row r="4">
          <cell r="A4" t="str">
            <v>BẢNG TÍNH TOÁN, ĐO BÓC KHỐI LƯỢNG HOÀN THÀNH ĐƯA VÀO QUYẾT TOÁN</v>
          </cell>
        </row>
      </sheetData>
      <sheetData sheetId="4501">
        <row r="4">
          <cell r="A4" t="str">
            <v>BẢNG TÍNH TOÁN, ĐO BÓC KHỐI LƯỢNG HOÀN THÀNH ĐƯA VÀO QUYẾT TOÁN</v>
          </cell>
        </row>
      </sheetData>
      <sheetData sheetId="4502">
        <row r="4">
          <cell r="A4" t="str">
            <v>BẢNG TÍNH TOÁN, ĐO BÓC KHỐI LƯỢNG HOÀN THÀNH ĐƯA VÀO QUYẾT TOÁN</v>
          </cell>
        </row>
      </sheetData>
      <sheetData sheetId="4503">
        <row r="4">
          <cell r="A4" t="str">
            <v>BẢNG TÍNH TOÁN, ĐO BÓC KHỐI LƯỢNG HOÀN THÀNH ĐƯA VÀO QUYẾT TOÁN</v>
          </cell>
        </row>
      </sheetData>
      <sheetData sheetId="4504">
        <row r="4">
          <cell r="A4" t="str">
            <v>BẢNG TÍNH TOÁN, ĐO BÓC KHỐI LƯỢNG HOÀN THÀNH ĐƯA VÀO QUYẾT TOÁN</v>
          </cell>
        </row>
      </sheetData>
      <sheetData sheetId="4505">
        <row r="4">
          <cell r="A4" t="str">
            <v>BẢNG TÍNH TOÁN, ĐO BÓC KHỐI LƯỢNG HOÀN THÀNH ĐƯA VÀO QUYẾT TOÁN</v>
          </cell>
        </row>
      </sheetData>
      <sheetData sheetId="4506">
        <row r="4">
          <cell r="A4" t="str">
            <v>BẢNG TÍNH TOÁN, ĐO BÓC KHỐI LƯỢNG HOÀN THÀNH ĐƯA VÀO QUYẾT TOÁN</v>
          </cell>
        </row>
      </sheetData>
      <sheetData sheetId="4507">
        <row r="4">
          <cell r="A4" t="str">
            <v>BẢNG TÍNH TOÁN, ĐO BÓC KHỐI LƯỢNG HOÀN THÀNH ĐƯA VÀO QUYẾT TOÁN</v>
          </cell>
        </row>
      </sheetData>
      <sheetData sheetId="4508">
        <row r="4">
          <cell r="A4" t="str">
            <v>BẢNG TÍNH TOÁN, ĐO BÓC KHỐI LƯỢNG HOÀN THÀNH ĐƯA VÀO QUYẾT TOÁN</v>
          </cell>
        </row>
      </sheetData>
      <sheetData sheetId="4509">
        <row r="4">
          <cell r="A4" t="str">
            <v>BẢNG TÍNH TOÁN, ĐO BÓC KHỐI LƯỢNG HOÀN THÀNH ĐƯA VÀO QUYẾT TOÁN</v>
          </cell>
        </row>
      </sheetData>
      <sheetData sheetId="4510">
        <row r="4">
          <cell r="A4" t="str">
            <v>BẢNG TÍNH TOÁN, ĐO BÓC KHỐI LƯỢNG HOÀN THÀNH ĐƯA VÀO QUYẾT TOÁN</v>
          </cell>
        </row>
      </sheetData>
      <sheetData sheetId="4511">
        <row r="4">
          <cell r="A4" t="str">
            <v>BẢNG TÍNH TOÁN, ĐO BÓC KHỐI LƯỢNG HOÀN THÀNH ĐƯA VÀO QUYẾT TOÁN</v>
          </cell>
        </row>
      </sheetData>
      <sheetData sheetId="4512">
        <row r="4">
          <cell r="A4" t="str">
            <v>BẢNG TÍNH TOÁN, ĐO BÓC KHỐI LƯỢNG HOÀN THÀNH ĐƯA VÀO QUYẾT TOÁN</v>
          </cell>
        </row>
      </sheetData>
      <sheetData sheetId="4513">
        <row r="4">
          <cell r="A4" t="str">
            <v>BẢNG TÍNH TOÁN, ĐO BÓC KHỐI LƯỢNG HOÀN THÀNH ĐƯA VÀO QUYẾT TOÁN</v>
          </cell>
        </row>
      </sheetData>
      <sheetData sheetId="4514">
        <row r="4">
          <cell r="A4" t="str">
            <v>BẢNG TÍNH TOÁN, ĐO BÓC KHỐI LƯỢNG HOÀN THÀNH ĐƯA VÀO QUYẾT TOÁN</v>
          </cell>
        </row>
      </sheetData>
      <sheetData sheetId="4515">
        <row r="4">
          <cell r="A4" t="str">
            <v>BẢNG TÍNH TOÁN, ĐO BÓC KHỐI LƯỢNG HOÀN THÀNH ĐƯA VÀO QUYẾT TOÁN</v>
          </cell>
        </row>
      </sheetData>
      <sheetData sheetId="4516">
        <row r="4">
          <cell r="A4" t="str">
            <v>BẢNG TÍNH TOÁN, ĐO BÓC KHỐI LƯỢNG HOÀN THÀNH ĐƯA VÀO QUYẾT TOÁN</v>
          </cell>
        </row>
      </sheetData>
      <sheetData sheetId="4517">
        <row r="4">
          <cell r="A4" t="str">
            <v>BẢNG TÍNH TOÁN, ĐO BÓC KHỐI LƯỢNG HOÀN THÀNH ĐƯA VÀO QUYẾT TOÁN</v>
          </cell>
        </row>
      </sheetData>
      <sheetData sheetId="4518">
        <row r="4">
          <cell r="A4" t="str">
            <v>BẢNG TÍNH TOÁN, ĐO BÓC KHỐI LƯỢNG HOÀN THÀNH ĐƯA VÀO QUYẾT TOÁN</v>
          </cell>
        </row>
      </sheetData>
      <sheetData sheetId="4519">
        <row r="4">
          <cell r="A4" t="str">
            <v>BẢNG TÍNH TOÁN, ĐO BÓC KHỐI LƯỢNG HOÀN THÀNH ĐƯA VÀO QUYẾT TOÁN</v>
          </cell>
        </row>
      </sheetData>
      <sheetData sheetId="4520">
        <row r="4">
          <cell r="A4" t="str">
            <v>BẢNG TÍNH TOÁN, ĐO BÓC KHỐI LƯỢNG HOÀN THÀNH ĐƯA VÀO QUYẾT TOÁN</v>
          </cell>
        </row>
      </sheetData>
      <sheetData sheetId="4521">
        <row r="4">
          <cell r="A4" t="str">
            <v>BẢNG TÍNH TOÁN, ĐO BÓC KHỐI LƯỢNG HOÀN THÀNH ĐƯA VÀO QUYẾT TOÁN</v>
          </cell>
        </row>
      </sheetData>
      <sheetData sheetId="4522">
        <row r="4">
          <cell r="A4" t="str">
            <v>BẢNG TÍNH TOÁN, ĐO BÓC KHỐI LƯỢNG HOÀN THÀNH ĐƯA VÀO QUYẾT TOÁN</v>
          </cell>
        </row>
      </sheetData>
      <sheetData sheetId="4523">
        <row r="4">
          <cell r="A4" t="str">
            <v>BẢNG TÍNH TOÁN, ĐO BÓC KHỐI LƯỢNG HOÀN THÀNH ĐƯA VÀO QUYẾT TOÁN</v>
          </cell>
        </row>
      </sheetData>
      <sheetData sheetId="4524">
        <row r="4">
          <cell r="A4" t="str">
            <v>BẢNG TÍNH TOÁN, ĐO BÓC KHỐI LƯỢNG HOÀN THÀNH ĐƯA VÀO QUYẾT TOÁN</v>
          </cell>
        </row>
      </sheetData>
      <sheetData sheetId="4525">
        <row r="4">
          <cell r="A4" t="str">
            <v>BẢNG TÍNH TOÁN, ĐO BÓC KHỐI LƯỢNG HOÀN THÀNH ĐƯA VÀO QUYẾT TOÁN</v>
          </cell>
        </row>
      </sheetData>
      <sheetData sheetId="4526">
        <row r="4">
          <cell r="A4" t="str">
            <v>BẢNG TÍNH TOÁN, ĐO BÓC KHỐI LƯỢNG HOÀN THÀNH ĐƯA VÀO QUYẾT TOÁN</v>
          </cell>
        </row>
      </sheetData>
      <sheetData sheetId="4527">
        <row r="4">
          <cell r="A4" t="str">
            <v>BẢNG TÍNH TOÁN, ĐO BÓC KHỐI LƯỢNG HOÀN THÀNH ĐƯA VÀO QUYẾT TOÁN</v>
          </cell>
        </row>
      </sheetData>
      <sheetData sheetId="4528">
        <row r="4">
          <cell r="A4" t="str">
            <v>BẢNG TÍNH TOÁN, ĐO BÓC KHỐI LƯỢNG HOÀN THÀNH ĐƯA VÀO QUYẾT TOÁN</v>
          </cell>
        </row>
      </sheetData>
      <sheetData sheetId="4529">
        <row r="4">
          <cell r="A4" t="str">
            <v>BẢNG TÍNH TOÁN, ĐO BÓC KHỐI LƯỢNG HOÀN THÀNH ĐƯA VÀO QUYẾT TOÁN</v>
          </cell>
        </row>
      </sheetData>
      <sheetData sheetId="4530">
        <row r="4">
          <cell r="A4" t="str">
            <v>BẢNG TÍNH TOÁN, ĐO BÓC KHỐI LƯỢNG HOÀN THÀNH ĐƯA VÀO QUYẾT TOÁN</v>
          </cell>
        </row>
      </sheetData>
      <sheetData sheetId="4531">
        <row r="4">
          <cell r="A4" t="str">
            <v>BẢNG TÍNH TOÁN, ĐO BÓC KHỐI LƯỢNG HOÀN THÀNH ĐƯA VÀO QUYẾT TOÁN</v>
          </cell>
        </row>
      </sheetData>
      <sheetData sheetId="4532">
        <row r="4">
          <cell r="A4" t="str">
            <v>BẢNG TÍNH TOÁN, ĐO BÓC KHỐI LƯỢNG HOÀN THÀNH ĐƯA VÀO QUYẾT TOÁN</v>
          </cell>
        </row>
      </sheetData>
      <sheetData sheetId="4533">
        <row r="4">
          <cell r="A4" t="str">
            <v>BẢNG TÍNH TOÁN, ĐO BÓC KHỐI LƯỢNG HOÀN THÀNH ĐƯA VÀO QUYẾT TOÁN</v>
          </cell>
        </row>
      </sheetData>
      <sheetData sheetId="4534">
        <row r="4">
          <cell r="A4" t="str">
            <v>BẢNG TÍNH TOÁN, ĐO BÓC KHỐI LƯỢNG HOÀN THÀNH ĐƯA VÀO QUYẾT TOÁN</v>
          </cell>
        </row>
      </sheetData>
      <sheetData sheetId="4535">
        <row r="4">
          <cell r="A4" t="str">
            <v>BẢNG TÍNH TOÁN, ĐO BÓC KHỐI LƯỢNG HOÀN THÀNH ĐƯA VÀO QUYẾT TOÁN</v>
          </cell>
        </row>
      </sheetData>
      <sheetData sheetId="4536">
        <row r="4">
          <cell r="A4" t="str">
            <v>BẢNG TÍNH TOÁN, ĐO BÓC KHỐI LƯỢNG HOÀN THÀNH ĐƯA VÀO QUYẾT TOÁN</v>
          </cell>
        </row>
      </sheetData>
      <sheetData sheetId="4537">
        <row r="4">
          <cell r="A4" t="str">
            <v>BẢNG TÍNH TOÁN, ĐO BÓC KHỐI LƯỢNG HOÀN THÀNH ĐƯA VÀO QUYẾT TOÁN</v>
          </cell>
        </row>
      </sheetData>
      <sheetData sheetId="4538">
        <row r="4">
          <cell r="A4" t="str">
            <v>BẢNG TÍNH TOÁN, ĐO BÓC KHỐI LƯỢNG HOÀN THÀNH ĐƯA VÀO QUYẾT TOÁN</v>
          </cell>
        </row>
      </sheetData>
      <sheetData sheetId="4539">
        <row r="4">
          <cell r="A4" t="str">
            <v>BẢNG TÍNH TOÁN, ĐO BÓC KHỐI LƯỢNG HOÀN THÀNH ĐƯA VÀO QUYẾT TOÁN</v>
          </cell>
        </row>
      </sheetData>
      <sheetData sheetId="4540">
        <row r="4">
          <cell r="A4" t="str">
            <v>BẢNG TÍNH TOÁN, ĐO BÓC KHỐI LƯỢNG HOÀN THÀNH ĐƯA VÀO QUYẾT TOÁN</v>
          </cell>
        </row>
      </sheetData>
      <sheetData sheetId="4541">
        <row r="4">
          <cell r="A4" t="str">
            <v>BẢNG TÍNH TOÁN, ĐO BÓC KHỐI LƯỢNG HOÀN THÀNH ĐƯA VÀO QUYẾT TOÁN</v>
          </cell>
        </row>
      </sheetData>
      <sheetData sheetId="4542">
        <row r="4">
          <cell r="A4" t="str">
            <v>BẢNG TÍNH TOÁN, ĐO BÓC KHỐI LƯỢNG HOÀN THÀNH ĐƯA VÀO QUYẾT TOÁN</v>
          </cell>
        </row>
      </sheetData>
      <sheetData sheetId="4543">
        <row r="4">
          <cell r="A4" t="str">
            <v>BẢNG TÍNH TOÁN, ĐO BÓC KHỐI LƯỢNG HOÀN THÀNH ĐƯA VÀO QUYẾT TOÁN</v>
          </cell>
        </row>
      </sheetData>
      <sheetData sheetId="4544">
        <row r="4">
          <cell r="A4" t="str">
            <v>BẢNG TÍNH TOÁN, ĐO BÓC KHỐI LƯỢNG HOÀN THÀNH ĐƯA VÀO QUYẾT TOÁN</v>
          </cell>
        </row>
      </sheetData>
      <sheetData sheetId="4545">
        <row r="4">
          <cell r="A4" t="str">
            <v>BẢNG TÍNH TOÁN, ĐO BÓC KHỐI LƯỢNG HOÀN THÀNH ĐƯA VÀO QUYẾT TOÁN</v>
          </cell>
        </row>
      </sheetData>
      <sheetData sheetId="4546">
        <row r="4">
          <cell r="A4" t="str">
            <v>BẢNG TÍNH TOÁN, ĐO BÓC KHỐI LƯỢNG HOÀN THÀNH ĐƯA VÀO QUYẾT TOÁN</v>
          </cell>
        </row>
      </sheetData>
      <sheetData sheetId="4547">
        <row r="4">
          <cell r="A4" t="str">
            <v>BẢNG TÍNH TOÁN, ĐO BÓC KHỐI LƯỢNG HOÀN THÀNH ĐƯA VÀO QUYẾT TOÁN</v>
          </cell>
        </row>
      </sheetData>
      <sheetData sheetId="4548">
        <row r="4">
          <cell r="A4" t="str">
            <v>BẢNG TÍNH TOÁN, ĐO BÓC KHỐI LƯỢNG HOÀN THÀNH ĐƯA VÀO QUYẾT TOÁN</v>
          </cell>
        </row>
      </sheetData>
      <sheetData sheetId="4549">
        <row r="4">
          <cell r="A4" t="str">
            <v>BẢNG TÍNH TOÁN, ĐO BÓC KHỐI LƯỢNG HOÀN THÀNH ĐƯA VÀO QUYẾT TOÁN</v>
          </cell>
        </row>
      </sheetData>
      <sheetData sheetId="4550">
        <row r="4">
          <cell r="A4" t="str">
            <v>BẢNG TÍNH TOÁN, ĐO BÓC KHỐI LƯỢNG HOÀN THÀNH ĐƯA VÀO QUYẾT TOÁN</v>
          </cell>
        </row>
      </sheetData>
      <sheetData sheetId="4551">
        <row r="4">
          <cell r="A4" t="str">
            <v>BẢNG TÍNH TOÁN, ĐO BÓC KHỐI LƯỢNG HOÀN THÀNH ĐƯA VÀO QUYẾT TOÁN</v>
          </cell>
        </row>
      </sheetData>
      <sheetData sheetId="4552">
        <row r="4">
          <cell r="A4" t="str">
            <v>BẢNG TÍNH TOÁN, ĐO BÓC KHỐI LƯỢNG HOÀN THÀNH ĐƯA VÀO QUYẾT TOÁN</v>
          </cell>
        </row>
      </sheetData>
      <sheetData sheetId="4553">
        <row r="4">
          <cell r="A4" t="str">
            <v>BẢNG TÍNH TOÁN, ĐO BÓC KHỐI LƯỢNG HOÀN THÀNH ĐƯA VÀO QUYẾT TOÁN</v>
          </cell>
        </row>
      </sheetData>
      <sheetData sheetId="4554">
        <row r="4">
          <cell r="A4" t="str">
            <v>BẢNG TÍNH TOÁN, ĐO BÓC KHỐI LƯỢNG HOÀN THÀNH ĐƯA VÀO QUYẾT TOÁN</v>
          </cell>
        </row>
      </sheetData>
      <sheetData sheetId="4555">
        <row r="4">
          <cell r="A4" t="str">
            <v>BẢNG TÍNH TOÁN, ĐO BÓC KHỐI LƯỢNG HOÀN THÀNH ĐƯA VÀO QUYẾT TOÁN</v>
          </cell>
        </row>
      </sheetData>
      <sheetData sheetId="4556">
        <row r="4">
          <cell r="A4" t="str">
            <v>BẢNG TÍNH TOÁN, ĐO BÓC KHỐI LƯỢNG HOÀN THÀNH ĐƯA VÀO QUYẾT TOÁN</v>
          </cell>
        </row>
      </sheetData>
      <sheetData sheetId="4557">
        <row r="4">
          <cell r="A4" t="str">
            <v>BẢNG TÍNH TOÁN, ĐO BÓC KHỐI LƯỢNG HOÀN THÀNH ĐƯA VÀO QUYẾT TOÁN</v>
          </cell>
        </row>
      </sheetData>
      <sheetData sheetId="4558">
        <row r="4">
          <cell r="A4" t="str">
            <v>BẢNG TÍNH TOÁN, ĐO BÓC KHỐI LƯỢNG HOÀN THÀNH ĐƯA VÀO QUYẾT TOÁN</v>
          </cell>
        </row>
      </sheetData>
      <sheetData sheetId="4559">
        <row r="4">
          <cell r="A4" t="str">
            <v>BẢNG TÍNH TOÁN, ĐO BÓC KHỐI LƯỢNG HOÀN THÀNH ĐƯA VÀO QUYẾT TOÁN</v>
          </cell>
        </row>
      </sheetData>
      <sheetData sheetId="4560">
        <row r="4">
          <cell r="A4" t="str">
            <v>BẢNG TÍNH TOÁN, ĐO BÓC KHỐI LƯỢNG HOÀN THÀNH ĐƯA VÀO QUYẾT TOÁN</v>
          </cell>
        </row>
      </sheetData>
      <sheetData sheetId="4561">
        <row r="4">
          <cell r="A4" t="str">
            <v>BẢNG TÍNH TOÁN, ĐO BÓC KHỐI LƯỢNG HOÀN THÀNH ĐƯA VÀO QUYẾT TOÁN</v>
          </cell>
        </row>
      </sheetData>
      <sheetData sheetId="4562">
        <row r="4">
          <cell r="A4" t="str">
            <v>BẢNG TÍNH TOÁN, ĐO BÓC KHỐI LƯỢNG HOÀN THÀNH ĐƯA VÀO QUYẾT TOÁN</v>
          </cell>
        </row>
      </sheetData>
      <sheetData sheetId="4563">
        <row r="4">
          <cell r="A4" t="str">
            <v>BẢNG TÍNH TOÁN, ĐO BÓC KHỐI LƯỢNG HOÀN THÀNH ĐƯA VÀO QUYẾT TOÁN</v>
          </cell>
        </row>
      </sheetData>
      <sheetData sheetId="4564">
        <row r="4">
          <cell r="A4" t="str">
            <v>BẢNG TÍNH TOÁN, ĐO BÓC KHỐI LƯỢNG HOÀN THÀNH ĐƯA VÀO QUYẾT TOÁN</v>
          </cell>
        </row>
      </sheetData>
      <sheetData sheetId="4565">
        <row r="4">
          <cell r="A4" t="str">
            <v>BẢNG TÍNH TOÁN, ĐO BÓC KHỐI LƯỢNG HOÀN THÀNH ĐƯA VÀO QUYẾT TOÁN</v>
          </cell>
        </row>
      </sheetData>
      <sheetData sheetId="4566">
        <row r="4">
          <cell r="A4" t="str">
            <v>BẢNG TÍNH TOÁN, ĐO BÓC KHỐI LƯỢNG HOÀN THÀNH ĐƯA VÀO QUYẾT TOÁN</v>
          </cell>
        </row>
      </sheetData>
      <sheetData sheetId="4567">
        <row r="4">
          <cell r="A4" t="str">
            <v>BẢNG TÍNH TOÁN, ĐO BÓC KHỐI LƯỢNG HOÀN THÀNH ĐƯA VÀO QUYẾT TOÁN</v>
          </cell>
        </row>
      </sheetData>
      <sheetData sheetId="4568">
        <row r="4">
          <cell r="A4" t="str">
            <v>BẢNG TÍNH TOÁN, ĐO BÓC KHỐI LƯỢNG HOÀN THÀNH ĐƯA VÀO QUYẾT TOÁN</v>
          </cell>
        </row>
      </sheetData>
      <sheetData sheetId="4569">
        <row r="4">
          <cell r="A4" t="str">
            <v>BẢNG TÍNH TOÁN, ĐO BÓC KHỐI LƯỢNG HOÀN THÀNH ĐƯA VÀO QUYẾT TOÁN</v>
          </cell>
        </row>
      </sheetData>
      <sheetData sheetId="4570">
        <row r="4">
          <cell r="A4" t="str">
            <v>BẢNG TÍNH TOÁN, ĐO BÓC KHỐI LƯỢNG HOÀN THÀNH ĐƯA VÀO QUYẾT TOÁN</v>
          </cell>
        </row>
      </sheetData>
      <sheetData sheetId="4571">
        <row r="4">
          <cell r="A4" t="str">
            <v>BẢNG TÍNH TOÁN, ĐO BÓC KHỐI LƯỢNG HOÀN THÀNH ĐƯA VÀO QUYẾT TOÁN</v>
          </cell>
        </row>
      </sheetData>
      <sheetData sheetId="4572">
        <row r="4">
          <cell r="A4" t="str">
            <v>BẢNG TÍNH TOÁN, ĐO BÓC KHỐI LƯỢNG HOÀN THÀNH ĐƯA VÀO QUYẾT TOÁN</v>
          </cell>
        </row>
      </sheetData>
      <sheetData sheetId="4573">
        <row r="4">
          <cell r="A4" t="str">
            <v>BẢNG TÍNH TOÁN, ĐO BÓC KHỐI LƯỢNG HOÀN THÀNH ĐƯA VÀO QUYẾT TOÁN</v>
          </cell>
        </row>
      </sheetData>
      <sheetData sheetId="4574">
        <row r="4">
          <cell r="A4" t="str">
            <v>BẢNG TÍNH TOÁN, ĐO BÓC KHỐI LƯỢNG HOÀN THÀNH ĐƯA VÀO QUYẾT TOÁN</v>
          </cell>
        </row>
      </sheetData>
      <sheetData sheetId="4575">
        <row r="4">
          <cell r="A4" t="str">
            <v>BẢNG TÍNH TOÁN, ĐO BÓC KHỐI LƯỢNG HOÀN THÀNH ĐƯA VÀO QUYẾT TOÁN</v>
          </cell>
        </row>
      </sheetData>
      <sheetData sheetId="4576">
        <row r="4">
          <cell r="A4" t="str">
            <v>BẢNG TÍNH TOÁN, ĐO BÓC KHỐI LƯỢNG HOÀN THÀNH ĐƯA VÀO QUYẾT TOÁN</v>
          </cell>
        </row>
      </sheetData>
      <sheetData sheetId="4577">
        <row r="4">
          <cell r="A4" t="str">
            <v>BẢNG TÍNH TOÁN, ĐO BÓC KHỐI LƯỢNG HOÀN THÀNH ĐƯA VÀO QUYẾT TOÁN</v>
          </cell>
        </row>
      </sheetData>
      <sheetData sheetId="4578">
        <row r="4">
          <cell r="A4" t="str">
            <v>BẢNG TÍNH TOÁN, ĐO BÓC KHỐI LƯỢNG HOÀN THÀNH ĐƯA VÀO QUYẾT TOÁN</v>
          </cell>
        </row>
      </sheetData>
      <sheetData sheetId="4579">
        <row r="4">
          <cell r="A4" t="str">
            <v>BẢNG TÍNH TOÁN, ĐO BÓC KHỐI LƯỢNG HOÀN THÀNH ĐƯA VÀO QUYẾT TOÁN</v>
          </cell>
        </row>
      </sheetData>
      <sheetData sheetId="4580">
        <row r="4">
          <cell r="A4" t="str">
            <v>BẢNG TÍNH TOÁN, ĐO BÓC KHỐI LƯỢNG HOÀN THÀNH ĐƯA VÀO QUYẾT TOÁN</v>
          </cell>
        </row>
      </sheetData>
      <sheetData sheetId="4581">
        <row r="4">
          <cell r="A4" t="str">
            <v>BẢNG TÍNH TOÁN, ĐO BÓC KHỐI LƯỢNG HOÀN THÀNH ĐƯA VÀO QUYẾT TOÁN</v>
          </cell>
        </row>
      </sheetData>
      <sheetData sheetId="4582">
        <row r="4">
          <cell r="A4" t="str">
            <v>BẢNG TÍNH TOÁN, ĐO BÓC KHỐI LƯỢNG HOÀN THÀNH ĐƯA VÀO QUYẾT TOÁN</v>
          </cell>
        </row>
      </sheetData>
      <sheetData sheetId="4583">
        <row r="4">
          <cell r="A4" t="str">
            <v>BẢNG TÍNH TOÁN, ĐO BÓC KHỐI LƯỢNG HOÀN THÀNH ĐƯA VÀO QUYẾT TOÁN</v>
          </cell>
        </row>
      </sheetData>
      <sheetData sheetId="4584">
        <row r="4">
          <cell r="A4" t="str">
            <v>BẢNG TÍNH TOÁN, ĐO BÓC KHỐI LƯỢNG HOÀN THÀNH ĐƯA VÀO QUYẾT TOÁN</v>
          </cell>
        </row>
      </sheetData>
      <sheetData sheetId="4585">
        <row r="4">
          <cell r="A4" t="str">
            <v>BẢNG TÍNH TOÁN, ĐO BÓC KHỐI LƯỢNG HOÀN THÀNH ĐƯA VÀO QUYẾT TOÁN</v>
          </cell>
        </row>
      </sheetData>
      <sheetData sheetId="4586">
        <row r="4">
          <cell r="A4" t="str">
            <v>BẢNG TÍNH TOÁN, ĐO BÓC KHỐI LƯỢNG HOÀN THÀNH ĐƯA VÀO QUYẾT TOÁN</v>
          </cell>
        </row>
      </sheetData>
      <sheetData sheetId="4587">
        <row r="4">
          <cell r="A4" t="str">
            <v>BẢNG TÍNH TOÁN, ĐO BÓC KHỐI LƯỢNG HOÀN THÀNH ĐƯA VÀO QUYẾT TOÁN</v>
          </cell>
        </row>
      </sheetData>
      <sheetData sheetId="4588">
        <row r="4">
          <cell r="A4" t="str">
            <v>BẢNG TÍNH TOÁN, ĐO BÓC KHỐI LƯỢNG HOÀN THÀNH ĐƯA VÀO QUYẾT TOÁN</v>
          </cell>
        </row>
      </sheetData>
      <sheetData sheetId="4589">
        <row r="4">
          <cell r="A4" t="str">
            <v>BẢNG TÍNH TOÁN, ĐO BÓC KHỐI LƯỢNG HOÀN THÀNH ĐƯA VÀO QUYẾT TOÁN</v>
          </cell>
        </row>
      </sheetData>
      <sheetData sheetId="4590">
        <row r="4">
          <cell r="A4" t="str">
            <v>BẢNG TÍNH TOÁN, ĐO BÓC KHỐI LƯỢNG HOÀN THÀNH ĐƯA VÀO QUYẾT TOÁN</v>
          </cell>
        </row>
      </sheetData>
      <sheetData sheetId="4591">
        <row r="4">
          <cell r="A4" t="str">
            <v>BẢNG TÍNH TOÁN, ĐO BÓC KHỐI LƯỢNG HOÀN THÀNH ĐƯA VÀO QUYẾT TOÁN</v>
          </cell>
        </row>
      </sheetData>
      <sheetData sheetId="4592">
        <row r="4">
          <cell r="A4" t="str">
            <v>BẢNG TÍNH TOÁN, ĐO BÓC KHỐI LƯỢNG HOÀN THÀNH ĐƯA VÀO QUYẾT TOÁN</v>
          </cell>
        </row>
      </sheetData>
      <sheetData sheetId="4593">
        <row r="4">
          <cell r="A4" t="str">
            <v>BẢNG TÍNH TOÁN, ĐO BÓC KHỐI LƯỢNG HOÀN THÀNH ĐƯA VÀO QUYẾT TOÁN</v>
          </cell>
        </row>
      </sheetData>
      <sheetData sheetId="4594">
        <row r="4">
          <cell r="A4" t="str">
            <v>BẢNG TÍNH TOÁN, ĐO BÓC KHỐI LƯỢNG HOÀN THÀNH ĐƯA VÀO QUYẾT TOÁN</v>
          </cell>
        </row>
      </sheetData>
      <sheetData sheetId="4595">
        <row r="4">
          <cell r="A4" t="str">
            <v>BẢNG TÍNH TOÁN, ĐO BÓC KHỐI LƯỢNG HOÀN THÀNH ĐƯA VÀO QUYẾT TOÁN</v>
          </cell>
        </row>
      </sheetData>
      <sheetData sheetId="4596">
        <row r="4">
          <cell r="A4" t="str">
            <v>BẢNG TÍNH TOÁN, ĐO BÓC KHỐI LƯỢNG HOÀN THÀNH ĐƯA VÀO QUYẾT TOÁN</v>
          </cell>
        </row>
      </sheetData>
      <sheetData sheetId="4597">
        <row r="4">
          <cell r="A4" t="str">
            <v>BẢNG TÍNH TOÁN, ĐO BÓC KHỐI LƯỢNG HOÀN THÀNH ĐƯA VÀO QUYẾT TOÁN</v>
          </cell>
        </row>
      </sheetData>
      <sheetData sheetId="4598">
        <row r="4">
          <cell r="A4" t="str">
            <v>BẢNG TÍNH TOÁN, ĐO BÓC KHỐI LƯỢNG HOÀN THÀNH ĐƯA VÀO QUYẾT TOÁN</v>
          </cell>
        </row>
      </sheetData>
      <sheetData sheetId="4599">
        <row r="4">
          <cell r="A4" t="str">
            <v>BẢNG TÍNH TOÁN, ĐO BÓC KHỐI LƯỢNG HOÀN THÀNH ĐƯA VÀO QUYẾT TOÁN</v>
          </cell>
        </row>
      </sheetData>
      <sheetData sheetId="4600">
        <row r="4">
          <cell r="A4" t="str">
            <v>BẢNG TÍNH TOÁN, ĐO BÓC KHỐI LƯỢNG HOÀN THÀNH ĐƯA VÀO QUYẾT TOÁN</v>
          </cell>
        </row>
      </sheetData>
      <sheetData sheetId="4601">
        <row r="4">
          <cell r="A4" t="str">
            <v>BẢNG TÍNH TOÁN, ĐO BÓC KHỐI LƯỢNG HOÀN THÀNH ĐƯA VÀO QUYẾT TOÁN</v>
          </cell>
        </row>
      </sheetData>
      <sheetData sheetId="4602">
        <row r="4">
          <cell r="A4" t="str">
            <v>BẢNG TÍNH TOÁN, ĐO BÓC KHỐI LƯỢNG HOÀN THÀNH ĐƯA VÀO QUYẾT TOÁN</v>
          </cell>
        </row>
      </sheetData>
      <sheetData sheetId="4603">
        <row r="4">
          <cell r="A4" t="str">
            <v>BẢNG TÍNH TOÁN, ĐO BÓC KHỐI LƯỢNG HOÀN THÀNH ĐƯA VÀO QUYẾT TOÁN</v>
          </cell>
        </row>
      </sheetData>
      <sheetData sheetId="4604">
        <row r="4">
          <cell r="A4" t="str">
            <v>BẢNG TÍNH TOÁN, ĐO BÓC KHỐI LƯỢNG HOÀN THÀNH ĐƯA VÀO QUYẾT TOÁN</v>
          </cell>
        </row>
      </sheetData>
      <sheetData sheetId="4605">
        <row r="4">
          <cell r="A4" t="str">
            <v>BẢNG TÍNH TOÁN, ĐO BÓC KHỐI LƯỢNG HOÀN THÀNH ĐƯA VÀO QUYẾT TOÁN</v>
          </cell>
        </row>
      </sheetData>
      <sheetData sheetId="4606">
        <row r="4">
          <cell r="A4" t="str">
            <v>BẢNG TÍNH TOÁN, ĐO BÓC KHỐI LƯỢNG HOÀN THÀNH ĐƯA VÀO QUYẾT TOÁN</v>
          </cell>
        </row>
      </sheetData>
      <sheetData sheetId="4607">
        <row r="4">
          <cell r="A4" t="str">
            <v>BẢNG TÍNH TOÁN, ĐO BÓC KHỐI LƯỢNG HOÀN THÀNH ĐƯA VÀO QUYẾT TOÁN</v>
          </cell>
        </row>
      </sheetData>
      <sheetData sheetId="4608">
        <row r="4">
          <cell r="A4" t="str">
            <v>BẢNG TÍNH TOÁN, ĐO BÓC KHỐI LƯỢNG HOÀN THÀNH ĐƯA VÀO QUYẾT TOÁN</v>
          </cell>
        </row>
      </sheetData>
      <sheetData sheetId="4609">
        <row r="4">
          <cell r="A4" t="str">
            <v>BẢNG TÍNH TOÁN, ĐO BÓC KHỐI LƯỢNG HOÀN THÀNH ĐƯA VÀO QUYẾT TOÁN</v>
          </cell>
        </row>
      </sheetData>
      <sheetData sheetId="4610">
        <row r="4">
          <cell r="A4" t="str">
            <v>BẢNG TÍNH TOÁN, ĐO BÓC KHỐI LƯỢNG HOÀN THÀNH ĐƯA VÀO QUYẾT TOÁN</v>
          </cell>
        </row>
      </sheetData>
      <sheetData sheetId="4611">
        <row r="4">
          <cell r="A4" t="str">
            <v>BẢNG TÍNH TOÁN, ĐO BÓC KHỐI LƯỢNG HOÀN THÀNH ĐƯA VÀO QUYẾT TOÁN</v>
          </cell>
        </row>
      </sheetData>
      <sheetData sheetId="4612">
        <row r="4">
          <cell r="A4" t="str">
            <v>BẢNG TÍNH TOÁN, ĐO BÓC KHỐI LƯỢNG HOÀN THÀNH ĐƯA VÀO QUYẾT TOÁN</v>
          </cell>
        </row>
      </sheetData>
      <sheetData sheetId="4613">
        <row r="4">
          <cell r="A4" t="str">
            <v>BẢNG TÍNH TOÁN, ĐO BÓC KHỐI LƯỢNG HOÀN THÀNH ĐƯA VÀO QUYẾT TOÁN</v>
          </cell>
        </row>
      </sheetData>
      <sheetData sheetId="4614">
        <row r="4">
          <cell r="A4" t="str">
            <v>BẢNG TÍNH TOÁN, ĐO BÓC KHỐI LƯỢNG HOÀN THÀNH ĐƯA VÀO QUYẾT TOÁN</v>
          </cell>
        </row>
      </sheetData>
      <sheetData sheetId="4615">
        <row r="4">
          <cell r="A4" t="str">
            <v>BẢNG TÍNH TOÁN, ĐO BÓC KHỐI LƯỢNG HOÀN THÀNH ĐƯA VÀO QUYẾT TOÁN</v>
          </cell>
        </row>
      </sheetData>
      <sheetData sheetId="4616">
        <row r="4">
          <cell r="A4" t="str">
            <v>BẢNG TÍNH TOÁN, ĐO BÓC KHỐI LƯỢNG HOÀN THÀNH ĐƯA VÀO QUYẾT TOÁN</v>
          </cell>
        </row>
      </sheetData>
      <sheetData sheetId="4617">
        <row r="4">
          <cell r="A4" t="str">
            <v>BẢNG TÍNH TOÁN, ĐO BÓC KHỐI LƯỢNG HOÀN THÀNH ĐƯA VÀO QUYẾT TOÁN</v>
          </cell>
        </row>
      </sheetData>
      <sheetData sheetId="4618">
        <row r="4">
          <cell r="A4" t="str">
            <v>BẢNG TÍNH TOÁN, ĐO BÓC KHỐI LƯỢNG HOÀN THÀNH ĐƯA VÀO QUYẾT TOÁN</v>
          </cell>
        </row>
      </sheetData>
      <sheetData sheetId="4619">
        <row r="4">
          <cell r="A4" t="str">
            <v>BẢNG TÍNH TOÁN, ĐO BÓC KHỐI LƯỢNG HOÀN THÀNH ĐƯA VÀO QUYẾT TOÁN</v>
          </cell>
        </row>
      </sheetData>
      <sheetData sheetId="4620">
        <row r="4">
          <cell r="A4" t="str">
            <v>BẢNG TÍNH TOÁN, ĐO BÓC KHỐI LƯỢNG HOÀN THÀNH ĐƯA VÀO QUYẾT TOÁN</v>
          </cell>
        </row>
      </sheetData>
      <sheetData sheetId="4621">
        <row r="4">
          <cell r="A4" t="str">
            <v>BẢNG TÍNH TOÁN, ĐO BÓC KHỐI LƯỢNG HOÀN THÀNH ĐƯA VÀO QUYẾT TOÁN</v>
          </cell>
        </row>
      </sheetData>
      <sheetData sheetId="4622">
        <row r="4">
          <cell r="A4" t="str">
            <v>BẢNG TÍNH TOÁN, ĐO BÓC KHỐI LƯỢNG HOÀN THÀNH ĐƯA VÀO QUYẾT TOÁN</v>
          </cell>
        </row>
      </sheetData>
      <sheetData sheetId="4623">
        <row r="4">
          <cell r="A4" t="str">
            <v>BẢNG TÍNH TOÁN, ĐO BÓC KHỐI LƯỢNG HOÀN THÀNH ĐƯA VÀO QUYẾT TOÁN</v>
          </cell>
        </row>
      </sheetData>
      <sheetData sheetId="4624">
        <row r="4">
          <cell r="A4" t="str">
            <v>BẢNG TÍNH TOÁN, ĐO BÓC KHỐI LƯỢNG HOÀN THÀNH ĐƯA VÀO QUYẾT TOÁN</v>
          </cell>
        </row>
      </sheetData>
      <sheetData sheetId="4625">
        <row r="4">
          <cell r="A4" t="str">
            <v>BẢNG TÍNH TOÁN, ĐO BÓC KHỐI LƯỢNG HOÀN THÀNH ĐƯA VÀO QUYẾT TOÁN</v>
          </cell>
        </row>
      </sheetData>
      <sheetData sheetId="4626">
        <row r="4">
          <cell r="A4" t="str">
            <v>BẢNG TÍNH TOÁN, ĐO BÓC KHỐI LƯỢNG HOÀN THÀNH ĐƯA VÀO QUYẾT TOÁN</v>
          </cell>
        </row>
      </sheetData>
      <sheetData sheetId="4627">
        <row r="4">
          <cell r="A4" t="str">
            <v>BẢNG TÍNH TOÁN, ĐO BÓC KHỐI LƯỢNG HOÀN THÀNH ĐƯA VÀO QUYẾT TOÁN</v>
          </cell>
        </row>
      </sheetData>
      <sheetData sheetId="4628">
        <row r="4">
          <cell r="A4" t="str">
            <v>BẢNG TÍNH TOÁN, ĐO BÓC KHỐI LƯỢNG HOÀN THÀNH ĐƯA VÀO QUYẾT TOÁN</v>
          </cell>
        </row>
      </sheetData>
      <sheetData sheetId="4629">
        <row r="4">
          <cell r="A4" t="str">
            <v>BẢNG TÍNH TOÁN, ĐO BÓC KHỐI LƯỢNG HOÀN THÀNH ĐƯA VÀO QUYẾT TOÁN</v>
          </cell>
        </row>
      </sheetData>
      <sheetData sheetId="4630">
        <row r="4">
          <cell r="A4" t="str">
            <v>BẢNG TÍNH TOÁN, ĐO BÓC KHỐI LƯỢNG HOÀN THÀNH ĐƯA VÀO QUYẾT TOÁN</v>
          </cell>
        </row>
      </sheetData>
      <sheetData sheetId="4631">
        <row r="4">
          <cell r="A4" t="str">
            <v>BẢNG TÍNH TOÁN, ĐO BÓC KHỐI LƯỢNG HOÀN THÀNH ĐƯA VÀO QUYẾT TOÁN</v>
          </cell>
        </row>
      </sheetData>
      <sheetData sheetId="4632">
        <row r="4">
          <cell r="A4" t="str">
            <v>BẢNG TÍNH TOÁN, ĐO BÓC KHỐI LƯỢNG HOÀN THÀNH ĐƯA VÀO QUYẾT TOÁN</v>
          </cell>
        </row>
      </sheetData>
      <sheetData sheetId="4633">
        <row r="4">
          <cell r="A4" t="str">
            <v>BẢNG TÍNH TOÁN, ĐO BÓC KHỐI LƯỢNG HOÀN THÀNH ĐƯA VÀO QUYẾT TOÁN</v>
          </cell>
        </row>
      </sheetData>
      <sheetData sheetId="4634">
        <row r="4">
          <cell r="A4" t="str">
            <v>BẢNG TÍNH TOÁN, ĐO BÓC KHỐI LƯỢNG HOÀN THÀNH ĐƯA VÀO QUYẾT TOÁN</v>
          </cell>
        </row>
      </sheetData>
      <sheetData sheetId="4635">
        <row r="4">
          <cell r="A4" t="str">
            <v>BẢNG TÍNH TOÁN, ĐO BÓC KHỐI LƯỢNG HOÀN THÀNH ĐƯA VÀO QUYẾT TOÁN</v>
          </cell>
        </row>
      </sheetData>
      <sheetData sheetId="4636">
        <row r="4">
          <cell r="A4" t="str">
            <v>BẢNG TÍNH TOÁN, ĐO BÓC KHỐI LƯỢNG HOÀN THÀNH ĐƯA VÀO QUYẾT TOÁN</v>
          </cell>
        </row>
      </sheetData>
      <sheetData sheetId="4637">
        <row r="4">
          <cell r="A4" t="str">
            <v>BẢNG TÍNH TOÁN, ĐO BÓC KHỐI LƯỢNG HOÀN THÀNH ĐƯA VÀO QUYẾT TOÁN</v>
          </cell>
        </row>
      </sheetData>
      <sheetData sheetId="4638">
        <row r="4">
          <cell r="A4" t="str">
            <v>BẢNG TÍNH TOÁN, ĐO BÓC KHỐI LƯỢNG HOÀN THÀNH ĐƯA VÀO QUYẾT TOÁN</v>
          </cell>
        </row>
      </sheetData>
      <sheetData sheetId="4639">
        <row r="4">
          <cell r="A4" t="str">
            <v>BẢNG TÍNH TOÁN, ĐO BÓC KHỐI LƯỢNG HOÀN THÀNH ĐƯA VÀO QUYẾT TOÁN</v>
          </cell>
        </row>
      </sheetData>
      <sheetData sheetId="4640">
        <row r="4">
          <cell r="A4" t="str">
            <v>BẢNG TÍNH TOÁN, ĐO BÓC KHỐI LƯỢNG HOÀN THÀNH ĐƯA VÀO QUYẾT TOÁN</v>
          </cell>
        </row>
      </sheetData>
      <sheetData sheetId="4641">
        <row r="4">
          <cell r="A4" t="str">
            <v>BẢNG TÍNH TOÁN, ĐO BÓC KHỐI LƯỢNG HOÀN THÀNH ĐƯA VÀO QUYẾT TOÁN</v>
          </cell>
        </row>
      </sheetData>
      <sheetData sheetId="4642">
        <row r="4">
          <cell r="A4" t="str">
            <v>BẢNG TÍNH TOÁN, ĐO BÓC KHỐI LƯỢNG HOÀN THÀNH ĐƯA VÀO QUYẾT TOÁN</v>
          </cell>
        </row>
      </sheetData>
      <sheetData sheetId="4643">
        <row r="4">
          <cell r="A4" t="str">
            <v>BẢNG TÍNH TOÁN, ĐO BÓC KHỐI LƯỢNG HOÀN THÀNH ĐƯA VÀO QUYẾT TOÁN</v>
          </cell>
        </row>
      </sheetData>
      <sheetData sheetId="4644">
        <row r="4">
          <cell r="A4" t="str">
            <v>BẢNG TÍNH TOÁN, ĐO BÓC KHỐI LƯỢNG HOÀN THÀNH ĐƯA VÀO QUYẾT TOÁN</v>
          </cell>
        </row>
      </sheetData>
      <sheetData sheetId="4645">
        <row r="4">
          <cell r="A4" t="str">
            <v>BẢNG TÍNH TOÁN, ĐO BÓC KHỐI LƯỢNG HOÀN THÀNH ĐƯA VÀO QUYẾT TOÁN</v>
          </cell>
        </row>
      </sheetData>
      <sheetData sheetId="4646">
        <row r="4">
          <cell r="A4" t="str">
            <v>BẢNG TÍNH TOÁN, ĐO BÓC KHỐI LƯỢNG HOÀN THÀNH ĐƯA VÀO QUYẾT TOÁN</v>
          </cell>
        </row>
      </sheetData>
      <sheetData sheetId="4647">
        <row r="4">
          <cell r="A4" t="str">
            <v>BẢNG TÍNH TOÁN, ĐO BÓC KHỐI LƯỢNG HOÀN THÀNH ĐƯA VÀO QUYẾT TOÁN</v>
          </cell>
        </row>
      </sheetData>
      <sheetData sheetId="4648">
        <row r="4">
          <cell r="A4" t="str">
            <v>BẢNG TÍNH TOÁN, ĐO BÓC KHỐI LƯỢNG HOÀN THÀNH ĐƯA VÀO QUYẾT TOÁN</v>
          </cell>
        </row>
      </sheetData>
      <sheetData sheetId="4649">
        <row r="4">
          <cell r="A4" t="str">
            <v>BẢNG TÍNH TOÁN, ĐO BÓC KHỐI LƯỢNG HOÀN THÀNH ĐƯA VÀO QUYẾT TOÁN</v>
          </cell>
        </row>
      </sheetData>
      <sheetData sheetId="4650">
        <row r="4">
          <cell r="A4" t="str">
            <v>BẢNG TÍNH TOÁN, ĐO BÓC KHỐI LƯỢNG HOÀN THÀNH ĐƯA VÀO QUYẾT TOÁN</v>
          </cell>
        </row>
      </sheetData>
      <sheetData sheetId="4651">
        <row r="4">
          <cell r="A4" t="str">
            <v>BẢNG TÍNH TOÁN, ĐO BÓC KHỐI LƯỢNG HOÀN THÀNH ĐƯA VÀO QUYẾT TOÁN</v>
          </cell>
        </row>
      </sheetData>
      <sheetData sheetId="4652">
        <row r="4">
          <cell r="A4" t="str">
            <v>BẢNG TÍNH TOÁN, ĐO BÓC KHỐI LƯỢNG HOÀN THÀNH ĐƯA VÀO QUYẾT TOÁN</v>
          </cell>
        </row>
      </sheetData>
      <sheetData sheetId="4653">
        <row r="4">
          <cell r="A4" t="str">
            <v>BẢNG TÍNH TOÁN, ĐO BÓC KHỐI LƯỢNG HOÀN THÀNH ĐƯA VÀO QUYẾT TOÁN</v>
          </cell>
        </row>
      </sheetData>
      <sheetData sheetId="4654">
        <row r="4">
          <cell r="A4" t="str">
            <v>BẢNG TÍNH TOÁN, ĐO BÓC KHỐI LƯỢNG HOÀN THÀNH ĐƯA VÀO QUYẾT TOÁN</v>
          </cell>
        </row>
      </sheetData>
      <sheetData sheetId="4655">
        <row r="4">
          <cell r="A4" t="str">
            <v>BẢNG TÍNH TOÁN, ĐO BÓC KHỐI LƯỢNG HOÀN THÀNH ĐƯA VÀO QUYẾT TOÁN</v>
          </cell>
        </row>
      </sheetData>
      <sheetData sheetId="4656">
        <row r="4">
          <cell r="A4" t="str">
            <v>BẢNG TÍNH TOÁN, ĐO BÓC KHỐI LƯỢNG HOÀN THÀNH ĐƯA VÀO QUYẾT TOÁN</v>
          </cell>
        </row>
      </sheetData>
      <sheetData sheetId="4657">
        <row r="4">
          <cell r="A4" t="str">
            <v>BẢNG TÍNH TOÁN, ĐO BÓC KHỐI LƯỢNG HOÀN THÀNH ĐƯA VÀO QUYẾT TOÁN</v>
          </cell>
        </row>
      </sheetData>
      <sheetData sheetId="4658">
        <row r="4">
          <cell r="A4" t="str">
            <v>BẢNG TÍNH TOÁN, ĐO BÓC KHỐI LƯỢNG HOÀN THÀNH ĐƯA VÀO QUYẾT TOÁN</v>
          </cell>
        </row>
      </sheetData>
      <sheetData sheetId="4659">
        <row r="4">
          <cell r="A4" t="str">
            <v>BẢNG TÍNH TOÁN, ĐO BÓC KHỐI LƯỢNG HOÀN THÀNH ĐƯA VÀO QUYẾT TOÁN</v>
          </cell>
        </row>
      </sheetData>
      <sheetData sheetId="4660">
        <row r="4">
          <cell r="A4" t="str">
            <v>BẢNG TÍNH TOÁN, ĐO BÓC KHỐI LƯỢNG HOÀN THÀNH ĐƯA VÀO QUYẾT TOÁN</v>
          </cell>
        </row>
      </sheetData>
      <sheetData sheetId="4661">
        <row r="4">
          <cell r="A4" t="str">
            <v>BẢNG TÍNH TOÁN, ĐO BÓC KHỐI LƯỢNG HOÀN THÀNH ĐƯA VÀO QUYẾT TOÁN</v>
          </cell>
        </row>
      </sheetData>
      <sheetData sheetId="4662">
        <row r="4">
          <cell r="A4" t="str">
            <v>BẢNG TÍNH TOÁN, ĐO BÓC KHỐI LƯỢNG HOÀN THÀNH ĐƯA VÀO QUYẾT TOÁN</v>
          </cell>
        </row>
      </sheetData>
      <sheetData sheetId="4663">
        <row r="4">
          <cell r="A4" t="str">
            <v>BẢNG TÍNH TOÁN, ĐO BÓC KHỐI LƯỢNG HOÀN THÀNH ĐƯA VÀO QUYẾT TOÁN</v>
          </cell>
        </row>
      </sheetData>
      <sheetData sheetId="4664">
        <row r="4">
          <cell r="A4" t="str">
            <v>BẢNG TÍNH TOÁN, ĐO BÓC KHỐI LƯỢNG HOÀN THÀNH ĐƯA VÀO QUYẾT TOÁN</v>
          </cell>
        </row>
      </sheetData>
      <sheetData sheetId="4665">
        <row r="4">
          <cell r="A4" t="str">
            <v>BẢNG TÍNH TOÁN, ĐO BÓC KHỐI LƯỢNG HOÀN THÀNH ĐƯA VÀO QUYẾT TOÁN</v>
          </cell>
        </row>
      </sheetData>
      <sheetData sheetId="4666">
        <row r="4">
          <cell r="A4" t="str">
            <v>BẢNG TÍNH TOÁN, ĐO BÓC KHỐI LƯỢNG HOÀN THÀNH ĐƯA VÀO QUYẾT TOÁN</v>
          </cell>
        </row>
      </sheetData>
      <sheetData sheetId="4667">
        <row r="4">
          <cell r="A4" t="str">
            <v>BẢNG TÍNH TOÁN, ĐO BÓC KHỐI LƯỢNG HOÀN THÀNH ĐƯA VÀO QUYẾT TOÁN</v>
          </cell>
        </row>
      </sheetData>
      <sheetData sheetId="4668">
        <row r="4">
          <cell r="A4" t="str">
            <v>BẢNG TÍNH TOÁN, ĐO BÓC KHỐI LƯỢNG HOÀN THÀNH ĐƯA VÀO QUYẾT TOÁN</v>
          </cell>
        </row>
      </sheetData>
      <sheetData sheetId="4669">
        <row r="4">
          <cell r="A4" t="str">
            <v>BẢNG TÍNH TOÁN, ĐO BÓC KHỐI LƯỢNG HOÀN THÀNH ĐƯA VÀO QUYẾT TOÁN</v>
          </cell>
        </row>
      </sheetData>
      <sheetData sheetId="4670">
        <row r="4">
          <cell r="A4" t="str">
            <v>BẢNG TÍNH TOÁN, ĐO BÓC KHỐI LƯỢNG HOÀN THÀNH ĐƯA VÀO QUYẾT TOÁN</v>
          </cell>
        </row>
      </sheetData>
      <sheetData sheetId="4671">
        <row r="4">
          <cell r="A4" t="str">
            <v>BẢNG TÍNH TOÁN, ĐO BÓC KHỐI LƯỢNG HOÀN THÀNH ĐƯA VÀO QUYẾT TOÁN</v>
          </cell>
        </row>
      </sheetData>
      <sheetData sheetId="4672">
        <row r="4">
          <cell r="A4" t="str">
            <v>BẢNG TÍNH TOÁN, ĐO BÓC KHỐI LƯỢNG HOÀN THÀNH ĐƯA VÀO QUYẾT TOÁN</v>
          </cell>
        </row>
      </sheetData>
      <sheetData sheetId="4673">
        <row r="4">
          <cell r="A4" t="str">
            <v>BẢNG TÍNH TOÁN, ĐO BÓC KHỐI LƯỢNG HOÀN THÀNH ĐƯA VÀO QUYẾT TOÁN</v>
          </cell>
        </row>
      </sheetData>
      <sheetData sheetId="4674">
        <row r="4">
          <cell r="A4" t="str">
            <v>BẢNG TÍNH TOÁN, ĐO BÓC KHỐI LƯỢNG HOÀN THÀNH ĐƯA VÀO QUYẾT TOÁN</v>
          </cell>
        </row>
      </sheetData>
      <sheetData sheetId="4675">
        <row r="4">
          <cell r="A4" t="str">
            <v>BẢNG TÍNH TOÁN, ĐO BÓC KHỐI LƯỢNG HOÀN THÀNH ĐƯA VÀO QUYẾT TOÁN</v>
          </cell>
        </row>
      </sheetData>
      <sheetData sheetId="4676">
        <row r="4">
          <cell r="A4" t="str">
            <v>BẢNG TÍNH TOÁN, ĐO BÓC KHỐI LƯỢNG HOÀN THÀNH ĐƯA VÀO QUYẾT TOÁN</v>
          </cell>
        </row>
      </sheetData>
      <sheetData sheetId="4677">
        <row r="4">
          <cell r="A4" t="str">
            <v>BẢNG TÍNH TOÁN, ĐO BÓC KHỐI LƯỢNG HOÀN THÀNH ĐƯA VÀO QUYẾT TOÁN</v>
          </cell>
        </row>
      </sheetData>
      <sheetData sheetId="4678">
        <row r="4">
          <cell r="A4" t="str">
            <v>BẢNG TÍNH TOÁN, ĐO BÓC KHỐI LƯỢNG HOÀN THÀNH ĐƯA VÀO QUYẾT TOÁN</v>
          </cell>
        </row>
      </sheetData>
      <sheetData sheetId="4679">
        <row r="4">
          <cell r="A4" t="str">
            <v>BẢNG TÍNH TOÁN, ĐO BÓC KHỐI LƯỢNG HOÀN THÀNH ĐƯA VÀO QUYẾT TOÁN</v>
          </cell>
        </row>
      </sheetData>
      <sheetData sheetId="4680">
        <row r="4">
          <cell r="A4" t="str">
            <v>BẢNG TÍNH TOÁN, ĐO BÓC KHỐI LƯỢNG HOÀN THÀNH ĐƯA VÀO QUYẾT TOÁN</v>
          </cell>
        </row>
      </sheetData>
      <sheetData sheetId="4681">
        <row r="4">
          <cell r="A4" t="str">
            <v>BẢNG TÍNH TOÁN, ĐO BÓC KHỐI LƯỢNG HOÀN THÀNH ĐƯA VÀO QUYẾT TOÁN</v>
          </cell>
        </row>
      </sheetData>
      <sheetData sheetId="4682">
        <row r="4">
          <cell r="A4" t="str">
            <v>BẢNG TÍNH TOÁN, ĐO BÓC KHỐI LƯỢNG HOÀN THÀNH ĐƯA VÀO QUYẾT TOÁN</v>
          </cell>
        </row>
      </sheetData>
      <sheetData sheetId="4683">
        <row r="4">
          <cell r="A4" t="str">
            <v>BẢNG TÍNH TOÁN, ĐO BÓC KHỐI LƯỢNG HOÀN THÀNH ĐƯA VÀO QUYẾT TOÁN</v>
          </cell>
        </row>
      </sheetData>
      <sheetData sheetId="4684">
        <row r="4">
          <cell r="A4" t="str">
            <v>BẢNG TÍNH TOÁN, ĐO BÓC KHỐI LƯỢNG HOÀN THÀNH ĐƯA VÀO QUYẾT TOÁN</v>
          </cell>
        </row>
      </sheetData>
      <sheetData sheetId="4685">
        <row r="4">
          <cell r="A4" t="str">
            <v>BẢNG TÍNH TOÁN, ĐO BÓC KHỐI LƯỢNG HOÀN THÀNH ĐƯA VÀO QUYẾT TOÁN</v>
          </cell>
        </row>
      </sheetData>
      <sheetData sheetId="4686">
        <row r="4">
          <cell r="A4" t="str">
            <v>BẢNG TÍNH TOÁN, ĐO BÓC KHỐI LƯỢNG HOÀN THÀNH ĐƯA VÀO QUYẾT TOÁN</v>
          </cell>
        </row>
      </sheetData>
      <sheetData sheetId="4687">
        <row r="4">
          <cell r="A4" t="str">
            <v>BẢNG TÍNH TOÁN, ĐO BÓC KHỐI LƯỢNG HOÀN THÀNH ĐƯA VÀO QUYẾT TOÁN</v>
          </cell>
        </row>
      </sheetData>
      <sheetData sheetId="4688">
        <row r="4">
          <cell r="A4" t="str">
            <v>BẢNG TÍNH TOÁN, ĐO BÓC KHỐI LƯỢNG HOÀN THÀNH ĐƯA VÀO QUYẾT TOÁN</v>
          </cell>
        </row>
      </sheetData>
      <sheetData sheetId="4689">
        <row r="4">
          <cell r="A4" t="str">
            <v>BẢNG TÍNH TOÁN, ĐO BÓC KHỐI LƯỢNG HOÀN THÀNH ĐƯA VÀO QUYẾT TOÁN</v>
          </cell>
        </row>
      </sheetData>
      <sheetData sheetId="4690">
        <row r="4">
          <cell r="A4" t="str">
            <v>BẢNG TÍNH TOÁN, ĐO BÓC KHỐI LƯỢNG HOÀN THÀNH ĐƯA VÀO QUYẾT TOÁN</v>
          </cell>
        </row>
      </sheetData>
      <sheetData sheetId="4691">
        <row r="4">
          <cell r="A4" t="str">
            <v>BẢNG TÍNH TOÁN, ĐO BÓC KHỐI LƯỢNG HOÀN THÀNH ĐƯA VÀO QUYẾT TOÁN</v>
          </cell>
        </row>
      </sheetData>
      <sheetData sheetId="4692">
        <row r="4">
          <cell r="A4" t="str">
            <v>BẢNG TÍNH TOÁN, ĐO BÓC KHỐI LƯỢNG HOÀN THÀNH ĐƯA VÀO QUYẾT TOÁN</v>
          </cell>
        </row>
      </sheetData>
      <sheetData sheetId="4693">
        <row r="4">
          <cell r="A4" t="str">
            <v>BẢNG TÍNH TOÁN, ĐO BÓC KHỐI LƯỢNG HOÀN THÀNH ĐƯA VÀO QUYẾT TOÁN</v>
          </cell>
        </row>
      </sheetData>
      <sheetData sheetId="4694">
        <row r="4">
          <cell r="A4" t="str">
            <v>BẢNG TÍNH TOÁN, ĐO BÓC KHỐI LƯỢNG HOÀN THÀNH ĐƯA VÀO QUYẾT TOÁN</v>
          </cell>
        </row>
      </sheetData>
      <sheetData sheetId="4695">
        <row r="4">
          <cell r="A4" t="str">
            <v>BẢNG TÍNH TOÁN, ĐO BÓC KHỐI LƯỢNG HOÀN THÀNH ĐƯA VÀO QUYẾT TOÁN</v>
          </cell>
        </row>
      </sheetData>
      <sheetData sheetId="4696">
        <row r="4">
          <cell r="A4" t="str">
            <v>BẢNG TÍNH TOÁN, ĐO BÓC KHỐI LƯỢNG HOÀN THÀNH ĐƯA VÀO QUYẾT TOÁN</v>
          </cell>
        </row>
      </sheetData>
      <sheetData sheetId="4697">
        <row r="4">
          <cell r="A4" t="str">
            <v>BẢNG TÍNH TOÁN, ĐO BÓC KHỐI LƯỢNG HOÀN THÀNH ĐƯA VÀO QUYẾT TOÁN</v>
          </cell>
        </row>
      </sheetData>
      <sheetData sheetId="4698">
        <row r="4">
          <cell r="A4" t="str">
            <v>BẢNG TÍNH TOÁN, ĐO BÓC KHỐI LƯỢNG HOÀN THÀNH ĐƯA VÀO QUYẾT TOÁN</v>
          </cell>
        </row>
      </sheetData>
      <sheetData sheetId="4699">
        <row r="4">
          <cell r="A4" t="str">
            <v>BẢNG TÍNH TOÁN, ĐO BÓC KHỐI LƯỢNG HOÀN THÀNH ĐƯA VÀO QUYẾT TOÁN</v>
          </cell>
        </row>
      </sheetData>
      <sheetData sheetId="4700">
        <row r="4">
          <cell r="A4" t="str">
            <v>BẢNG TÍNH TOÁN, ĐO BÓC KHỐI LƯỢNG HOÀN THÀNH ĐƯA VÀO QUYẾT TOÁN</v>
          </cell>
        </row>
      </sheetData>
      <sheetData sheetId="4701">
        <row r="4">
          <cell r="A4" t="str">
            <v>BẢNG TÍNH TOÁN, ĐO BÓC KHỐI LƯỢNG HOÀN THÀNH ĐƯA VÀO QUYẾT TOÁN</v>
          </cell>
        </row>
      </sheetData>
      <sheetData sheetId="4702">
        <row r="4">
          <cell r="A4" t="str">
            <v>BẢNG TÍNH TOÁN, ĐO BÓC KHỐI LƯỢNG HOÀN THÀNH ĐƯA VÀO QUYẾT TOÁN</v>
          </cell>
        </row>
      </sheetData>
      <sheetData sheetId="4703">
        <row r="4">
          <cell r="A4" t="str">
            <v>BẢNG TÍNH TOÁN, ĐO BÓC KHỐI LƯỢNG HOÀN THÀNH ĐƯA VÀO QUYẾT TOÁN</v>
          </cell>
        </row>
      </sheetData>
      <sheetData sheetId="4704">
        <row r="4">
          <cell r="A4" t="str">
            <v>BẢNG TÍNH TOÁN, ĐO BÓC KHỐI LƯỢNG HOÀN THÀNH ĐƯA VÀO QUYẾT TOÁN</v>
          </cell>
        </row>
      </sheetData>
      <sheetData sheetId="4705">
        <row r="4">
          <cell r="A4" t="str">
            <v>BẢNG TÍNH TOÁN, ĐO BÓC KHỐI LƯỢNG HOÀN THÀNH ĐƯA VÀO QUYẾT TOÁN</v>
          </cell>
        </row>
      </sheetData>
      <sheetData sheetId="4706">
        <row r="4">
          <cell r="A4" t="str">
            <v>BẢNG TÍNH TOÁN, ĐO BÓC KHỐI LƯỢNG HOÀN THÀNH ĐƯA VÀO QUYẾT TOÁN</v>
          </cell>
        </row>
      </sheetData>
      <sheetData sheetId="4707">
        <row r="4">
          <cell r="A4" t="str">
            <v>BẢNG TÍNH TOÁN, ĐO BÓC KHỐI LƯỢNG HOÀN THÀNH ĐƯA VÀO QUYẾT TOÁN</v>
          </cell>
        </row>
      </sheetData>
      <sheetData sheetId="4708">
        <row r="4">
          <cell r="A4" t="str">
            <v>BẢNG TÍNH TOÁN, ĐO BÓC KHỐI LƯỢNG HOÀN THÀNH ĐƯA VÀO QUYẾT TOÁN</v>
          </cell>
        </row>
      </sheetData>
      <sheetData sheetId="4709">
        <row r="4">
          <cell r="A4" t="str">
            <v>BẢNG TÍNH TOÁN, ĐO BÓC KHỐI LƯỢNG HOÀN THÀNH ĐƯA VÀO QUYẾT TOÁN</v>
          </cell>
        </row>
      </sheetData>
      <sheetData sheetId="4710">
        <row r="4">
          <cell r="A4" t="str">
            <v>BẢNG TÍNH TOÁN, ĐO BÓC KHỐI LƯỢNG HOÀN THÀNH ĐƯA VÀO QUYẾT TOÁN</v>
          </cell>
        </row>
      </sheetData>
      <sheetData sheetId="4711">
        <row r="4">
          <cell r="A4" t="str">
            <v>BẢNG TÍNH TOÁN, ĐO BÓC KHỐI LƯỢNG HOÀN THÀNH ĐƯA VÀO QUYẾT TOÁN</v>
          </cell>
        </row>
      </sheetData>
      <sheetData sheetId="4712">
        <row r="4">
          <cell r="A4" t="str">
            <v>BẢNG TÍNH TOÁN, ĐO BÓC KHỐI LƯỢNG HOÀN THÀNH ĐƯA VÀO QUYẾT TOÁN</v>
          </cell>
        </row>
      </sheetData>
      <sheetData sheetId="4713">
        <row r="4">
          <cell r="A4" t="str">
            <v>BẢNG TÍNH TOÁN, ĐO BÓC KHỐI LƯỢNG HOÀN THÀNH ĐƯA VÀO QUYẾT TOÁN</v>
          </cell>
        </row>
      </sheetData>
      <sheetData sheetId="4714">
        <row r="4">
          <cell r="A4" t="str">
            <v>BẢNG TÍNH TOÁN, ĐO BÓC KHỐI LƯỢNG HOÀN THÀNH ĐƯA VÀO QUYẾT TOÁN</v>
          </cell>
        </row>
      </sheetData>
      <sheetData sheetId="4715">
        <row r="4">
          <cell r="A4" t="str">
            <v>BẢNG TÍNH TOÁN, ĐO BÓC KHỐI LƯỢNG HOÀN THÀNH ĐƯA VÀO QUYẾT TOÁN</v>
          </cell>
        </row>
      </sheetData>
      <sheetData sheetId="4716">
        <row r="4">
          <cell r="A4" t="str">
            <v>BẢNG TÍNH TOÁN, ĐO BÓC KHỐI LƯỢNG HOÀN THÀNH ĐƯA VÀO QUYẾT TOÁN</v>
          </cell>
        </row>
      </sheetData>
      <sheetData sheetId="4717">
        <row r="4">
          <cell r="A4" t="str">
            <v>BẢNG TÍNH TOÁN, ĐO BÓC KHỐI LƯỢNG HOÀN THÀNH ĐƯA VÀO QUYẾT TOÁN</v>
          </cell>
        </row>
      </sheetData>
      <sheetData sheetId="4718">
        <row r="4">
          <cell r="A4" t="str">
            <v>BẢNG TÍNH TOÁN, ĐO BÓC KHỐI LƯỢNG HOÀN THÀNH ĐƯA VÀO QUYẾT TOÁN</v>
          </cell>
        </row>
      </sheetData>
      <sheetData sheetId="4719">
        <row r="4">
          <cell r="A4" t="str">
            <v>BẢNG TÍNH TOÁN, ĐO BÓC KHỐI LƯỢNG HOÀN THÀNH ĐƯA VÀO QUYẾT TOÁN</v>
          </cell>
        </row>
      </sheetData>
      <sheetData sheetId="4720">
        <row r="4">
          <cell r="A4" t="str">
            <v>BẢNG TÍNH TOÁN, ĐO BÓC KHỐI LƯỢNG HOÀN THÀNH ĐƯA VÀO QUYẾT TOÁN</v>
          </cell>
        </row>
      </sheetData>
      <sheetData sheetId="4721">
        <row r="4">
          <cell r="A4" t="str">
            <v>BẢNG TÍNH TOÁN, ĐO BÓC KHỐI LƯỢNG HOÀN THÀNH ĐƯA VÀO QUYẾT TOÁN</v>
          </cell>
        </row>
      </sheetData>
      <sheetData sheetId="4722">
        <row r="4">
          <cell r="A4" t="str">
            <v>BẢNG TÍNH TOÁN, ĐO BÓC KHỐI LƯỢNG HOÀN THÀNH ĐƯA VÀO QUYẾT TOÁN</v>
          </cell>
        </row>
      </sheetData>
      <sheetData sheetId="4723">
        <row r="4">
          <cell r="A4" t="str">
            <v>BẢNG TÍNH TOÁN, ĐO BÓC KHỐI LƯỢNG HOÀN THÀNH ĐƯA VÀO QUYẾT TOÁN</v>
          </cell>
        </row>
      </sheetData>
      <sheetData sheetId="4724">
        <row r="4">
          <cell r="A4" t="str">
            <v>BẢNG TÍNH TOÁN, ĐO BÓC KHỐI LƯỢNG HOÀN THÀNH ĐƯA VÀO QUYẾT TOÁN</v>
          </cell>
        </row>
      </sheetData>
      <sheetData sheetId="4725">
        <row r="4">
          <cell r="A4" t="str">
            <v>BẢNG TÍNH TOÁN, ĐO BÓC KHỐI LƯỢNG HOÀN THÀNH ĐƯA VÀO QUYẾT TOÁN</v>
          </cell>
        </row>
      </sheetData>
      <sheetData sheetId="4726">
        <row r="4">
          <cell r="A4" t="str">
            <v>BẢNG TÍNH TOÁN, ĐO BÓC KHỐI LƯỢNG HOÀN THÀNH ĐƯA VÀO QUYẾT TOÁN</v>
          </cell>
        </row>
      </sheetData>
      <sheetData sheetId="4727">
        <row r="4">
          <cell r="A4" t="str">
            <v>BẢNG TÍNH TOÁN, ĐO BÓC KHỐI LƯỢNG HOÀN THÀNH ĐƯA VÀO QUYẾT TOÁN</v>
          </cell>
        </row>
      </sheetData>
      <sheetData sheetId="4728">
        <row r="4">
          <cell r="A4" t="str">
            <v>BẢNG TÍNH TOÁN, ĐO BÓC KHỐI LƯỢNG HOÀN THÀNH ĐƯA VÀO QUYẾT TOÁN</v>
          </cell>
        </row>
      </sheetData>
      <sheetData sheetId="4729">
        <row r="4">
          <cell r="A4" t="str">
            <v>BẢNG TÍNH TOÁN, ĐO BÓC KHỐI LƯỢNG HOÀN THÀNH ĐƯA VÀO QUYẾT TOÁN</v>
          </cell>
        </row>
      </sheetData>
      <sheetData sheetId="4730">
        <row r="4">
          <cell r="A4" t="str">
            <v>BẢNG TÍNH TOÁN, ĐO BÓC KHỐI LƯỢNG HOÀN THÀNH ĐƯA VÀO QUYẾT TOÁN</v>
          </cell>
        </row>
      </sheetData>
      <sheetData sheetId="4731">
        <row r="4">
          <cell r="A4" t="str">
            <v>BẢNG TÍNH TOÁN, ĐO BÓC KHỐI LƯỢNG HOÀN THÀNH ĐƯA VÀO QUYẾT TOÁN</v>
          </cell>
        </row>
      </sheetData>
      <sheetData sheetId="4732">
        <row r="4">
          <cell r="A4" t="str">
            <v>BẢNG TÍNH TOÁN, ĐO BÓC KHỐI LƯỢNG HOÀN THÀNH ĐƯA VÀO QUYẾT TOÁN</v>
          </cell>
        </row>
      </sheetData>
      <sheetData sheetId="4733">
        <row r="4">
          <cell r="A4" t="str">
            <v>BẢNG TÍNH TOÁN, ĐO BÓC KHỐI LƯỢNG HOÀN THÀNH ĐƯA VÀO QUYẾT TOÁN</v>
          </cell>
        </row>
      </sheetData>
      <sheetData sheetId="4734">
        <row r="4">
          <cell r="A4" t="str">
            <v>BẢNG TÍNH TOÁN, ĐO BÓC KHỐI LƯỢNG HOÀN THÀNH ĐƯA VÀO QUYẾT TOÁN</v>
          </cell>
        </row>
      </sheetData>
      <sheetData sheetId="4735">
        <row r="4">
          <cell r="A4" t="str">
            <v>BẢNG TÍNH TOÁN, ĐO BÓC KHỐI LƯỢNG HOÀN THÀNH ĐƯA VÀO QUYẾT TOÁN</v>
          </cell>
        </row>
      </sheetData>
      <sheetData sheetId="4736">
        <row r="4">
          <cell r="A4" t="str">
            <v>BẢNG TÍNH TOÁN, ĐO BÓC KHỐI LƯỢNG HOÀN THÀNH ĐƯA VÀO QUYẾT TOÁN</v>
          </cell>
        </row>
      </sheetData>
      <sheetData sheetId="4737">
        <row r="4">
          <cell r="A4" t="str">
            <v>BẢNG TÍNH TOÁN, ĐO BÓC KHỐI LƯỢNG HOÀN THÀNH ĐƯA VÀO QUYẾT TOÁN</v>
          </cell>
        </row>
      </sheetData>
      <sheetData sheetId="4738">
        <row r="4">
          <cell r="A4" t="str">
            <v>BẢNG TÍNH TOÁN, ĐO BÓC KHỐI LƯỢNG HOÀN THÀNH ĐƯA VÀO QUYẾT TOÁN</v>
          </cell>
        </row>
      </sheetData>
      <sheetData sheetId="4739">
        <row r="4">
          <cell r="A4" t="str">
            <v>BẢNG TÍNH TOÁN, ĐO BÓC KHỐI LƯỢNG HOÀN THÀNH ĐƯA VÀO QUYẾT TOÁN</v>
          </cell>
        </row>
      </sheetData>
      <sheetData sheetId="4740">
        <row r="4">
          <cell r="A4" t="str">
            <v>BẢNG TÍNH TOÁN, ĐO BÓC KHỐI LƯỢNG HOÀN THÀNH ĐƯA VÀO QUYẾT TOÁN</v>
          </cell>
        </row>
      </sheetData>
      <sheetData sheetId="4741">
        <row r="4">
          <cell r="A4" t="str">
            <v>BẢNG TÍNH TOÁN, ĐO BÓC KHỐI LƯỢNG HOÀN THÀNH ĐƯA VÀO QUYẾT TOÁN</v>
          </cell>
        </row>
      </sheetData>
      <sheetData sheetId="4742">
        <row r="4">
          <cell r="A4" t="str">
            <v>BẢNG TÍNH TOÁN, ĐO BÓC KHỐI LƯỢNG HOÀN THÀNH ĐƯA VÀO QUYẾT TOÁN</v>
          </cell>
        </row>
      </sheetData>
      <sheetData sheetId="4743">
        <row r="4">
          <cell r="A4" t="str">
            <v>BẢNG TÍNH TOÁN, ĐO BÓC KHỐI LƯỢNG HOÀN THÀNH ĐƯA VÀO QUYẾT TOÁN</v>
          </cell>
        </row>
      </sheetData>
      <sheetData sheetId="4744">
        <row r="4">
          <cell r="A4" t="str">
            <v>BẢNG TÍNH TOÁN, ĐO BÓC KHỐI LƯỢNG HOÀN THÀNH ĐƯA VÀO QUYẾT TOÁN</v>
          </cell>
        </row>
      </sheetData>
      <sheetData sheetId="4745">
        <row r="4">
          <cell r="A4" t="str">
            <v>BẢNG TÍNH TOÁN, ĐO BÓC KHỐI LƯỢNG HOÀN THÀNH ĐƯA VÀO QUYẾT TOÁN</v>
          </cell>
        </row>
      </sheetData>
      <sheetData sheetId="4746">
        <row r="4">
          <cell r="A4" t="str">
            <v>BẢNG TÍNH TOÁN, ĐO BÓC KHỐI LƯỢNG HOÀN THÀNH ĐƯA VÀO QUYẾT TOÁN</v>
          </cell>
        </row>
      </sheetData>
      <sheetData sheetId="4747">
        <row r="4">
          <cell r="A4" t="str">
            <v>BẢNG TÍNH TOÁN, ĐO BÓC KHỐI LƯỢNG HOÀN THÀNH ĐƯA VÀO QUYẾT TOÁN</v>
          </cell>
        </row>
      </sheetData>
      <sheetData sheetId="4748">
        <row r="4">
          <cell r="A4" t="str">
            <v>BẢNG TÍNH TOÁN, ĐO BÓC KHỐI LƯỢNG HOÀN THÀNH ĐƯA VÀO QUYẾT TOÁN</v>
          </cell>
        </row>
      </sheetData>
      <sheetData sheetId="4749">
        <row r="4">
          <cell r="A4" t="str">
            <v>BẢNG TÍNH TOÁN, ĐO BÓC KHỐI LƯỢNG HOÀN THÀNH ĐƯA VÀO QUYẾT TOÁN</v>
          </cell>
        </row>
      </sheetData>
      <sheetData sheetId="4750">
        <row r="4">
          <cell r="A4" t="str">
            <v>BẢNG TÍNH TOÁN, ĐO BÓC KHỐI LƯỢNG HOÀN THÀNH ĐƯA VÀO QUYẾT TOÁN</v>
          </cell>
        </row>
      </sheetData>
      <sheetData sheetId="4751">
        <row r="4">
          <cell r="A4" t="str">
            <v>BẢNG TÍNH TOÁN, ĐO BÓC KHỐI LƯỢNG HOÀN THÀNH ĐƯA VÀO QUYẾT TOÁN</v>
          </cell>
        </row>
      </sheetData>
      <sheetData sheetId="4752">
        <row r="4">
          <cell r="A4" t="str">
            <v>BẢNG TÍNH TOÁN, ĐO BÓC KHỐI LƯỢNG HOÀN THÀNH ĐƯA VÀO QUYẾT TOÁN</v>
          </cell>
        </row>
      </sheetData>
      <sheetData sheetId="4753">
        <row r="4">
          <cell r="A4" t="str">
            <v>BẢNG TÍNH TOÁN, ĐO BÓC KHỐI LƯỢNG HOÀN THÀNH ĐƯA VÀO QUYẾT TOÁN</v>
          </cell>
        </row>
      </sheetData>
      <sheetData sheetId="4754">
        <row r="4">
          <cell r="A4" t="str">
            <v>BẢNG TÍNH TOÁN, ĐO BÓC KHỐI LƯỢNG HOÀN THÀNH ĐƯA VÀO QUYẾT TOÁN</v>
          </cell>
        </row>
      </sheetData>
      <sheetData sheetId="4755">
        <row r="4">
          <cell r="A4" t="str">
            <v>BẢNG TÍNH TOÁN, ĐO BÓC KHỐI LƯỢNG HOÀN THÀNH ĐƯA VÀO QUYẾT TOÁN</v>
          </cell>
        </row>
      </sheetData>
      <sheetData sheetId="4756">
        <row r="4">
          <cell r="A4" t="str">
            <v>BẢNG TÍNH TOÁN, ĐO BÓC KHỐI LƯỢNG HOÀN THÀNH ĐƯA VÀO QUYẾT TOÁN</v>
          </cell>
        </row>
      </sheetData>
      <sheetData sheetId="4757">
        <row r="4">
          <cell r="A4" t="str">
            <v>BẢNG TÍNH TOÁN, ĐO BÓC KHỐI LƯỢNG HOÀN THÀNH ĐƯA VÀO QUYẾT TOÁN</v>
          </cell>
        </row>
      </sheetData>
      <sheetData sheetId="4758">
        <row r="4">
          <cell r="A4" t="str">
            <v>BẢNG TÍNH TOÁN, ĐO BÓC KHỐI LƯỢNG HOÀN THÀNH ĐƯA VÀO QUYẾT TOÁN</v>
          </cell>
        </row>
      </sheetData>
      <sheetData sheetId="4759">
        <row r="4">
          <cell r="A4" t="str">
            <v>BẢNG TÍNH TOÁN, ĐO BÓC KHỐI LƯỢNG HOÀN THÀNH ĐƯA VÀO QUYẾT TOÁN</v>
          </cell>
        </row>
      </sheetData>
      <sheetData sheetId="4760">
        <row r="4">
          <cell r="A4" t="str">
            <v>BẢNG TÍNH TOÁN, ĐO BÓC KHỐI LƯỢNG HOÀN THÀNH ĐƯA VÀO QUYẾT TOÁN</v>
          </cell>
        </row>
      </sheetData>
      <sheetData sheetId="4761">
        <row r="4">
          <cell r="A4" t="str">
            <v>BẢNG TÍNH TOÁN, ĐO BÓC KHỐI LƯỢNG HOÀN THÀNH ĐƯA VÀO QUYẾT TOÁN</v>
          </cell>
        </row>
      </sheetData>
      <sheetData sheetId="4762">
        <row r="4">
          <cell r="A4" t="str">
            <v>BẢNG TÍNH TOÁN, ĐO BÓC KHỐI LƯỢNG HOÀN THÀNH ĐƯA VÀO QUYẾT TOÁN</v>
          </cell>
        </row>
      </sheetData>
      <sheetData sheetId="4763">
        <row r="4">
          <cell r="A4" t="str">
            <v>BẢNG TÍNH TOÁN, ĐO BÓC KHỐI LƯỢNG HOÀN THÀNH ĐƯA VÀO QUYẾT TOÁN</v>
          </cell>
        </row>
      </sheetData>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4">
          <cell r="A4" t="str">
            <v>BẢNG TÍNH TOÁN, ĐO BÓC KHỐI LƯỢNG HOÀN THÀNH ĐƯA VÀO QUYẾT TOÁN</v>
          </cell>
        </row>
      </sheetData>
      <sheetData sheetId="4827">
        <row r="4">
          <cell r="A4" t="str">
            <v>BẢNG TÍNH TOÁN, ĐO BÓC KHỐI LƯỢNG HOÀN THÀNH ĐƯA VÀO QUYẾT TOÁN</v>
          </cell>
        </row>
      </sheetData>
      <sheetData sheetId="4828">
        <row r="4">
          <cell r="A4" t="str">
            <v>BẢNG TÍNH TOÁN, ĐO BÓC KHỐI LƯỢNG HOÀN THÀNH ĐƯA VÀO QUYẾT TOÁN</v>
          </cell>
        </row>
      </sheetData>
      <sheetData sheetId="4829">
        <row r="4">
          <cell r="A4" t="str">
            <v>BẢNG TÍNH TOÁN, ĐO BÓC KHỐI LƯỢNG HOÀN THÀNH ĐƯA VÀO QUYẾT TOÁN</v>
          </cell>
        </row>
      </sheetData>
      <sheetData sheetId="4830">
        <row r="4">
          <cell r="A4" t="str">
            <v>BẢNG TÍNH TOÁN, ĐO BÓC KHỐI LƯỢNG HOÀN THÀNH ĐƯA VÀO QUYẾT TOÁN</v>
          </cell>
        </row>
      </sheetData>
      <sheetData sheetId="4831">
        <row r="4">
          <cell r="A4" t="str">
            <v>BẢNG TÍNH TOÁN, ĐO BÓC KHỐI LƯỢNG HOÀN THÀNH ĐƯA VÀO QUYẾT TOÁN</v>
          </cell>
        </row>
      </sheetData>
      <sheetData sheetId="4832">
        <row r="4">
          <cell r="A4" t="str">
            <v>BẢNG TÍNH TOÁN, ĐO BÓC KHỐI LƯỢNG HOÀN THÀNH ĐƯA VÀO QUYẾT TOÁN</v>
          </cell>
        </row>
      </sheetData>
      <sheetData sheetId="4833">
        <row r="4">
          <cell r="A4" t="str">
            <v>BẢNG TÍNH TOÁN, ĐO BÓC KHỐI LƯỢNG HOÀN THÀNH ĐƯA VÀO QUYẾT TOÁN</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efreshError="1"/>
      <sheetData sheetId="4840" refreshError="1"/>
      <sheetData sheetId="4841" refreshError="1"/>
      <sheetData sheetId="4842" refreshError="1"/>
      <sheetData sheetId="4843" refreshError="1"/>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4">
          <cell r="A4" t="str">
            <v>BẢNG TÍNH TOÁN, ĐO BÓC KHỐI LƯỢNG HOÀN THÀNH ĐƯA VÀO QUYẾT TOÁN</v>
          </cell>
        </row>
      </sheetData>
      <sheetData sheetId="4851">
        <row r="4">
          <cell r="A4" t="str">
            <v>BẢNG TÍNH TOÁN, ĐO BÓC KHỐI LƯỢNG HOÀN THÀNH ĐƯA VÀO QUYẾT TOÁN</v>
          </cell>
        </row>
      </sheetData>
      <sheetData sheetId="4852">
        <row r="4">
          <cell r="A4" t="str">
            <v>BẢNG TÍNH TOÁN, ĐO BÓC KHỐI LƯỢNG HOÀN THÀNH ĐƯA VÀO QUYẾT TOÁN</v>
          </cell>
        </row>
      </sheetData>
      <sheetData sheetId="4853">
        <row r="4">
          <cell r="A4" t="str">
            <v>BẢNG TÍNH TOÁN, ĐO BÓC KHỐI LƯỢNG HOÀN THÀNH ĐƯA VÀO QUYẾT TOÁN</v>
          </cell>
        </row>
      </sheetData>
      <sheetData sheetId="4854">
        <row r="4">
          <cell r="A4" t="str">
            <v>BẢNG TÍNH TOÁN, ĐO BÓC KHỐI LƯỢNG HOÀN THÀNH ĐƯA VÀO QUYẾT TOÁN</v>
          </cell>
        </row>
      </sheetData>
      <sheetData sheetId="4855">
        <row r="4">
          <cell r="A4" t="str">
            <v>BẢNG TÍNH TOÁN, ĐO BÓC KHỐI LƯỢNG HOÀN THÀNH ĐƯA VÀO QUYẾT TOÁN</v>
          </cell>
        </row>
      </sheetData>
      <sheetData sheetId="4856">
        <row r="4">
          <cell r="A4" t="str">
            <v>BẢNG TÍNH TOÁN, ĐO BÓC KHỐI LƯỢNG HOÀN THÀNH ĐƯA VÀO QUYẾT TOÁN</v>
          </cell>
        </row>
      </sheetData>
      <sheetData sheetId="4857">
        <row r="4">
          <cell r="A4" t="str">
            <v>BẢNG TÍNH TOÁN, ĐO BÓC KHỐI LƯỢNG HOÀN THÀNH ĐƯA VÀO QUYẾT TOÁN</v>
          </cell>
        </row>
      </sheetData>
      <sheetData sheetId="4858">
        <row r="4">
          <cell r="A4" t="str">
            <v>BẢNG TÍNH TOÁN, ĐO BÓC KHỐI LƯỢNG HOÀN THÀNH ĐƯA VÀO QUYẾT TOÁN</v>
          </cell>
        </row>
      </sheetData>
      <sheetData sheetId="4859">
        <row r="4">
          <cell r="A4" t="str">
            <v>BẢNG TÍNH TOÁN, ĐO BÓC KHỐI LƯỢNG HOÀN THÀNH ĐƯA VÀO QUYẾT TOÁN</v>
          </cell>
        </row>
      </sheetData>
      <sheetData sheetId="4860">
        <row r="4">
          <cell r="A4" t="str">
            <v>BẢNG TÍNH TOÁN, ĐO BÓC KHỐI LƯỢNG HOÀN THÀNH ĐƯA VÀO QUYẾT TOÁN</v>
          </cell>
        </row>
      </sheetData>
      <sheetData sheetId="4861">
        <row r="4">
          <cell r="A4" t="str">
            <v>BẢNG TÍNH TOÁN, ĐO BÓC KHỐI LƯỢNG HOÀN THÀNH ĐƯA VÀO QUYẾT TOÁN</v>
          </cell>
        </row>
      </sheetData>
      <sheetData sheetId="4862">
        <row r="4">
          <cell r="A4" t="str">
            <v>BẢNG TÍNH TOÁN, ĐO BÓC KHỐI LƯỢNG HOÀN THÀNH ĐƯA VÀO QUYẾT TOÁN</v>
          </cell>
        </row>
      </sheetData>
      <sheetData sheetId="4863">
        <row r="4">
          <cell r="A4" t="str">
            <v>BẢNG TÍNH TOÁN, ĐO BÓC KHỐI LƯỢNG HOÀN THÀNH ĐƯA VÀO QUYẾT TOÁN</v>
          </cell>
        </row>
      </sheetData>
      <sheetData sheetId="4864">
        <row r="4">
          <cell r="A4" t="str">
            <v>BẢNG TÍNH TOÁN, ĐO BÓC KHỐI LƯỢNG HOÀN THÀNH ĐƯA VÀO QUYẾT TOÁN</v>
          </cell>
        </row>
      </sheetData>
      <sheetData sheetId="4865">
        <row r="4">
          <cell r="A4" t="str">
            <v>BẢNG TÍNH TOÁN, ĐO BÓC KHỐI LƯỢNG HOÀN THÀNH ĐƯA VÀO QUYẾT TOÁN</v>
          </cell>
        </row>
      </sheetData>
      <sheetData sheetId="4866">
        <row r="4">
          <cell r="A4" t="str">
            <v>BẢNG TÍNH TOÁN, ĐO BÓC KHỐI LƯỢNG HOÀN THÀNH ĐƯA VÀO QUYẾT TOÁN</v>
          </cell>
        </row>
      </sheetData>
      <sheetData sheetId="4867">
        <row r="4">
          <cell r="A4" t="str">
            <v>BẢNG TÍNH TOÁN, ĐO BÓC KHỐI LƯỢNG HOÀN THÀNH ĐƯA VÀO QUYẾT TOÁN</v>
          </cell>
        </row>
      </sheetData>
      <sheetData sheetId="4868">
        <row r="4">
          <cell r="A4" t="str">
            <v>BẢNG TÍNH TOÁN, ĐO BÓC KHỐI LƯỢNG HOÀN THÀNH ĐƯA VÀO QUYẾT TOÁN</v>
          </cell>
        </row>
      </sheetData>
      <sheetData sheetId="4869">
        <row r="4">
          <cell r="A4" t="str">
            <v>BẢNG TÍNH TOÁN, ĐO BÓC KHỐI LƯỢNG HOÀN THÀNH ĐƯA VÀO QUYẾT TOÁN</v>
          </cell>
        </row>
      </sheetData>
      <sheetData sheetId="4870">
        <row r="4">
          <cell r="A4" t="str">
            <v>BẢNG TÍNH TOÁN, ĐO BÓC KHỐI LƯỢNG HOÀN THÀNH ĐƯA VÀO QUYẾT TOÁN</v>
          </cell>
        </row>
      </sheetData>
      <sheetData sheetId="4871">
        <row r="4">
          <cell r="A4" t="str">
            <v>BẢNG TÍNH TOÁN, ĐO BÓC KHỐI LƯỢNG HOÀN THÀNH ĐƯA VÀO QUYẾT TOÁN</v>
          </cell>
        </row>
      </sheetData>
      <sheetData sheetId="4872">
        <row r="4">
          <cell r="A4" t="str">
            <v>BẢNG TÍNH TOÁN, ĐO BÓC KHỐI LƯỢNG HOÀN THÀNH ĐƯA VÀO QUYẾT TOÁN</v>
          </cell>
        </row>
      </sheetData>
      <sheetData sheetId="4873">
        <row r="4">
          <cell r="A4" t="str">
            <v>BẢNG TÍNH TOÁN, ĐO BÓC KHỐI LƯỢNG HOÀN THÀNH ĐƯA VÀO QUYẾT TOÁN</v>
          </cell>
        </row>
      </sheetData>
      <sheetData sheetId="4874">
        <row r="4">
          <cell r="A4" t="str">
            <v>BẢNG TÍNH TOÁN, ĐO BÓC KHỐI LƯỢNG HOÀN THÀNH ĐƯA VÀO QUYẾT TOÁN</v>
          </cell>
        </row>
      </sheetData>
      <sheetData sheetId="4875">
        <row r="4">
          <cell r="A4" t="str">
            <v>BẢNG TÍNH TOÁN, ĐO BÓC KHỐI LƯỢNG HOÀN THÀNH ĐƯA VÀO QUYẾT TOÁN</v>
          </cell>
        </row>
      </sheetData>
      <sheetData sheetId="4876">
        <row r="4">
          <cell r="A4" t="str">
            <v>BẢNG TÍNH TOÁN, ĐO BÓC KHỐI LƯỢNG HOÀN THÀNH ĐƯA VÀO QUYẾT TOÁN</v>
          </cell>
        </row>
      </sheetData>
      <sheetData sheetId="4877">
        <row r="4">
          <cell r="A4" t="str">
            <v>BẢNG TÍNH TOÁN, ĐO BÓC KHỐI LƯỢNG HOÀN THÀNH ĐƯA VÀO QUYẾT TOÁN</v>
          </cell>
        </row>
      </sheetData>
      <sheetData sheetId="4878">
        <row r="4">
          <cell r="A4" t="str">
            <v>BẢNG TÍNH TOÁN, ĐO BÓC KHỐI LƯỢNG HOÀN THÀNH ĐƯA VÀO QUYẾT TOÁN</v>
          </cell>
        </row>
      </sheetData>
      <sheetData sheetId="4879">
        <row r="4">
          <cell r="A4" t="str">
            <v>BẢNG TÍNH TOÁN, ĐO BÓC KHỐI LƯỢNG HOÀN THÀNH ĐƯA VÀO QUYẾT TOÁN</v>
          </cell>
        </row>
      </sheetData>
      <sheetData sheetId="4880">
        <row r="4">
          <cell r="A4" t="str">
            <v>BẢNG TÍNH TOÁN, ĐO BÓC KHỐI LƯỢNG HOÀN THÀNH ĐƯA VÀO QUYẾT TOÁN</v>
          </cell>
        </row>
      </sheetData>
      <sheetData sheetId="4881">
        <row r="4">
          <cell r="A4" t="str">
            <v>BẢNG TÍNH TOÁN, ĐO BÓC KHỐI LƯỢNG HOÀN THÀNH ĐƯA VÀO QUYẾT TOÁN</v>
          </cell>
        </row>
      </sheetData>
      <sheetData sheetId="4882">
        <row r="4">
          <cell r="A4" t="str">
            <v>BẢNG TÍNH TOÁN, ĐO BÓC KHỐI LƯỢNG HOÀN THÀNH ĐƯA VÀO QUYẾT TOÁN</v>
          </cell>
        </row>
      </sheetData>
      <sheetData sheetId="4883">
        <row r="4">
          <cell r="A4" t="str">
            <v>BẢNG TÍNH TOÁN, ĐO BÓC KHỐI LƯỢNG HOÀN THÀNH ĐƯA VÀO QUYẾT TOÁN</v>
          </cell>
        </row>
      </sheetData>
      <sheetData sheetId="4884">
        <row r="4">
          <cell r="A4" t="str">
            <v>BẢNG TÍNH TOÁN, ĐO BÓC KHỐI LƯỢNG HOÀN THÀNH ĐƯA VÀO QUYẾT TOÁN</v>
          </cell>
        </row>
      </sheetData>
      <sheetData sheetId="4885">
        <row r="4">
          <cell r="A4" t="str">
            <v>BẢNG TÍNH TOÁN, ĐO BÓC KHỐI LƯỢNG HOÀN THÀNH ĐƯA VÀO QUYẾT TOÁN</v>
          </cell>
        </row>
      </sheetData>
      <sheetData sheetId="4886">
        <row r="4">
          <cell r="A4" t="str">
            <v>BẢNG TÍNH TOÁN, ĐO BÓC KHỐI LƯỢNG HOÀN THÀNH ĐƯA VÀO QUYẾT TOÁN</v>
          </cell>
        </row>
      </sheetData>
      <sheetData sheetId="4887">
        <row r="4">
          <cell r="A4" t="str">
            <v>BẢNG TÍNH TOÁN, ĐO BÓC KHỐI LƯỢNG HOÀN THÀNH ĐƯA VÀO QUYẾT TOÁN</v>
          </cell>
        </row>
      </sheetData>
      <sheetData sheetId="4888">
        <row r="4">
          <cell r="A4" t="str">
            <v>BẢNG TÍNH TOÁN, ĐO BÓC KHỐI LƯỢNG HOÀN THÀNH ĐƯA VÀO QUYẾT TOÁN</v>
          </cell>
        </row>
      </sheetData>
      <sheetData sheetId="4889">
        <row r="4">
          <cell r="A4" t="str">
            <v>BẢNG TÍNH TOÁN, ĐO BÓC KHỐI LƯỢNG HOÀN THÀNH ĐƯA VÀO QUYẾT TOÁN</v>
          </cell>
        </row>
      </sheetData>
      <sheetData sheetId="4890">
        <row r="4">
          <cell r="A4" t="str">
            <v>BẢNG TÍNH TOÁN, ĐO BÓC KHỐI LƯỢNG HOÀN THÀNH ĐƯA VÀO QUYẾT TOÁN</v>
          </cell>
        </row>
      </sheetData>
      <sheetData sheetId="4891">
        <row r="4">
          <cell r="A4" t="str">
            <v>BẢNG TÍNH TOÁN, ĐO BÓC KHỐI LƯỢNG HOÀN THÀNH ĐƯA VÀO QUYẾT TOÁN</v>
          </cell>
        </row>
      </sheetData>
      <sheetData sheetId="4892">
        <row r="4">
          <cell r="A4" t="str">
            <v>BẢNG TÍNH TOÁN, ĐO BÓC KHỐI LƯỢNG HOÀN THÀNH ĐƯA VÀO QUYẾT TOÁN</v>
          </cell>
        </row>
      </sheetData>
      <sheetData sheetId="4893">
        <row r="4">
          <cell r="A4" t="str">
            <v>BẢNG TÍNH TOÁN, ĐO BÓC KHỐI LƯỢNG HOÀN THÀNH ĐƯA VÀO QUYẾT TOÁN</v>
          </cell>
        </row>
      </sheetData>
      <sheetData sheetId="4894">
        <row r="4">
          <cell r="A4" t="str">
            <v>BẢNG TÍNH TOÁN, ĐO BÓC KHỐI LƯỢNG HOÀN THÀNH ĐƯA VÀO QUYẾT TOÁN</v>
          </cell>
        </row>
      </sheetData>
      <sheetData sheetId="4895">
        <row r="4">
          <cell r="A4" t="str">
            <v>BẢNG TÍNH TOÁN, ĐO BÓC KHỐI LƯỢNG HOÀN THÀNH ĐƯA VÀO QUYẾT TOÁN</v>
          </cell>
        </row>
      </sheetData>
      <sheetData sheetId="4896">
        <row r="4">
          <cell r="A4" t="str">
            <v>BẢNG TÍNH TOÁN, ĐO BÓC KHỐI LƯỢNG HOÀN THÀNH ĐƯA VÀO QUYẾT TOÁN</v>
          </cell>
        </row>
      </sheetData>
      <sheetData sheetId="4897">
        <row r="4">
          <cell r="A4" t="str">
            <v>BẢNG TÍNH TOÁN, ĐO BÓC KHỐI LƯỢNG HOÀN THÀNH ĐƯA VÀO QUYẾT TOÁN</v>
          </cell>
        </row>
      </sheetData>
      <sheetData sheetId="4898">
        <row r="4">
          <cell r="A4" t="str">
            <v>BẢNG TÍNH TOÁN, ĐO BÓC KHỐI LƯỢNG HOÀN THÀNH ĐƯA VÀO QUYẾT TOÁN</v>
          </cell>
        </row>
      </sheetData>
      <sheetData sheetId="4899">
        <row r="4">
          <cell r="A4" t="str">
            <v>BẢNG TÍNH TOÁN, ĐO BÓC KHỐI LƯỢNG HOÀN THÀNH ĐƯA VÀO QUYẾT TOÁN</v>
          </cell>
        </row>
      </sheetData>
      <sheetData sheetId="4900">
        <row r="4">
          <cell r="A4" t="str">
            <v>BẢNG TÍNH TOÁN, ĐO BÓC KHỐI LƯỢNG HOÀN THÀNH ĐƯA VÀO QUYẾT TOÁN</v>
          </cell>
        </row>
      </sheetData>
      <sheetData sheetId="4901">
        <row r="4">
          <cell r="A4" t="str">
            <v>BẢNG TÍNH TOÁN, ĐO BÓC KHỐI LƯỢNG HOÀN THÀNH ĐƯA VÀO QUYẾT TOÁN</v>
          </cell>
        </row>
      </sheetData>
      <sheetData sheetId="4902">
        <row r="4">
          <cell r="A4" t="str">
            <v>BẢNG TÍNH TOÁN, ĐO BÓC KHỐI LƯỢNG HOÀN THÀNH ĐƯA VÀO QUYẾT TOÁN</v>
          </cell>
        </row>
      </sheetData>
      <sheetData sheetId="4903">
        <row r="4">
          <cell r="A4" t="str">
            <v>BẢNG TÍNH TOÁN, ĐO BÓC KHỐI LƯỢNG HOÀN THÀNH ĐƯA VÀO QUYẾT TOÁN</v>
          </cell>
        </row>
      </sheetData>
      <sheetData sheetId="4904">
        <row r="4">
          <cell r="A4" t="str">
            <v>BẢNG TÍNH TOÁN, ĐO BÓC KHỐI LƯỢNG HOÀN THÀNH ĐƯA VÀO QUYẾT TOÁN</v>
          </cell>
        </row>
      </sheetData>
      <sheetData sheetId="4905">
        <row r="4">
          <cell r="A4" t="str">
            <v>BẢNG TÍNH TOÁN, ĐO BÓC KHỐI LƯỢNG HOÀN THÀNH ĐƯA VÀO QUYẾT TOÁN</v>
          </cell>
        </row>
      </sheetData>
      <sheetData sheetId="4906">
        <row r="4">
          <cell r="A4" t="str">
            <v>BẢNG TÍNH TOÁN, ĐO BÓC KHỐI LƯỢNG HOÀN THÀNH ĐƯA VÀO QUYẾT TOÁN</v>
          </cell>
        </row>
      </sheetData>
      <sheetData sheetId="4907">
        <row r="4">
          <cell r="A4" t="str">
            <v>BẢNG TÍNH TOÁN, ĐO BÓC KHỐI LƯỢNG HOÀN THÀNH ĐƯA VÀO QUYẾT TOÁN</v>
          </cell>
        </row>
      </sheetData>
      <sheetData sheetId="4908">
        <row r="4">
          <cell r="A4" t="str">
            <v>BẢNG TÍNH TOÁN, ĐO BÓC KHỐI LƯỢNG HOÀN THÀNH ĐƯA VÀO QUYẾT TOÁN</v>
          </cell>
        </row>
      </sheetData>
      <sheetData sheetId="4909">
        <row r="4">
          <cell r="A4" t="str">
            <v>BẢNG TÍNH TOÁN, ĐO BÓC KHỐI LƯỢNG HOÀN THÀNH ĐƯA VÀO QUYẾT TOÁN</v>
          </cell>
        </row>
      </sheetData>
      <sheetData sheetId="4910">
        <row r="4">
          <cell r="A4" t="str">
            <v>BẢNG TÍNH TOÁN, ĐO BÓC KHỐI LƯỢNG HOÀN THÀNH ĐƯA VÀO QUYẾT TOÁN</v>
          </cell>
        </row>
      </sheetData>
      <sheetData sheetId="4911">
        <row r="4">
          <cell r="A4" t="str">
            <v>BẢNG TÍNH TOÁN, ĐO BÓC KHỐI LƯỢNG HOÀN THÀNH ĐƯA VÀO QUYẾT TOÁN</v>
          </cell>
        </row>
      </sheetData>
      <sheetData sheetId="4912">
        <row r="4">
          <cell r="A4" t="str">
            <v>BẢNG TÍNH TOÁN, ĐO BÓC KHỐI LƯỢNG HOÀN THÀNH ĐƯA VÀO QUYẾT TOÁN</v>
          </cell>
        </row>
      </sheetData>
      <sheetData sheetId="4913">
        <row r="4">
          <cell r="A4" t="str">
            <v>BẢNG TÍNH TOÁN, ĐO BÓC KHỐI LƯỢNG HOÀN THÀNH ĐƯA VÀO QUYẾT TOÁN</v>
          </cell>
        </row>
      </sheetData>
      <sheetData sheetId="4914">
        <row r="4">
          <cell r="A4" t="str">
            <v>BẢNG TÍNH TOÁN, ĐO BÓC KHỐI LƯỢNG HOÀN THÀNH ĐƯA VÀO QUYẾT TOÁN</v>
          </cell>
        </row>
      </sheetData>
      <sheetData sheetId="4915">
        <row r="4">
          <cell r="A4" t="str">
            <v>BẢNG TÍNH TOÁN, ĐO BÓC KHỐI LƯỢNG HOÀN THÀNH ĐƯA VÀO QUYẾT TOÁN</v>
          </cell>
        </row>
      </sheetData>
      <sheetData sheetId="4916">
        <row r="4">
          <cell r="A4" t="str">
            <v>BẢNG TÍNH TOÁN, ĐO BÓC KHỐI LƯỢNG HOÀN THÀNH ĐƯA VÀO QUYẾT TOÁN</v>
          </cell>
        </row>
      </sheetData>
      <sheetData sheetId="4917">
        <row r="4">
          <cell r="A4" t="str">
            <v>BẢNG TÍNH TOÁN, ĐO BÓC KHỐI LƯỢNG HOÀN THÀNH ĐƯA VÀO QUYẾT TOÁN</v>
          </cell>
        </row>
      </sheetData>
      <sheetData sheetId="4918">
        <row r="4">
          <cell r="A4" t="str">
            <v>BẢNG TÍNH TOÁN, ĐO BÓC KHỐI LƯỢNG HOÀN THÀNH ĐƯA VÀO QUYẾT TOÁN</v>
          </cell>
        </row>
      </sheetData>
      <sheetData sheetId="4919">
        <row r="4">
          <cell r="A4" t="str">
            <v>BẢNG TÍNH TOÁN, ĐO BÓC KHỐI LƯỢNG HOÀN THÀNH ĐƯA VÀO QUYẾT TOÁN</v>
          </cell>
        </row>
      </sheetData>
      <sheetData sheetId="4920">
        <row r="4">
          <cell r="A4" t="str">
            <v>BẢNG TÍNH TOÁN, ĐO BÓC KHỐI LƯỢNG HOÀN THÀNH ĐƯA VÀO QUYẾT TOÁN</v>
          </cell>
        </row>
      </sheetData>
      <sheetData sheetId="4921">
        <row r="4">
          <cell r="A4" t="str">
            <v>BẢNG TÍNH TOÁN, ĐO BÓC KHỐI LƯỢNG HOÀN THÀNH ĐƯA VÀO QUYẾT TOÁN</v>
          </cell>
        </row>
      </sheetData>
      <sheetData sheetId="4922">
        <row r="4">
          <cell r="A4" t="str">
            <v>BẢNG TÍNH TOÁN, ĐO BÓC KHỐI LƯỢNG HOÀN THÀNH ĐƯA VÀO QUYẾT TOÁN</v>
          </cell>
        </row>
      </sheetData>
      <sheetData sheetId="4923">
        <row r="4">
          <cell r="A4" t="str">
            <v>BẢNG TÍNH TOÁN, ĐO BÓC KHỐI LƯỢNG HOÀN THÀNH ĐƯA VÀO QUYẾT TOÁN</v>
          </cell>
        </row>
      </sheetData>
      <sheetData sheetId="4924">
        <row r="4">
          <cell r="A4" t="str">
            <v>BẢNG TÍNH TOÁN, ĐO BÓC KHỐI LƯỢNG HOÀN THÀNH ĐƯA VÀO QUYẾT TOÁN</v>
          </cell>
        </row>
      </sheetData>
      <sheetData sheetId="4925">
        <row r="4">
          <cell r="A4" t="str">
            <v>BẢNG TÍNH TOÁN, ĐO BÓC KHỐI LƯỢNG HOÀN THÀNH ĐƯA VÀO QUYẾT TOÁN</v>
          </cell>
        </row>
      </sheetData>
      <sheetData sheetId="4926">
        <row r="4">
          <cell r="A4" t="str">
            <v>BẢNG TÍNH TOÁN, ĐO BÓC KHỐI LƯỢNG HOÀN THÀNH ĐƯA VÀO QUYẾT TOÁN</v>
          </cell>
        </row>
      </sheetData>
      <sheetData sheetId="4927">
        <row r="4">
          <cell r="A4" t="str">
            <v>BẢNG TÍNH TOÁN, ĐO BÓC KHỐI LƯỢNG HOÀN THÀNH ĐƯA VÀO QUYẾT TOÁN</v>
          </cell>
        </row>
      </sheetData>
      <sheetData sheetId="4928">
        <row r="4">
          <cell r="A4" t="str">
            <v>BẢNG TÍNH TOÁN, ĐO BÓC KHỐI LƯỢNG HOÀN THÀNH ĐƯA VÀO QUYẾT TOÁN</v>
          </cell>
        </row>
      </sheetData>
      <sheetData sheetId="4929">
        <row r="4">
          <cell r="A4" t="str">
            <v>BẢNG TÍNH TOÁN, ĐO BÓC KHỐI LƯỢNG HOÀN THÀNH ĐƯA VÀO QUYẾT TOÁN</v>
          </cell>
        </row>
      </sheetData>
      <sheetData sheetId="4930">
        <row r="4">
          <cell r="A4" t="str">
            <v>BẢNG TÍNH TOÁN, ĐO BÓC KHỐI LƯỢNG HOÀN THÀNH ĐƯA VÀO QUYẾT TOÁN</v>
          </cell>
        </row>
      </sheetData>
      <sheetData sheetId="4931">
        <row r="4">
          <cell r="A4" t="str">
            <v>BẢNG TÍNH TOÁN, ĐO BÓC KHỐI LƯỢNG HOÀN THÀNH ĐƯA VÀO QUYẾT TOÁN</v>
          </cell>
        </row>
      </sheetData>
      <sheetData sheetId="4932">
        <row r="4">
          <cell r="A4" t="str">
            <v>BẢNG TÍNH TOÁN, ĐO BÓC KHỐI LƯỢNG HOÀN THÀNH ĐƯA VÀO QUYẾT TOÁN</v>
          </cell>
        </row>
      </sheetData>
      <sheetData sheetId="4933">
        <row r="4">
          <cell r="A4" t="str">
            <v>BẢNG TÍNH TOÁN, ĐO BÓC KHỐI LƯỢNG HOÀN THÀNH ĐƯA VÀO QUYẾT TOÁN</v>
          </cell>
        </row>
      </sheetData>
      <sheetData sheetId="4934">
        <row r="4">
          <cell r="A4" t="str">
            <v>BẢNG TÍNH TOÁN, ĐO BÓC KHỐI LƯỢNG HOÀN THÀNH ĐƯA VÀO QUYẾT TOÁN</v>
          </cell>
        </row>
      </sheetData>
      <sheetData sheetId="4935">
        <row r="4">
          <cell r="A4" t="str">
            <v>BẢNG TÍNH TOÁN, ĐO BÓC KHỐI LƯỢNG HOÀN THÀNH ĐƯA VÀO QUYẾT TOÁN</v>
          </cell>
        </row>
      </sheetData>
      <sheetData sheetId="4936">
        <row r="4">
          <cell r="A4" t="str">
            <v>BẢNG TÍNH TOÁN, ĐO BÓC KHỐI LƯỢNG HOÀN THÀNH ĐƯA VÀO QUYẾT TOÁN</v>
          </cell>
        </row>
      </sheetData>
      <sheetData sheetId="4937">
        <row r="4">
          <cell r="A4" t="str">
            <v>BẢNG TÍNH TOÁN, ĐO BÓC KHỐI LƯỢNG HOÀN THÀNH ĐƯA VÀO QUYẾT TOÁN</v>
          </cell>
        </row>
      </sheetData>
      <sheetData sheetId="4938">
        <row r="4">
          <cell r="A4" t="str">
            <v>BẢNG TÍNH TOÁN, ĐO BÓC KHỐI LƯỢNG HOÀN THÀNH ĐƯA VÀO QUYẾT TOÁN</v>
          </cell>
        </row>
      </sheetData>
      <sheetData sheetId="4939">
        <row r="4">
          <cell r="A4" t="str">
            <v>BẢNG TÍNH TOÁN, ĐO BÓC KHỐI LƯỢNG HOÀN THÀNH ĐƯA VÀO QUYẾT TOÁN</v>
          </cell>
        </row>
      </sheetData>
      <sheetData sheetId="4940">
        <row r="4">
          <cell r="A4" t="str">
            <v>BẢNG TÍNH TOÁN, ĐO BÓC KHỐI LƯỢNG HOÀN THÀNH ĐƯA VÀO QUYẾT TOÁN</v>
          </cell>
        </row>
      </sheetData>
      <sheetData sheetId="4941">
        <row r="4">
          <cell r="A4" t="str">
            <v>BẢNG TÍNH TOÁN, ĐO BÓC KHỐI LƯỢNG HOÀN THÀNH ĐƯA VÀO QUYẾT TOÁN</v>
          </cell>
        </row>
      </sheetData>
      <sheetData sheetId="4942">
        <row r="4">
          <cell r="A4" t="str">
            <v>BẢNG TÍNH TOÁN, ĐO BÓC KHỐI LƯỢNG HOÀN THÀNH ĐƯA VÀO QUYẾT TOÁN</v>
          </cell>
        </row>
      </sheetData>
      <sheetData sheetId="4943">
        <row r="4">
          <cell r="A4" t="str">
            <v>BẢNG TÍNH TOÁN, ĐO BÓC KHỐI LƯỢNG HOÀN THÀNH ĐƯA VÀO QUYẾT TOÁN</v>
          </cell>
        </row>
      </sheetData>
      <sheetData sheetId="4944">
        <row r="4">
          <cell r="A4" t="str">
            <v>BẢNG TÍNH TOÁN, ĐO BÓC KHỐI LƯỢNG HOÀN THÀNH ĐƯA VÀO QUYẾT TOÁN</v>
          </cell>
        </row>
      </sheetData>
      <sheetData sheetId="4945">
        <row r="4">
          <cell r="A4" t="str">
            <v>BẢNG TÍNH TOÁN, ĐO BÓC KHỐI LƯỢNG HOÀN THÀNH ĐƯA VÀO QUYẾT TOÁN</v>
          </cell>
        </row>
      </sheetData>
      <sheetData sheetId="4946">
        <row r="4">
          <cell r="A4" t="str">
            <v>BẢNG TÍNH TOÁN, ĐO BÓC KHỐI LƯỢNG HOÀN THÀNH ĐƯA VÀO QUYẾT TOÁN</v>
          </cell>
        </row>
      </sheetData>
      <sheetData sheetId="4947">
        <row r="4">
          <cell r="A4" t="str">
            <v>BẢNG TÍNH TOÁN, ĐO BÓC KHỐI LƯỢNG HOÀN THÀNH ĐƯA VÀO QUYẾT TOÁN</v>
          </cell>
        </row>
      </sheetData>
      <sheetData sheetId="4948">
        <row r="4">
          <cell r="A4" t="str">
            <v>BẢNG TÍNH TOÁN, ĐO BÓC KHỐI LƯỢNG HOÀN THÀNH ĐƯA VÀO QUYẾT TOÁN</v>
          </cell>
        </row>
      </sheetData>
      <sheetData sheetId="4949">
        <row r="4">
          <cell r="A4" t="str">
            <v>BẢNG TÍNH TOÁN, ĐO BÓC KHỐI LƯỢNG HOÀN THÀNH ĐƯA VÀO QUYẾT TOÁN</v>
          </cell>
        </row>
      </sheetData>
      <sheetData sheetId="4950">
        <row r="4">
          <cell r="A4" t="str">
            <v>BẢNG TÍNH TOÁN, ĐO BÓC KHỐI LƯỢNG HOÀN THÀNH ĐƯA VÀO QUYẾT TOÁN</v>
          </cell>
        </row>
      </sheetData>
      <sheetData sheetId="4951">
        <row r="4">
          <cell r="A4" t="str">
            <v>BẢNG TÍNH TOÁN, ĐO BÓC KHỐI LƯỢNG HOÀN THÀNH ĐƯA VÀO QUYẾT TOÁN</v>
          </cell>
        </row>
      </sheetData>
      <sheetData sheetId="4952">
        <row r="4">
          <cell r="A4" t="str">
            <v>BẢNG TÍNH TOÁN, ĐO BÓC KHỐI LƯỢNG HOÀN THÀNH ĐƯA VÀO QUYẾT TOÁN</v>
          </cell>
        </row>
      </sheetData>
      <sheetData sheetId="4953">
        <row r="4">
          <cell r="A4" t="str">
            <v>BẢNG TÍNH TOÁN, ĐO BÓC KHỐI LƯỢNG HOÀN THÀNH ĐƯA VÀO QUYẾT TOÁN</v>
          </cell>
        </row>
      </sheetData>
      <sheetData sheetId="4954">
        <row r="4">
          <cell r="A4" t="str">
            <v>BẢNG TÍNH TOÁN, ĐO BÓC KHỐI LƯỢNG HOÀN THÀNH ĐƯA VÀO QUYẾT TOÁN</v>
          </cell>
        </row>
      </sheetData>
      <sheetData sheetId="4955">
        <row r="4">
          <cell r="A4" t="str">
            <v>BẢNG TÍNH TOÁN, ĐO BÓC KHỐI LƯỢNG HOÀN THÀNH ĐƯA VÀO QUYẾT TOÁN</v>
          </cell>
        </row>
      </sheetData>
      <sheetData sheetId="4956">
        <row r="4">
          <cell r="A4" t="str">
            <v>BẢNG TÍNH TOÁN, ĐO BÓC KHỐI LƯỢNG HOÀN THÀNH ĐƯA VÀO QUYẾT TOÁN</v>
          </cell>
        </row>
      </sheetData>
      <sheetData sheetId="4957">
        <row r="4">
          <cell r="A4" t="str">
            <v>BẢNG TÍNH TOÁN, ĐO BÓC KHỐI LƯỢNG HOÀN THÀNH ĐƯA VÀO QUYẾT TOÁN</v>
          </cell>
        </row>
      </sheetData>
      <sheetData sheetId="4958">
        <row r="4">
          <cell r="A4" t="str">
            <v>BẢNG TÍNH TOÁN, ĐO BÓC KHỐI LƯỢNG HOÀN THÀNH ĐƯA VÀO QUYẾT TOÁN</v>
          </cell>
        </row>
      </sheetData>
      <sheetData sheetId="4959">
        <row r="4">
          <cell r="A4" t="str">
            <v>BẢNG TÍNH TOÁN, ĐO BÓC KHỐI LƯỢNG HOÀN THÀNH ĐƯA VÀO QUYẾT TOÁN</v>
          </cell>
        </row>
      </sheetData>
      <sheetData sheetId="4960">
        <row r="4">
          <cell r="A4" t="str">
            <v>BẢNG TÍNH TOÁN, ĐO BÓC KHỐI LƯỢNG HOÀN THÀNH ĐƯA VÀO QUYẾT TOÁN</v>
          </cell>
        </row>
      </sheetData>
      <sheetData sheetId="4961">
        <row r="4">
          <cell r="A4" t="str">
            <v>BẢNG TÍNH TOÁN, ĐO BÓC KHỐI LƯỢNG HOÀN THÀNH ĐƯA VÀO QUYẾT TOÁN</v>
          </cell>
        </row>
      </sheetData>
      <sheetData sheetId="4962">
        <row r="4">
          <cell r="A4" t="str">
            <v>BẢNG TÍNH TOÁN, ĐO BÓC KHỐI LƯỢNG HOÀN THÀNH ĐƯA VÀO QUYẾT TOÁN</v>
          </cell>
        </row>
      </sheetData>
      <sheetData sheetId="4963">
        <row r="4">
          <cell r="A4" t="str">
            <v>BẢNG TÍNH TOÁN, ĐO BÓC KHỐI LƯỢNG HOÀN THÀNH ĐƯA VÀO QUYẾT TOÁN</v>
          </cell>
        </row>
      </sheetData>
      <sheetData sheetId="4964">
        <row r="4">
          <cell r="A4" t="str">
            <v>BẢNG TÍNH TOÁN, ĐO BÓC KHỐI LƯỢNG HOÀN THÀNH ĐƯA VÀO QUYẾT TOÁN</v>
          </cell>
        </row>
      </sheetData>
      <sheetData sheetId="4965">
        <row r="4">
          <cell r="A4" t="str">
            <v>BẢNG TÍNH TOÁN, ĐO BÓC KHỐI LƯỢNG HOÀN THÀNH ĐƯA VÀO QUYẾT TOÁN</v>
          </cell>
        </row>
      </sheetData>
      <sheetData sheetId="4966">
        <row r="4">
          <cell r="A4" t="str">
            <v>BẢNG TÍNH TOÁN, ĐO BÓC KHỐI LƯỢNG HOÀN THÀNH ĐƯA VÀO QUYẾT TOÁN</v>
          </cell>
        </row>
      </sheetData>
      <sheetData sheetId="4967">
        <row r="4">
          <cell r="A4" t="str">
            <v>BẢNG TÍNH TOÁN, ĐO BÓC KHỐI LƯỢNG HOÀN THÀNH ĐƯA VÀO QUYẾT TOÁN</v>
          </cell>
        </row>
      </sheetData>
      <sheetData sheetId="4968">
        <row r="4">
          <cell r="A4" t="str">
            <v>BẢNG TÍNH TOÁN, ĐO BÓC KHỐI LƯỢNG HOÀN THÀNH ĐƯA VÀO QUYẾT TOÁN</v>
          </cell>
        </row>
      </sheetData>
      <sheetData sheetId="4969">
        <row r="4">
          <cell r="A4" t="str">
            <v>BẢNG TÍNH TOÁN, ĐO BÓC KHỐI LƯỢNG HOÀN THÀNH ĐƯA VÀO QUYẾT TOÁN</v>
          </cell>
        </row>
      </sheetData>
      <sheetData sheetId="4970">
        <row r="4">
          <cell r="A4" t="str">
            <v>BẢNG TÍNH TOÁN, ĐO BÓC KHỐI LƯỢNG HOÀN THÀNH ĐƯA VÀO QUYẾT TOÁN</v>
          </cell>
        </row>
      </sheetData>
      <sheetData sheetId="4971">
        <row r="4">
          <cell r="A4" t="str">
            <v>BẢNG TÍNH TOÁN, ĐO BÓC KHỐI LƯỢNG HOÀN THÀNH ĐƯA VÀO QUYẾT TOÁN</v>
          </cell>
        </row>
      </sheetData>
      <sheetData sheetId="4972">
        <row r="4">
          <cell r="A4" t="str">
            <v>BẢNG TÍNH TOÁN, ĐO BÓC KHỐI LƯỢNG HOÀN THÀNH ĐƯA VÀO QUYẾT TOÁN</v>
          </cell>
        </row>
      </sheetData>
      <sheetData sheetId="4973">
        <row r="4">
          <cell r="A4" t="str">
            <v>BẢNG TÍNH TOÁN, ĐO BÓC KHỐI LƯỢNG HOÀN THÀNH ĐƯA VÀO QUYẾT TOÁN</v>
          </cell>
        </row>
      </sheetData>
      <sheetData sheetId="4974">
        <row r="4">
          <cell r="A4" t="str">
            <v>BẢNG TÍNH TOÁN, ĐO BÓC KHỐI LƯỢNG HOÀN THÀNH ĐƯA VÀO QUYẾT TOÁN</v>
          </cell>
        </row>
      </sheetData>
      <sheetData sheetId="4975">
        <row r="4">
          <cell r="A4" t="str">
            <v>BẢNG TÍNH TOÁN, ĐO BÓC KHỐI LƯỢNG HOÀN THÀNH ĐƯA VÀO QUYẾT TOÁN</v>
          </cell>
        </row>
      </sheetData>
      <sheetData sheetId="4976">
        <row r="4">
          <cell r="A4" t="str">
            <v>BẢNG TÍNH TOÁN, ĐO BÓC KHỐI LƯỢNG HOÀN THÀNH ĐƯA VÀO QUYẾT TOÁN</v>
          </cell>
        </row>
      </sheetData>
      <sheetData sheetId="4977">
        <row r="4">
          <cell r="A4" t="str">
            <v>BẢNG TÍNH TOÁN, ĐO BÓC KHỐI LƯỢNG HOÀN THÀNH ĐƯA VÀO QUYẾT TOÁN</v>
          </cell>
        </row>
      </sheetData>
      <sheetData sheetId="4978">
        <row r="4">
          <cell r="A4" t="str">
            <v>BẢNG TÍNH TOÁN, ĐO BÓC KHỐI LƯỢNG HOÀN THÀNH ĐƯA VÀO QUYẾT TOÁN</v>
          </cell>
        </row>
      </sheetData>
      <sheetData sheetId="4979">
        <row r="4">
          <cell r="A4" t="str">
            <v>BẢNG TÍNH TOÁN, ĐO BÓC KHỐI LƯỢNG HOÀN THÀNH ĐƯA VÀO QUYẾT TOÁN</v>
          </cell>
        </row>
      </sheetData>
      <sheetData sheetId="4980">
        <row r="4">
          <cell r="A4" t="str">
            <v>BẢNG TÍNH TOÁN, ĐO BÓC KHỐI LƯỢNG HOÀN THÀNH ĐƯA VÀO QUYẾT TOÁN</v>
          </cell>
        </row>
      </sheetData>
      <sheetData sheetId="4981">
        <row r="4">
          <cell r="A4" t="str">
            <v>BẢNG TÍNH TOÁN, ĐO BÓC KHỐI LƯỢNG HOÀN THÀNH ĐƯA VÀO QUYẾT TOÁN</v>
          </cell>
        </row>
      </sheetData>
      <sheetData sheetId="4982">
        <row r="4">
          <cell r="A4" t="str">
            <v>BẢNG TÍNH TOÁN, ĐO BÓC KHỐI LƯỢNG HOÀN THÀNH ĐƯA VÀO QUYẾT TOÁN</v>
          </cell>
        </row>
      </sheetData>
      <sheetData sheetId="4983">
        <row r="4">
          <cell r="A4" t="str">
            <v>BẢNG TÍNH TOÁN, ĐO BÓC KHỐI LƯỢNG HOÀN THÀNH ĐƯA VÀO QUYẾT TOÁN</v>
          </cell>
        </row>
      </sheetData>
      <sheetData sheetId="4984">
        <row r="4">
          <cell r="A4" t="str">
            <v>BẢNG TÍNH TOÁN, ĐO BÓC KHỐI LƯỢNG HOÀN THÀNH ĐƯA VÀO QUYẾT TOÁN</v>
          </cell>
        </row>
      </sheetData>
      <sheetData sheetId="4985">
        <row r="4">
          <cell r="A4" t="str">
            <v>BẢNG TÍNH TOÁN, ĐO BÓC KHỐI LƯỢNG HOÀN THÀNH ĐƯA VÀO QUYẾT TOÁN</v>
          </cell>
        </row>
      </sheetData>
      <sheetData sheetId="4986">
        <row r="4">
          <cell r="A4" t="str">
            <v>BẢNG TÍNH TOÁN, ĐO BÓC KHỐI LƯỢNG HOÀN THÀNH ĐƯA VÀO QUYẾT TOÁN</v>
          </cell>
        </row>
      </sheetData>
      <sheetData sheetId="4987">
        <row r="4">
          <cell r="A4" t="str">
            <v>BẢNG TÍNH TOÁN, ĐO BÓC KHỐI LƯỢNG HOÀN THÀNH ĐƯA VÀO QUYẾT TOÁN</v>
          </cell>
        </row>
      </sheetData>
      <sheetData sheetId="4988">
        <row r="4">
          <cell r="A4" t="str">
            <v>BẢNG TÍNH TOÁN, ĐO BÓC KHỐI LƯỢNG HOÀN THÀNH ĐƯA VÀO QUYẾT TOÁN</v>
          </cell>
        </row>
      </sheetData>
      <sheetData sheetId="4989">
        <row r="4">
          <cell r="A4" t="str">
            <v>BẢNG TÍNH TOÁN, ĐO BÓC KHỐI LƯỢNG HOÀN THÀNH ĐƯA VÀO QUYẾT TOÁN</v>
          </cell>
        </row>
      </sheetData>
      <sheetData sheetId="4990">
        <row r="4">
          <cell r="A4" t="str">
            <v>BẢNG TÍNH TOÁN, ĐO BÓC KHỐI LƯỢNG HOÀN THÀNH ĐƯA VÀO QUYẾT TOÁN</v>
          </cell>
        </row>
      </sheetData>
      <sheetData sheetId="4991">
        <row r="4">
          <cell r="A4" t="str">
            <v>BẢNG TÍNH TOÁN, ĐO BÓC KHỐI LƯỢNG HOÀN THÀNH ĐƯA VÀO QUYẾT TOÁN</v>
          </cell>
        </row>
      </sheetData>
      <sheetData sheetId="4992">
        <row r="4">
          <cell r="A4" t="str">
            <v>BẢNG TÍNH TOÁN, ĐO BÓC KHỐI LƯỢNG HOÀN THÀNH ĐƯA VÀO QUYẾT TOÁN</v>
          </cell>
        </row>
      </sheetData>
      <sheetData sheetId="4993">
        <row r="4">
          <cell r="A4" t="str">
            <v>BẢNG TÍNH TOÁN, ĐO BÓC KHỐI LƯỢNG HOÀN THÀNH ĐƯA VÀO QUYẾT TOÁN</v>
          </cell>
        </row>
      </sheetData>
      <sheetData sheetId="4994">
        <row r="4">
          <cell r="A4" t="str">
            <v>BẢNG TÍNH TOÁN, ĐO BÓC KHỐI LƯỢNG HOÀN THÀNH ĐƯA VÀO QUYẾT TOÁN</v>
          </cell>
        </row>
      </sheetData>
      <sheetData sheetId="4995">
        <row r="4">
          <cell r="A4" t="str">
            <v>BẢNG TÍNH TOÁN, ĐO BÓC KHỐI LƯỢNG HOÀN THÀNH ĐƯA VÀO QUYẾT TOÁN</v>
          </cell>
        </row>
      </sheetData>
      <sheetData sheetId="4996">
        <row r="4">
          <cell r="A4" t="str">
            <v>BẢNG TÍNH TOÁN, ĐO BÓC KHỐI LƯỢNG HOÀN THÀNH ĐƯA VÀO QUYẾT TOÁN</v>
          </cell>
        </row>
      </sheetData>
      <sheetData sheetId="4997">
        <row r="4">
          <cell r="A4" t="str">
            <v>BẢNG TÍNH TOÁN, ĐO BÓC KHỐI LƯỢNG HOÀN THÀNH ĐƯA VÀO QUYẾT TOÁN</v>
          </cell>
        </row>
      </sheetData>
      <sheetData sheetId="4998">
        <row r="4">
          <cell r="A4" t="str">
            <v>BẢNG TÍNH TOÁN, ĐO BÓC KHỐI LƯỢNG HOÀN THÀNH ĐƯA VÀO QUYẾT TOÁN</v>
          </cell>
        </row>
      </sheetData>
      <sheetData sheetId="4999">
        <row r="4">
          <cell r="A4" t="str">
            <v>BẢNG TÍNH TOÁN, ĐO BÓC KHỐI LƯỢNG HOÀN THÀNH ĐƯA VÀO QUYẾT TOÁN</v>
          </cell>
        </row>
      </sheetData>
      <sheetData sheetId="5000">
        <row r="4">
          <cell r="A4" t="str">
            <v>BẢNG TÍNH TOÁN, ĐO BÓC KHỐI LƯỢNG HOÀN THÀNH ĐƯA VÀO QUYẾT TOÁN</v>
          </cell>
        </row>
      </sheetData>
      <sheetData sheetId="5001">
        <row r="4">
          <cell r="A4" t="str">
            <v>BẢNG TÍNH TOÁN, ĐO BÓC KHỐI LƯỢNG HOÀN THÀNH ĐƯA VÀO QUYẾT TOÁN</v>
          </cell>
        </row>
      </sheetData>
      <sheetData sheetId="5002">
        <row r="4">
          <cell r="A4" t="str">
            <v>BẢNG TÍNH TOÁN, ĐO BÓC KHỐI LƯỢNG HOÀN THÀNH ĐƯA VÀO QUYẾT TOÁN</v>
          </cell>
        </row>
      </sheetData>
      <sheetData sheetId="5003">
        <row r="4">
          <cell r="A4" t="str">
            <v>BẢNG TÍNH TOÁN, ĐO BÓC KHỐI LƯỢNG HOÀN THÀNH ĐƯA VÀO QUYẾT TOÁN</v>
          </cell>
        </row>
      </sheetData>
      <sheetData sheetId="5004">
        <row r="4">
          <cell r="A4" t="str">
            <v>BẢNG TÍNH TOÁN, ĐO BÓC KHỐI LƯỢNG HOÀN THÀNH ĐƯA VÀO QUYẾT TOÁN</v>
          </cell>
        </row>
      </sheetData>
      <sheetData sheetId="5005">
        <row r="4">
          <cell r="A4" t="str">
            <v>BẢNG TÍNH TOÁN, ĐO BÓC KHỐI LƯỢNG HOÀN THÀNH ĐƯA VÀO QUYẾT TOÁN</v>
          </cell>
        </row>
      </sheetData>
      <sheetData sheetId="5006">
        <row r="4">
          <cell r="A4" t="str">
            <v>BẢNG TÍNH TOÁN, ĐO BÓC KHỐI LƯỢNG HOÀN THÀNH ĐƯA VÀO QUYẾT TOÁN</v>
          </cell>
        </row>
      </sheetData>
      <sheetData sheetId="5007">
        <row r="4">
          <cell r="A4" t="str">
            <v>BẢNG TÍNH TOÁN, ĐO BÓC KHỐI LƯỢNG HOÀN THÀNH ĐƯA VÀO QUYẾT TOÁN</v>
          </cell>
        </row>
      </sheetData>
      <sheetData sheetId="5008">
        <row r="4">
          <cell r="A4" t="str">
            <v>BẢNG TÍNH TOÁN, ĐO BÓC KHỐI LƯỢNG HOÀN THÀNH ĐƯA VÀO QUYẾT TOÁN</v>
          </cell>
        </row>
      </sheetData>
      <sheetData sheetId="5009">
        <row r="4">
          <cell r="A4" t="str">
            <v>BẢNG TÍNH TOÁN, ĐO BÓC KHỐI LƯỢNG HOÀN THÀNH ĐƯA VÀO QUYẾT TOÁN</v>
          </cell>
        </row>
      </sheetData>
      <sheetData sheetId="5010">
        <row r="4">
          <cell r="A4" t="str">
            <v>BẢNG TÍNH TOÁN, ĐO BÓC KHỐI LƯỢNG HOÀN THÀNH ĐƯA VÀO QUYẾT TOÁN</v>
          </cell>
        </row>
      </sheetData>
      <sheetData sheetId="5011">
        <row r="4">
          <cell r="A4" t="str">
            <v>BẢNG TÍNH TOÁN, ĐO BÓC KHỐI LƯỢNG HOÀN THÀNH ĐƯA VÀO QUYẾT TOÁN</v>
          </cell>
        </row>
      </sheetData>
      <sheetData sheetId="5012">
        <row r="4">
          <cell r="A4" t="str">
            <v>BẢNG TÍNH TOÁN, ĐO BÓC KHỐI LƯỢNG HOÀN THÀNH ĐƯA VÀO QUYẾT TOÁN</v>
          </cell>
        </row>
      </sheetData>
      <sheetData sheetId="5013">
        <row r="4">
          <cell r="A4" t="str">
            <v>BẢNG TÍNH TOÁN, ĐO BÓC KHỐI LƯỢNG HOÀN THÀNH ĐƯA VÀO QUYẾT TOÁN</v>
          </cell>
        </row>
      </sheetData>
      <sheetData sheetId="5014">
        <row r="4">
          <cell r="A4" t="str">
            <v>BẢNG TÍNH TOÁN, ĐO BÓC KHỐI LƯỢNG HOÀN THÀNH ĐƯA VÀO QUYẾT TOÁN</v>
          </cell>
        </row>
      </sheetData>
      <sheetData sheetId="5015">
        <row r="4">
          <cell r="A4" t="str">
            <v>BẢNG TÍNH TOÁN, ĐO BÓC KHỐI LƯỢNG HOÀN THÀNH ĐƯA VÀO QUYẾT TOÁN</v>
          </cell>
        </row>
      </sheetData>
      <sheetData sheetId="5016">
        <row r="4">
          <cell r="A4" t="str">
            <v>BẢNG TÍNH TOÁN, ĐO BÓC KHỐI LƯỢNG HOÀN THÀNH ĐƯA VÀO QUYẾT TOÁN</v>
          </cell>
        </row>
      </sheetData>
      <sheetData sheetId="5017">
        <row r="4">
          <cell r="A4" t="str">
            <v>BẢNG TÍNH TOÁN, ĐO BÓC KHỐI LƯỢNG HOÀN THÀNH ĐƯA VÀO QUYẾT TOÁN</v>
          </cell>
        </row>
      </sheetData>
      <sheetData sheetId="5018">
        <row r="4">
          <cell r="A4" t="str">
            <v>BẢNG TÍNH TOÁN, ĐO BÓC KHỐI LƯỢNG HOÀN THÀNH ĐƯA VÀO QUYẾT TOÁN</v>
          </cell>
        </row>
      </sheetData>
      <sheetData sheetId="5019">
        <row r="4">
          <cell r="A4" t="str">
            <v>BẢNG TÍNH TOÁN, ĐO BÓC KHỐI LƯỢNG HOÀN THÀNH ĐƯA VÀO QUYẾT TOÁN</v>
          </cell>
        </row>
      </sheetData>
      <sheetData sheetId="5020">
        <row r="4">
          <cell r="A4" t="str">
            <v>BẢNG TÍNH TOÁN, ĐO BÓC KHỐI LƯỢNG HOÀN THÀNH ĐƯA VÀO QUYẾT TOÁN</v>
          </cell>
        </row>
      </sheetData>
      <sheetData sheetId="5021">
        <row r="4">
          <cell r="A4" t="str">
            <v>BẢNG TÍNH TOÁN, ĐO BÓC KHỐI LƯỢNG HOÀN THÀNH ĐƯA VÀO QUYẾT TOÁN</v>
          </cell>
        </row>
      </sheetData>
      <sheetData sheetId="5022">
        <row r="4">
          <cell r="A4" t="str">
            <v>BẢNG TÍNH TOÁN, ĐO BÓC KHỐI LƯỢNG HOÀN THÀNH ĐƯA VÀO QUYẾT TOÁN</v>
          </cell>
        </row>
      </sheetData>
      <sheetData sheetId="5023">
        <row r="4">
          <cell r="A4" t="str">
            <v>BẢNG TÍNH TOÁN, ĐO BÓC KHỐI LƯỢNG HOÀN THÀNH ĐƯA VÀO QUYẾT TOÁN</v>
          </cell>
        </row>
      </sheetData>
      <sheetData sheetId="5024">
        <row r="4">
          <cell r="A4" t="str">
            <v>BẢNG TÍNH TOÁN, ĐO BÓC KHỐI LƯỢNG HOÀN THÀNH ĐƯA VÀO QUYẾT TOÁN</v>
          </cell>
        </row>
      </sheetData>
      <sheetData sheetId="5025">
        <row r="4">
          <cell r="A4" t="str">
            <v>BẢNG TÍNH TOÁN, ĐO BÓC KHỐI LƯỢNG HOÀN THÀNH ĐƯA VÀO QUYẾT TOÁN</v>
          </cell>
        </row>
      </sheetData>
      <sheetData sheetId="5026">
        <row r="4">
          <cell r="A4" t="str">
            <v>BẢNG TÍNH TOÁN, ĐO BÓC KHỐI LƯỢNG HOÀN THÀNH ĐƯA VÀO QUYẾT TOÁN</v>
          </cell>
        </row>
      </sheetData>
      <sheetData sheetId="5027">
        <row r="4">
          <cell r="A4" t="str">
            <v>BẢNG TÍNH TOÁN, ĐO BÓC KHỐI LƯỢNG HOÀN THÀNH ĐƯA VÀO QUYẾT TOÁN</v>
          </cell>
        </row>
      </sheetData>
      <sheetData sheetId="5028">
        <row r="4">
          <cell r="A4" t="str">
            <v>BẢNG TÍNH TOÁN, ĐO BÓC KHỐI LƯỢNG HOÀN THÀNH ĐƯA VÀO QUYẾT TOÁN</v>
          </cell>
        </row>
      </sheetData>
      <sheetData sheetId="5029">
        <row r="4">
          <cell r="A4" t="str">
            <v>BẢNG TÍNH TOÁN, ĐO BÓC KHỐI LƯỢNG HOÀN THÀNH ĐƯA VÀO QUYẾT TOÁN</v>
          </cell>
        </row>
      </sheetData>
      <sheetData sheetId="5030">
        <row r="4">
          <cell r="A4" t="str">
            <v>BẢNG TÍNH TOÁN, ĐO BÓC KHỐI LƯỢNG HOÀN THÀNH ĐƯA VÀO QUYẾT TOÁN</v>
          </cell>
        </row>
      </sheetData>
      <sheetData sheetId="5031">
        <row r="4">
          <cell r="A4" t="str">
            <v>BẢNG TÍNH TOÁN, ĐO BÓC KHỐI LƯỢNG HOÀN THÀNH ĐƯA VÀO QUYẾT TOÁN</v>
          </cell>
        </row>
      </sheetData>
      <sheetData sheetId="5032">
        <row r="4">
          <cell r="A4" t="str">
            <v>BẢNG TÍNH TOÁN, ĐO BÓC KHỐI LƯỢNG HOÀN THÀNH ĐƯA VÀO QUYẾT TOÁN</v>
          </cell>
        </row>
      </sheetData>
      <sheetData sheetId="5033">
        <row r="4">
          <cell r="A4" t="str">
            <v>BẢNG TÍNH TOÁN, ĐO BÓC KHỐI LƯỢNG HOÀN THÀNH ĐƯA VÀO QUYẾT TOÁN</v>
          </cell>
        </row>
      </sheetData>
      <sheetData sheetId="5034">
        <row r="4">
          <cell r="A4" t="str">
            <v>BẢNG TÍNH TOÁN, ĐO BÓC KHỐI LƯỢNG HOÀN THÀNH ĐƯA VÀO QUYẾT TOÁN</v>
          </cell>
        </row>
      </sheetData>
      <sheetData sheetId="5035">
        <row r="4">
          <cell r="A4" t="str">
            <v>BẢNG TÍNH TOÁN, ĐO BÓC KHỐI LƯỢNG HOÀN THÀNH ĐƯA VÀO QUYẾT TOÁN</v>
          </cell>
        </row>
      </sheetData>
      <sheetData sheetId="5036">
        <row r="4">
          <cell r="A4" t="str">
            <v>BẢNG TÍNH TOÁN, ĐO BÓC KHỐI LƯỢNG HOÀN THÀNH ĐƯA VÀO QUYẾT TOÁN</v>
          </cell>
        </row>
      </sheetData>
      <sheetData sheetId="5037">
        <row r="4">
          <cell r="A4" t="str">
            <v>BẢNG TÍNH TOÁN, ĐO BÓC KHỐI LƯỢNG HOÀN THÀNH ĐƯA VÀO QUYẾT TOÁN</v>
          </cell>
        </row>
      </sheetData>
      <sheetData sheetId="5038">
        <row r="4">
          <cell r="A4" t="str">
            <v>BẢNG TÍNH TOÁN, ĐO BÓC KHỐI LƯỢNG HOÀN THÀNH ĐƯA VÀO QUYẾT TOÁN</v>
          </cell>
        </row>
      </sheetData>
      <sheetData sheetId="5039">
        <row r="4">
          <cell r="A4" t="str">
            <v>BẢNG TÍNH TOÁN, ĐO BÓC KHỐI LƯỢNG HOÀN THÀNH ĐƯA VÀO QUYẾT TOÁN</v>
          </cell>
        </row>
      </sheetData>
      <sheetData sheetId="5040">
        <row r="4">
          <cell r="A4" t="str">
            <v>BẢNG TÍNH TOÁN, ĐO BÓC KHỐI LƯỢNG HOÀN THÀNH ĐƯA VÀO QUYẾT TOÁN</v>
          </cell>
        </row>
      </sheetData>
      <sheetData sheetId="5041">
        <row r="4">
          <cell r="A4" t="str">
            <v>BẢNG TÍNH TOÁN, ĐO BÓC KHỐI LƯỢNG HOÀN THÀNH ĐƯA VÀO QUYẾT TOÁN</v>
          </cell>
        </row>
      </sheetData>
      <sheetData sheetId="5042">
        <row r="4">
          <cell r="A4" t="str">
            <v>BẢNG TÍNH TOÁN, ĐO BÓC KHỐI LƯỢNG HOÀN THÀNH ĐƯA VÀO QUYẾT TOÁN</v>
          </cell>
        </row>
      </sheetData>
      <sheetData sheetId="5043">
        <row r="4">
          <cell r="A4" t="str">
            <v>BẢNG TÍNH TOÁN, ĐO BÓC KHỐI LƯỢNG HOÀN THÀNH ĐƯA VÀO QUYẾT TOÁN</v>
          </cell>
        </row>
      </sheetData>
      <sheetData sheetId="5044">
        <row r="4">
          <cell r="A4" t="str">
            <v>BẢNG TÍNH TOÁN, ĐO BÓC KHỐI LƯỢNG HOÀN THÀNH ĐƯA VÀO QUYẾT TOÁN</v>
          </cell>
        </row>
      </sheetData>
      <sheetData sheetId="5045">
        <row r="4">
          <cell r="A4" t="str">
            <v>BẢNG TÍNH TOÁN, ĐO BÓC KHỐI LƯỢNG HOÀN THÀNH ĐƯA VÀO QUYẾT TOÁN</v>
          </cell>
        </row>
      </sheetData>
      <sheetData sheetId="5046">
        <row r="4">
          <cell r="A4" t="str">
            <v>BẢNG TÍNH TOÁN, ĐO BÓC KHỐI LƯỢNG HOÀN THÀNH ĐƯA VÀO QUYẾT TOÁN</v>
          </cell>
        </row>
      </sheetData>
      <sheetData sheetId="5047">
        <row r="4">
          <cell r="A4" t="str">
            <v>BẢNG TÍNH TOÁN, ĐO BÓC KHỐI LƯỢNG HOÀN THÀNH ĐƯA VÀO QUYẾT TOÁN</v>
          </cell>
        </row>
      </sheetData>
      <sheetData sheetId="5048">
        <row r="4">
          <cell r="A4" t="str">
            <v>BẢNG TÍNH TOÁN, ĐO BÓC KHỐI LƯỢNG HOÀN THÀNH ĐƯA VÀO QUYẾT TOÁN</v>
          </cell>
        </row>
      </sheetData>
      <sheetData sheetId="5049">
        <row r="4">
          <cell r="A4" t="str">
            <v>BẢNG TÍNH TOÁN, ĐO BÓC KHỐI LƯỢNG HOÀN THÀNH ĐƯA VÀO QUYẾT TOÁN</v>
          </cell>
        </row>
      </sheetData>
      <sheetData sheetId="5050">
        <row r="4">
          <cell r="A4" t="str">
            <v>BẢNG TÍNH TOÁN, ĐO BÓC KHỐI LƯỢNG HOÀN THÀNH ĐƯA VÀO QUYẾT TOÁN</v>
          </cell>
        </row>
      </sheetData>
      <sheetData sheetId="5051">
        <row r="4">
          <cell r="A4" t="str">
            <v>BẢNG TÍNH TOÁN, ĐO BÓC KHỐI LƯỢNG HOÀN THÀNH ĐƯA VÀO QUYẾT TOÁN</v>
          </cell>
        </row>
      </sheetData>
      <sheetData sheetId="5052">
        <row r="4">
          <cell r="A4" t="str">
            <v>BẢNG TÍNH TOÁN, ĐO BÓC KHỐI LƯỢNG HOÀN THÀNH ĐƯA VÀO QUYẾT TOÁN</v>
          </cell>
        </row>
      </sheetData>
      <sheetData sheetId="5053">
        <row r="4">
          <cell r="A4" t="str">
            <v>BẢNG TÍNH TOÁN, ĐO BÓC KHỐI LƯỢNG HOÀN THÀNH ĐƯA VÀO QUYẾT TOÁN</v>
          </cell>
        </row>
      </sheetData>
      <sheetData sheetId="5054">
        <row r="4">
          <cell r="A4" t="str">
            <v>BẢNG TÍNH TOÁN, ĐO BÓC KHỐI LƯỢNG HOÀN THÀNH ĐƯA VÀO QUYẾT TOÁN</v>
          </cell>
        </row>
      </sheetData>
      <sheetData sheetId="5055">
        <row r="4">
          <cell r="A4" t="str">
            <v>BẢNG TÍNH TOÁN, ĐO BÓC KHỐI LƯỢNG HOÀN THÀNH ĐƯA VÀO QUYẾT TOÁN</v>
          </cell>
        </row>
      </sheetData>
      <sheetData sheetId="5056">
        <row r="4">
          <cell r="A4" t="str">
            <v>BẢNG TÍNH TOÁN, ĐO BÓC KHỐI LƯỢNG HOÀN THÀNH ĐƯA VÀO QUYẾT TOÁN</v>
          </cell>
        </row>
      </sheetData>
      <sheetData sheetId="5057">
        <row r="4">
          <cell r="A4" t="str">
            <v>BẢNG TÍNH TOÁN, ĐO BÓC KHỐI LƯỢNG HOÀN THÀNH ĐƯA VÀO QUYẾT TOÁN</v>
          </cell>
        </row>
      </sheetData>
      <sheetData sheetId="5058">
        <row r="4">
          <cell r="A4" t="str">
            <v>BẢNG TÍNH TOÁN, ĐO BÓC KHỐI LƯỢNG HOÀN THÀNH ĐƯA VÀO QUYẾT TOÁN</v>
          </cell>
        </row>
      </sheetData>
      <sheetData sheetId="5059">
        <row r="4">
          <cell r="A4" t="str">
            <v>BẢNG TÍNH TOÁN, ĐO BÓC KHỐI LƯỢNG HOÀN THÀNH ĐƯA VÀO QUYẾT TOÁN</v>
          </cell>
        </row>
      </sheetData>
      <sheetData sheetId="5060">
        <row r="4">
          <cell r="A4" t="str">
            <v>BẢNG TÍNH TOÁN, ĐO BÓC KHỐI LƯỢNG HOÀN THÀNH ĐƯA VÀO QUYẾT TOÁN</v>
          </cell>
        </row>
      </sheetData>
      <sheetData sheetId="5061">
        <row r="4">
          <cell r="A4" t="str">
            <v>BẢNG TÍNH TOÁN, ĐO BÓC KHỐI LƯỢNG HOÀN THÀNH ĐƯA VÀO QUYẾT TOÁN</v>
          </cell>
        </row>
      </sheetData>
      <sheetData sheetId="5062">
        <row r="4">
          <cell r="A4" t="str">
            <v>BẢNG TÍNH TOÁN, ĐO BÓC KHỐI LƯỢNG HOÀN THÀNH ĐƯA VÀO QUYẾT TOÁN</v>
          </cell>
        </row>
      </sheetData>
      <sheetData sheetId="5063">
        <row r="4">
          <cell r="A4" t="str">
            <v>BẢNG TÍNH TOÁN, ĐO BÓC KHỐI LƯỢNG HOÀN THÀNH ĐƯA VÀO QUYẾT TOÁN</v>
          </cell>
        </row>
      </sheetData>
      <sheetData sheetId="5064">
        <row r="4">
          <cell r="A4" t="str">
            <v>BẢNG TÍNH TOÁN, ĐO BÓC KHỐI LƯỢNG HOÀN THÀNH ĐƯA VÀO QUYẾT TOÁN</v>
          </cell>
        </row>
      </sheetData>
      <sheetData sheetId="5065">
        <row r="4">
          <cell r="A4" t="str">
            <v>BẢNG TÍNH TOÁN, ĐO BÓC KHỐI LƯỢNG HOÀN THÀNH ĐƯA VÀO QUYẾT TOÁN</v>
          </cell>
        </row>
      </sheetData>
      <sheetData sheetId="5066">
        <row r="4">
          <cell r="A4" t="str">
            <v>BẢNG TÍNH TOÁN, ĐO BÓC KHỐI LƯỢNG HOÀN THÀNH ĐƯA VÀO QUYẾT TOÁN</v>
          </cell>
        </row>
      </sheetData>
      <sheetData sheetId="5067">
        <row r="4">
          <cell r="A4" t="str">
            <v>BẢNG TÍNH TOÁN, ĐO BÓC KHỐI LƯỢNG HOÀN THÀNH ĐƯA VÀO QUYẾT TOÁN</v>
          </cell>
        </row>
      </sheetData>
      <sheetData sheetId="5068">
        <row r="4">
          <cell r="A4" t="str">
            <v>BẢNG TÍNH TOÁN, ĐO BÓC KHỐI LƯỢNG HOÀN THÀNH ĐƯA VÀO QUYẾT TOÁN</v>
          </cell>
        </row>
      </sheetData>
      <sheetData sheetId="5069">
        <row r="4">
          <cell r="A4" t="str">
            <v>BẢNG TÍNH TOÁN, ĐO BÓC KHỐI LƯỢNG HOÀN THÀNH ĐƯA VÀO QUYẾT TOÁN</v>
          </cell>
        </row>
      </sheetData>
      <sheetData sheetId="5070">
        <row r="4">
          <cell r="A4" t="str">
            <v>BẢNG TÍNH TOÁN, ĐO BÓC KHỐI LƯỢNG HOÀN THÀNH ĐƯA VÀO QUYẾT TOÁN</v>
          </cell>
        </row>
      </sheetData>
      <sheetData sheetId="5071">
        <row r="4">
          <cell r="A4" t="str">
            <v>BẢNG TÍNH TOÁN, ĐO BÓC KHỐI LƯỢNG HOÀN THÀNH ĐƯA VÀO QUYẾT TOÁN</v>
          </cell>
        </row>
      </sheetData>
      <sheetData sheetId="5072">
        <row r="4">
          <cell r="A4" t="str">
            <v>BẢNG TÍNH TOÁN, ĐO BÓC KHỐI LƯỢNG HOÀN THÀNH ĐƯA VÀO QUYẾT TOÁN</v>
          </cell>
        </row>
      </sheetData>
      <sheetData sheetId="5073">
        <row r="4">
          <cell r="A4" t="str">
            <v>BẢNG TÍNH TOÁN, ĐO BÓC KHỐI LƯỢNG HOÀN THÀNH ĐƯA VÀO QUYẾT TOÁN</v>
          </cell>
        </row>
      </sheetData>
      <sheetData sheetId="5074">
        <row r="4">
          <cell r="A4" t="str">
            <v>BẢNG TÍNH TOÁN, ĐO BÓC KHỐI LƯỢNG HOÀN THÀNH ĐƯA VÀO QUYẾT TOÁN</v>
          </cell>
        </row>
      </sheetData>
      <sheetData sheetId="5075">
        <row r="4">
          <cell r="A4" t="str">
            <v>BẢNG TÍNH TOÁN, ĐO BÓC KHỐI LƯỢNG HOÀN THÀNH ĐƯA VÀO QUYẾT TOÁN</v>
          </cell>
        </row>
      </sheetData>
      <sheetData sheetId="5076">
        <row r="4">
          <cell r="A4" t="str">
            <v>BẢNG TÍNH TOÁN, ĐO BÓC KHỐI LƯỢNG HOÀN THÀNH ĐƯA VÀO QUYẾT TOÁN</v>
          </cell>
        </row>
      </sheetData>
      <sheetData sheetId="5077">
        <row r="4">
          <cell r="A4" t="str">
            <v>BẢNG TÍNH TOÁN, ĐO BÓC KHỐI LƯỢNG HOÀN THÀNH ĐƯA VÀO QUYẾT TOÁN</v>
          </cell>
        </row>
      </sheetData>
      <sheetData sheetId="5078">
        <row r="4">
          <cell r="A4" t="str">
            <v>BẢNG TÍNH TOÁN, ĐO BÓC KHỐI LƯỢNG HOÀN THÀNH ĐƯA VÀO QUYẾT TOÁN</v>
          </cell>
        </row>
      </sheetData>
      <sheetData sheetId="5079">
        <row r="4">
          <cell r="A4" t="str">
            <v>BẢNG TÍNH TOÁN, ĐO BÓC KHỐI LƯỢNG HOÀN THÀNH ĐƯA VÀO QUYẾT TOÁN</v>
          </cell>
        </row>
      </sheetData>
      <sheetData sheetId="5080">
        <row r="4">
          <cell r="A4" t="str">
            <v>BẢNG TÍNH TOÁN, ĐO BÓC KHỐI LƯỢNG HOÀN THÀNH ĐƯA VÀO QUYẾT TOÁN</v>
          </cell>
        </row>
      </sheetData>
      <sheetData sheetId="5081">
        <row r="4">
          <cell r="A4" t="str">
            <v>BẢNG TÍNH TOÁN, ĐO BÓC KHỐI LƯỢNG HOÀN THÀNH ĐƯA VÀO QUYẾT TOÁN</v>
          </cell>
        </row>
      </sheetData>
      <sheetData sheetId="5082">
        <row r="4">
          <cell r="A4" t="str">
            <v>BẢNG TÍNH TOÁN, ĐO BÓC KHỐI LƯỢNG HOÀN THÀNH ĐƯA VÀO QUYẾT TOÁN</v>
          </cell>
        </row>
      </sheetData>
      <sheetData sheetId="5083">
        <row r="4">
          <cell r="A4" t="str">
            <v>BẢNG TÍNH TOÁN, ĐO BÓC KHỐI LƯỢNG HOÀN THÀNH ĐƯA VÀO QUYẾT TOÁN</v>
          </cell>
        </row>
      </sheetData>
      <sheetData sheetId="5084">
        <row r="4">
          <cell r="A4" t="str">
            <v>BẢNG TÍNH TOÁN, ĐO BÓC KHỐI LƯỢNG HOÀN THÀNH ĐƯA VÀO QUYẾT TOÁN</v>
          </cell>
        </row>
      </sheetData>
      <sheetData sheetId="5085">
        <row r="4">
          <cell r="A4" t="str">
            <v>BẢNG TÍNH TOÁN, ĐO BÓC KHỐI LƯỢNG HOÀN THÀNH ĐƯA VÀO QUYẾT TOÁN</v>
          </cell>
        </row>
      </sheetData>
      <sheetData sheetId="5086">
        <row r="4">
          <cell r="A4" t="str">
            <v>BẢNG TÍNH TOÁN, ĐO BÓC KHỐI LƯỢNG HOÀN THÀNH ĐƯA VÀO QUYẾT TOÁN</v>
          </cell>
        </row>
      </sheetData>
      <sheetData sheetId="5087">
        <row r="4">
          <cell r="A4" t="str">
            <v>BẢNG TÍNH TOÁN, ĐO BÓC KHỐI LƯỢNG HOÀN THÀNH ĐƯA VÀO QUYẾT TOÁN</v>
          </cell>
        </row>
      </sheetData>
      <sheetData sheetId="5088">
        <row r="4">
          <cell r="A4" t="str">
            <v>BẢNG TÍNH TOÁN, ĐO BÓC KHỐI LƯỢNG HOÀN THÀNH ĐƯA VÀO QUYẾT TOÁN</v>
          </cell>
        </row>
      </sheetData>
      <sheetData sheetId="5089">
        <row r="4">
          <cell r="A4" t="str">
            <v>BẢNG TÍNH TOÁN, ĐO BÓC KHỐI LƯỢNG HOÀN THÀNH ĐƯA VÀO QUYẾT TOÁN</v>
          </cell>
        </row>
      </sheetData>
      <sheetData sheetId="5090">
        <row r="4">
          <cell r="A4" t="str">
            <v>BẢNG TÍNH TOÁN, ĐO BÓC KHỐI LƯỢNG HOÀN THÀNH ĐƯA VÀO QUYẾT TOÁN</v>
          </cell>
        </row>
      </sheetData>
      <sheetData sheetId="5091">
        <row r="4">
          <cell r="A4" t="str">
            <v>BẢNG TÍNH TOÁN, ĐO BÓC KHỐI LƯỢNG HOÀN THÀNH ĐƯA VÀO QUYẾT TOÁN</v>
          </cell>
        </row>
      </sheetData>
      <sheetData sheetId="5092">
        <row r="4">
          <cell r="A4" t="str">
            <v>BẢNG TÍNH TOÁN, ĐO BÓC KHỐI LƯỢNG HOÀN THÀNH ĐƯA VÀO QUYẾT TOÁN</v>
          </cell>
        </row>
      </sheetData>
      <sheetData sheetId="5093">
        <row r="4">
          <cell r="A4" t="str">
            <v>BẢNG TÍNH TOÁN, ĐO BÓC KHỐI LƯỢNG HOÀN THÀNH ĐƯA VÀO QUYẾT TOÁN</v>
          </cell>
        </row>
      </sheetData>
      <sheetData sheetId="5094">
        <row r="4">
          <cell r="A4" t="str">
            <v>BẢNG TÍNH TOÁN, ĐO BÓC KHỐI LƯỢNG HOÀN THÀNH ĐƯA VÀO QUYẾT TOÁN</v>
          </cell>
        </row>
      </sheetData>
      <sheetData sheetId="5095">
        <row r="4">
          <cell r="A4" t="str">
            <v>BẢNG TÍNH TOÁN, ĐO BÓC KHỐI LƯỢNG HOÀN THÀNH ĐƯA VÀO QUYẾT TOÁN</v>
          </cell>
        </row>
      </sheetData>
      <sheetData sheetId="5096">
        <row r="4">
          <cell r="A4" t="str">
            <v>BẢNG TÍNH TOÁN, ĐO BÓC KHỐI LƯỢNG HOÀN THÀNH ĐƯA VÀO QUYẾT TOÁN</v>
          </cell>
        </row>
      </sheetData>
      <sheetData sheetId="5097">
        <row r="4">
          <cell r="A4" t="str">
            <v>BẢNG TÍNH TOÁN, ĐO BÓC KHỐI LƯỢNG HOÀN THÀNH ĐƯA VÀO QUYẾT TOÁN</v>
          </cell>
        </row>
      </sheetData>
      <sheetData sheetId="5098">
        <row r="4">
          <cell r="A4" t="str">
            <v>BẢNG TÍNH TOÁN, ĐO BÓC KHỐI LƯỢNG HOÀN THÀNH ĐƯA VÀO QUYẾT TOÁN</v>
          </cell>
        </row>
      </sheetData>
      <sheetData sheetId="5099">
        <row r="4">
          <cell r="A4" t="str">
            <v>BẢNG TÍNH TOÁN, ĐO BÓC KHỐI LƯỢNG HOÀN THÀNH ĐƯA VÀO QUYẾT TOÁN</v>
          </cell>
        </row>
      </sheetData>
      <sheetData sheetId="5100">
        <row r="4">
          <cell r="A4" t="str">
            <v>BẢNG TÍNH TOÁN, ĐO BÓC KHỐI LƯỢNG HOÀN THÀNH ĐƯA VÀO QUYẾT TOÁN</v>
          </cell>
        </row>
      </sheetData>
      <sheetData sheetId="5101">
        <row r="4">
          <cell r="A4" t="str">
            <v>BẢNG TÍNH TOÁN, ĐO BÓC KHỐI LƯỢNG HOÀN THÀNH ĐƯA VÀO QUYẾT TOÁN</v>
          </cell>
        </row>
      </sheetData>
      <sheetData sheetId="5102">
        <row r="4">
          <cell r="A4" t="str">
            <v>BẢNG TÍNH TOÁN, ĐO BÓC KHỐI LƯỢNG HOÀN THÀNH ĐƯA VÀO QUYẾT TOÁN</v>
          </cell>
        </row>
      </sheetData>
      <sheetData sheetId="5103">
        <row r="4">
          <cell r="A4" t="str">
            <v>BẢNG TÍNH TOÁN, ĐO BÓC KHỐI LƯỢNG HOÀN THÀNH ĐƯA VÀO QUYẾT TOÁN</v>
          </cell>
        </row>
      </sheetData>
      <sheetData sheetId="5104">
        <row r="4">
          <cell r="A4" t="str">
            <v>BẢNG TÍNH TOÁN, ĐO BÓC KHỐI LƯỢNG HOÀN THÀNH ĐƯA VÀO QUYẾT TOÁN</v>
          </cell>
        </row>
      </sheetData>
      <sheetData sheetId="5105">
        <row r="4">
          <cell r="A4" t="str">
            <v>BẢNG TÍNH TOÁN, ĐO BÓC KHỐI LƯỢNG HOÀN THÀNH ĐƯA VÀO QUYẾT TOÁN</v>
          </cell>
        </row>
      </sheetData>
      <sheetData sheetId="5106">
        <row r="4">
          <cell r="A4" t="str">
            <v>BẢNG TÍNH TOÁN, ĐO BÓC KHỐI LƯỢNG HOÀN THÀNH ĐƯA VÀO QUYẾT TOÁN</v>
          </cell>
        </row>
      </sheetData>
      <sheetData sheetId="5107">
        <row r="4">
          <cell r="A4" t="str">
            <v>BẢNG TÍNH TOÁN, ĐO BÓC KHỐI LƯỢNG HOÀN THÀNH ĐƯA VÀO QUYẾT TOÁN</v>
          </cell>
        </row>
      </sheetData>
      <sheetData sheetId="5108">
        <row r="4">
          <cell r="A4" t="str">
            <v>BẢNG TÍNH TOÁN, ĐO BÓC KHỐI LƯỢNG HOÀN THÀNH ĐƯA VÀO QUYẾT TOÁN</v>
          </cell>
        </row>
      </sheetData>
      <sheetData sheetId="5109">
        <row r="4">
          <cell r="A4" t="str">
            <v>BẢNG TÍNH TOÁN, ĐO BÓC KHỐI LƯỢNG HOÀN THÀNH ĐƯA VÀO QUYẾT TOÁN</v>
          </cell>
        </row>
      </sheetData>
      <sheetData sheetId="5110">
        <row r="4">
          <cell r="A4" t="str">
            <v>BẢNG TÍNH TOÁN, ĐO BÓC KHỐI LƯỢNG HOÀN THÀNH ĐƯA VÀO QUYẾT TOÁN</v>
          </cell>
        </row>
      </sheetData>
      <sheetData sheetId="5111">
        <row r="4">
          <cell r="A4" t="str">
            <v>BẢNG TÍNH TOÁN, ĐO BÓC KHỐI LƯỢNG HOÀN THÀNH ĐƯA VÀO QUYẾT TOÁN</v>
          </cell>
        </row>
      </sheetData>
      <sheetData sheetId="5112">
        <row r="4">
          <cell r="A4" t="str">
            <v>BẢNG TÍNH TOÁN, ĐO BÓC KHỐI LƯỢNG HOÀN THÀNH ĐƯA VÀO QUYẾT TOÁN</v>
          </cell>
        </row>
      </sheetData>
      <sheetData sheetId="5113">
        <row r="4">
          <cell r="A4" t="str">
            <v>BẢNG TÍNH TOÁN, ĐO BÓC KHỐI LƯỢNG HOÀN THÀNH ĐƯA VÀO QUYẾT TOÁN</v>
          </cell>
        </row>
      </sheetData>
      <sheetData sheetId="5114">
        <row r="4">
          <cell r="A4" t="str">
            <v>BẢNG TÍNH TOÁN, ĐO BÓC KHỐI LƯỢNG HOÀN THÀNH ĐƯA VÀO QUYẾT TOÁN</v>
          </cell>
        </row>
      </sheetData>
      <sheetData sheetId="5115">
        <row r="4">
          <cell r="A4" t="str">
            <v>BẢNG TÍNH TOÁN, ĐO BÓC KHỐI LƯỢNG HOÀN THÀNH ĐƯA VÀO QUYẾT TOÁN</v>
          </cell>
        </row>
      </sheetData>
      <sheetData sheetId="5116">
        <row r="4">
          <cell r="A4" t="str">
            <v>BẢNG TÍNH TOÁN, ĐO BÓC KHỐI LƯỢNG HOÀN THÀNH ĐƯA VÀO QUYẾT TOÁN</v>
          </cell>
        </row>
      </sheetData>
      <sheetData sheetId="5117">
        <row r="4">
          <cell r="A4" t="str">
            <v>BẢNG TÍNH TOÁN, ĐO BÓC KHỐI LƯỢNG HOÀN THÀNH ĐƯA VÀO QUYẾT TOÁN</v>
          </cell>
        </row>
      </sheetData>
      <sheetData sheetId="5118">
        <row r="4">
          <cell r="A4" t="str">
            <v>BẢNG TÍNH TOÁN, ĐO BÓC KHỐI LƯỢNG HOÀN THÀNH ĐƯA VÀO QUYẾT TOÁN</v>
          </cell>
        </row>
      </sheetData>
      <sheetData sheetId="5119">
        <row r="4">
          <cell r="A4" t="str">
            <v>BẢNG TÍNH TOÁN, ĐO BÓC KHỐI LƯỢNG HOÀN THÀNH ĐƯA VÀO QUYẾT TOÁN</v>
          </cell>
        </row>
      </sheetData>
      <sheetData sheetId="5120">
        <row r="4">
          <cell r="A4" t="str">
            <v>BẢNG TÍNH TOÁN, ĐO BÓC KHỐI LƯỢNG HOÀN THÀNH ĐƯA VÀO QUYẾT TOÁN</v>
          </cell>
        </row>
      </sheetData>
      <sheetData sheetId="5121">
        <row r="4">
          <cell r="A4" t="str">
            <v>BẢNG TÍNH TOÁN, ĐO BÓC KHỐI LƯỢNG HOÀN THÀNH ĐƯA VÀO QUYẾT TOÁN</v>
          </cell>
        </row>
      </sheetData>
      <sheetData sheetId="5122">
        <row r="4">
          <cell r="A4" t="str">
            <v>BẢNG TÍNH TOÁN, ĐO BÓC KHỐI LƯỢNG HOÀN THÀNH ĐƯA VÀO QUYẾT TOÁN</v>
          </cell>
        </row>
      </sheetData>
      <sheetData sheetId="5123">
        <row r="4">
          <cell r="A4" t="str">
            <v>BẢNG TÍNH TOÁN, ĐO BÓC KHỐI LƯỢNG HOÀN THÀNH ĐƯA VÀO QUYẾT TOÁN</v>
          </cell>
        </row>
      </sheetData>
      <sheetData sheetId="5124">
        <row r="4">
          <cell r="A4" t="str">
            <v>BẢNG TÍNH TOÁN, ĐO BÓC KHỐI LƯỢNG HOÀN THÀNH ĐƯA VÀO QUYẾT TOÁN</v>
          </cell>
        </row>
      </sheetData>
      <sheetData sheetId="5125">
        <row r="4">
          <cell r="A4" t="str">
            <v>BẢNG TÍNH TOÁN, ĐO BÓC KHỐI LƯỢNG HOÀN THÀNH ĐƯA VÀO QUYẾT TOÁN</v>
          </cell>
        </row>
      </sheetData>
      <sheetData sheetId="5126">
        <row r="4">
          <cell r="A4" t="str">
            <v>BẢNG TÍNH TOÁN, ĐO BÓC KHỐI LƯỢNG HOÀN THÀNH ĐƯA VÀO QUYẾT TOÁN</v>
          </cell>
        </row>
      </sheetData>
      <sheetData sheetId="5127">
        <row r="4">
          <cell r="A4" t="str">
            <v>BẢNG TÍNH TOÁN, ĐO BÓC KHỐI LƯỢNG HOÀN THÀNH ĐƯA VÀO QUYẾT TOÁN</v>
          </cell>
        </row>
      </sheetData>
      <sheetData sheetId="5128">
        <row r="4">
          <cell r="A4" t="str">
            <v>BẢNG TÍNH TOÁN, ĐO BÓC KHỐI LƯỢNG HOÀN THÀNH ĐƯA VÀO QUYẾT TOÁN</v>
          </cell>
        </row>
      </sheetData>
      <sheetData sheetId="5129">
        <row r="4">
          <cell r="A4" t="str">
            <v>BẢNG TÍNH TOÁN, ĐO BÓC KHỐI LƯỢNG HOÀN THÀNH ĐƯA VÀO QUYẾT TOÁN</v>
          </cell>
        </row>
      </sheetData>
      <sheetData sheetId="5130">
        <row r="4">
          <cell r="A4" t="str">
            <v>BẢNG TÍNH TOÁN, ĐO BÓC KHỐI LƯỢNG HOÀN THÀNH ĐƯA VÀO QUYẾT TOÁN</v>
          </cell>
        </row>
      </sheetData>
      <sheetData sheetId="5131">
        <row r="4">
          <cell r="A4" t="str">
            <v>BẢNG TÍNH TOÁN, ĐO BÓC KHỐI LƯỢNG HOÀN THÀNH ĐƯA VÀO QUYẾT TOÁN</v>
          </cell>
        </row>
      </sheetData>
      <sheetData sheetId="5132">
        <row r="4">
          <cell r="A4" t="str">
            <v>BẢNG TÍNH TOÁN, ĐO BÓC KHỐI LƯỢNG HOÀN THÀNH ĐƯA VÀO QUYẾT TOÁN</v>
          </cell>
        </row>
      </sheetData>
      <sheetData sheetId="5133">
        <row r="4">
          <cell r="A4" t="str">
            <v>BẢNG TÍNH TOÁN, ĐO BÓC KHỐI LƯỢNG HOÀN THÀNH ĐƯA VÀO QUYẾT TOÁN</v>
          </cell>
        </row>
      </sheetData>
      <sheetData sheetId="5134">
        <row r="4">
          <cell r="A4" t="str">
            <v>BẢNG TÍNH TOÁN, ĐO BÓC KHỐI LƯỢNG HOÀN THÀNH ĐƯA VÀO QUYẾT TOÁN</v>
          </cell>
        </row>
      </sheetData>
      <sheetData sheetId="5135">
        <row r="4">
          <cell r="A4" t="str">
            <v>BẢNG TÍNH TOÁN, ĐO BÓC KHỐI LƯỢNG HOÀN THÀNH ĐƯA VÀO QUYẾT TOÁN</v>
          </cell>
        </row>
      </sheetData>
      <sheetData sheetId="5136">
        <row r="4">
          <cell r="A4" t="str">
            <v>BẢNG TÍNH TOÁN, ĐO BÓC KHỐI LƯỢNG HOÀN THÀNH ĐƯA VÀO QUYẾT TOÁN</v>
          </cell>
        </row>
      </sheetData>
      <sheetData sheetId="5137">
        <row r="4">
          <cell r="A4" t="str">
            <v>BẢNG TÍNH TOÁN, ĐO BÓC KHỐI LƯỢNG HOÀN THÀNH ĐƯA VÀO QUYẾT TOÁN</v>
          </cell>
        </row>
      </sheetData>
      <sheetData sheetId="5138">
        <row r="4">
          <cell r="A4" t="str">
            <v>BẢNG TÍNH TOÁN, ĐO BÓC KHỐI LƯỢNG HOÀN THÀNH ĐƯA VÀO QUYẾT TOÁN</v>
          </cell>
        </row>
      </sheetData>
      <sheetData sheetId="5139">
        <row r="4">
          <cell r="A4" t="str">
            <v>BẢNG TÍNH TOÁN, ĐO BÓC KHỐI LƯỢNG HOÀN THÀNH ĐƯA VÀO QUYẾT TOÁN</v>
          </cell>
        </row>
      </sheetData>
      <sheetData sheetId="5140">
        <row r="4">
          <cell r="A4" t="str">
            <v>BẢNG TÍNH TOÁN, ĐO BÓC KHỐI LƯỢNG HOÀN THÀNH ĐƯA VÀO QUYẾT TOÁN</v>
          </cell>
        </row>
      </sheetData>
      <sheetData sheetId="5141">
        <row r="4">
          <cell r="A4" t="str">
            <v>BẢNG TÍNH TOÁN, ĐO BÓC KHỐI LƯỢNG HOÀN THÀNH ĐƯA VÀO QUYẾT TOÁN</v>
          </cell>
        </row>
      </sheetData>
      <sheetData sheetId="5142">
        <row r="4">
          <cell r="A4" t="str">
            <v>BẢNG TÍNH TOÁN, ĐO BÓC KHỐI LƯỢNG HOÀN THÀNH ĐƯA VÀO QUYẾT TOÁN</v>
          </cell>
        </row>
      </sheetData>
      <sheetData sheetId="5143">
        <row r="4">
          <cell r="A4" t="str">
            <v>BẢNG TÍNH TOÁN, ĐO BÓC KHỐI LƯỢNG HOÀN THÀNH ĐƯA VÀO QUYẾT TOÁN</v>
          </cell>
        </row>
      </sheetData>
      <sheetData sheetId="5144">
        <row r="4">
          <cell r="A4" t="str">
            <v>BẢNG TÍNH TOÁN, ĐO BÓC KHỐI LƯỢNG HOÀN THÀNH ĐƯA VÀO QUYẾT TOÁN</v>
          </cell>
        </row>
      </sheetData>
      <sheetData sheetId="5145">
        <row r="4">
          <cell r="A4" t="str">
            <v>BẢNG TÍNH TOÁN, ĐO BÓC KHỐI LƯỢNG HOÀN THÀNH ĐƯA VÀO QUYẾT TOÁN</v>
          </cell>
        </row>
      </sheetData>
      <sheetData sheetId="5146">
        <row r="4">
          <cell r="A4" t="str">
            <v>BẢNG TÍNH TOÁN, ĐO BÓC KHỐI LƯỢNG HOÀN THÀNH ĐƯA VÀO QUYẾT TOÁN</v>
          </cell>
        </row>
      </sheetData>
      <sheetData sheetId="5147">
        <row r="4">
          <cell r="A4" t="str">
            <v>BẢNG TÍNH TOÁN, ĐO BÓC KHỐI LƯỢNG HOÀN THÀNH ĐƯA VÀO QUYẾT TOÁN</v>
          </cell>
        </row>
      </sheetData>
      <sheetData sheetId="5148">
        <row r="4">
          <cell r="A4" t="str">
            <v>BẢNG TÍNH TOÁN, ĐO BÓC KHỐI LƯỢNG HOÀN THÀNH ĐƯA VÀO QUYẾT TOÁN</v>
          </cell>
        </row>
      </sheetData>
      <sheetData sheetId="5149">
        <row r="4">
          <cell r="A4" t="str">
            <v>BẢNG TÍNH TOÁN, ĐO BÓC KHỐI LƯỢNG HOÀN THÀNH ĐƯA VÀO QUYẾT TOÁN</v>
          </cell>
        </row>
      </sheetData>
      <sheetData sheetId="5150">
        <row r="4">
          <cell r="A4" t="str">
            <v>BẢNG TÍNH TOÁN, ĐO BÓC KHỐI LƯỢNG HOÀN THÀNH ĐƯA VÀO QUYẾT TOÁN</v>
          </cell>
        </row>
      </sheetData>
      <sheetData sheetId="5151">
        <row r="4">
          <cell r="A4" t="str">
            <v>BẢNG TÍNH TOÁN, ĐO BÓC KHỐI LƯỢNG HOÀN THÀNH ĐƯA VÀO QUYẾT TOÁN</v>
          </cell>
        </row>
      </sheetData>
      <sheetData sheetId="5152">
        <row r="4">
          <cell r="A4" t="str">
            <v>BẢNG TÍNH TOÁN, ĐO BÓC KHỐI LƯỢNG HOÀN THÀNH ĐƯA VÀO QUYẾT TOÁN</v>
          </cell>
        </row>
      </sheetData>
      <sheetData sheetId="5153">
        <row r="4">
          <cell r="A4" t="str">
            <v>BẢNG TÍNH TOÁN, ĐO BÓC KHỐI LƯỢNG HOÀN THÀNH ĐƯA VÀO QUYẾT TOÁN</v>
          </cell>
        </row>
      </sheetData>
      <sheetData sheetId="5154">
        <row r="4">
          <cell r="A4" t="str">
            <v>BẢNG TÍNH TOÁN, ĐO BÓC KHỐI LƯỢNG HOÀN THÀNH ĐƯA VÀO QUYẾT TOÁN</v>
          </cell>
        </row>
      </sheetData>
      <sheetData sheetId="5155">
        <row r="4">
          <cell r="A4" t="str">
            <v>BẢNG TÍNH TOÁN, ĐO BÓC KHỐI LƯỢNG HOÀN THÀNH ĐƯA VÀO QUYẾT TOÁN</v>
          </cell>
        </row>
      </sheetData>
      <sheetData sheetId="5156">
        <row r="4">
          <cell r="A4" t="str">
            <v>BẢNG TÍNH TOÁN, ĐO BÓC KHỐI LƯỢNG HOÀN THÀNH ĐƯA VÀO QUYẾT TOÁN</v>
          </cell>
        </row>
      </sheetData>
      <sheetData sheetId="5157">
        <row r="4">
          <cell r="A4" t="str">
            <v>BẢNG TÍNH TOÁN, ĐO BÓC KHỐI LƯỢNG HOÀN THÀNH ĐƯA VÀO QUYẾT TOÁN</v>
          </cell>
        </row>
      </sheetData>
      <sheetData sheetId="5158">
        <row r="4">
          <cell r="A4" t="str">
            <v>BẢNG TÍNH TOÁN, ĐO BÓC KHỐI LƯỢNG HOÀN THÀNH ĐƯA VÀO QUYẾT TOÁN</v>
          </cell>
        </row>
      </sheetData>
      <sheetData sheetId="5159">
        <row r="4">
          <cell r="A4" t="str">
            <v>BẢNG TÍNH TOÁN, ĐO BÓC KHỐI LƯỢNG HOÀN THÀNH ĐƯA VÀO QUYẾT TOÁN</v>
          </cell>
        </row>
      </sheetData>
      <sheetData sheetId="5160">
        <row r="4">
          <cell r="A4" t="str">
            <v>BẢNG TÍNH TOÁN, ĐO BÓC KHỐI LƯỢNG HOÀN THÀNH ĐƯA VÀO QUYẾT TOÁN</v>
          </cell>
        </row>
      </sheetData>
      <sheetData sheetId="5161">
        <row r="4">
          <cell r="A4" t="str">
            <v>BẢNG TÍNH TOÁN, ĐO BÓC KHỐI LƯỢNG HOÀN THÀNH ĐƯA VÀO QUYẾT TOÁN</v>
          </cell>
        </row>
      </sheetData>
      <sheetData sheetId="5162">
        <row r="4">
          <cell r="A4" t="str">
            <v>BẢNG TÍNH TOÁN, ĐO BÓC KHỐI LƯỢNG HOÀN THÀNH ĐƯA VÀO QUYẾT TOÁN</v>
          </cell>
        </row>
      </sheetData>
      <sheetData sheetId="5163">
        <row r="4">
          <cell r="A4" t="str">
            <v>BẢNG TÍNH TOÁN, ĐO BÓC KHỐI LƯỢNG HOÀN THÀNH ĐƯA VÀO QUYẾT TOÁN</v>
          </cell>
        </row>
      </sheetData>
      <sheetData sheetId="5164">
        <row r="4">
          <cell r="A4" t="str">
            <v>BẢNG TÍNH TOÁN, ĐO BÓC KHỐI LƯỢNG HOÀN THÀNH ĐƯA VÀO QUYẾT TOÁN</v>
          </cell>
        </row>
      </sheetData>
      <sheetData sheetId="5165">
        <row r="4">
          <cell r="A4" t="str">
            <v>BẢNG TÍNH TOÁN, ĐO BÓC KHỐI LƯỢNG HOÀN THÀNH ĐƯA VÀO QUYẾT TOÁN</v>
          </cell>
        </row>
      </sheetData>
      <sheetData sheetId="5166">
        <row r="4">
          <cell r="A4" t="str">
            <v>BẢNG TÍNH TOÁN, ĐO BÓC KHỐI LƯỢNG HOÀN THÀNH ĐƯA VÀO QUYẾT TOÁN</v>
          </cell>
        </row>
      </sheetData>
      <sheetData sheetId="5167">
        <row r="4">
          <cell r="A4" t="str">
            <v>BẢNG TÍNH TOÁN, ĐO BÓC KHỐI LƯỢNG HOÀN THÀNH ĐƯA VÀO QUYẾT TOÁN</v>
          </cell>
        </row>
      </sheetData>
      <sheetData sheetId="5168">
        <row r="4">
          <cell r="A4" t="str">
            <v>BẢNG TÍNH TOÁN, ĐO BÓC KHỐI LƯỢNG HOÀN THÀNH ĐƯA VÀO QUYẾT TOÁN</v>
          </cell>
        </row>
      </sheetData>
      <sheetData sheetId="5169">
        <row r="4">
          <cell r="A4" t="str">
            <v>BẢNG TÍNH TOÁN, ĐO BÓC KHỐI LƯỢNG HOÀN THÀNH ĐƯA VÀO QUYẾT TOÁN</v>
          </cell>
        </row>
      </sheetData>
      <sheetData sheetId="5170">
        <row r="4">
          <cell r="A4" t="str">
            <v>BẢNG TÍNH TOÁN, ĐO BÓC KHỐI LƯỢNG HOÀN THÀNH ĐƯA VÀO QUYẾT TOÁN</v>
          </cell>
        </row>
      </sheetData>
      <sheetData sheetId="5171">
        <row r="4">
          <cell r="A4" t="str">
            <v>BẢNG TÍNH TOÁN, ĐO BÓC KHỐI LƯỢNG HOÀN THÀNH ĐƯA VÀO QUYẾT TOÁN</v>
          </cell>
        </row>
      </sheetData>
      <sheetData sheetId="5172">
        <row r="4">
          <cell r="A4" t="str">
            <v>BẢNG TÍNH TOÁN, ĐO BÓC KHỐI LƯỢNG HOÀN THÀNH ĐƯA VÀO QUYẾT TOÁN</v>
          </cell>
        </row>
      </sheetData>
      <sheetData sheetId="5173">
        <row r="4">
          <cell r="A4" t="str">
            <v>BẢNG TÍNH TOÁN, ĐO BÓC KHỐI LƯỢNG HOÀN THÀNH ĐƯA VÀO QUYẾT TOÁN</v>
          </cell>
        </row>
      </sheetData>
      <sheetData sheetId="5174">
        <row r="4">
          <cell r="A4" t="str">
            <v>BẢNG TÍNH TOÁN, ĐO BÓC KHỐI LƯỢNG HOÀN THÀNH ĐƯA VÀO QUYẾT TOÁN</v>
          </cell>
        </row>
      </sheetData>
      <sheetData sheetId="5175">
        <row r="4">
          <cell r="A4" t="str">
            <v>BẢNG TÍNH TOÁN, ĐO BÓC KHỐI LƯỢNG HOÀN THÀNH ĐƯA VÀO QUYẾT TOÁN</v>
          </cell>
        </row>
      </sheetData>
      <sheetData sheetId="5176">
        <row r="4">
          <cell r="A4" t="str">
            <v>BẢNG TÍNH TOÁN, ĐO BÓC KHỐI LƯỢNG HOÀN THÀNH ĐƯA VÀO QUYẾT TOÁN</v>
          </cell>
        </row>
      </sheetData>
      <sheetData sheetId="5177">
        <row r="4">
          <cell r="A4" t="str">
            <v>BẢNG TÍNH TOÁN, ĐO BÓC KHỐI LƯỢNG HOÀN THÀNH ĐƯA VÀO QUYẾT TOÁN</v>
          </cell>
        </row>
      </sheetData>
      <sheetData sheetId="5178">
        <row r="4">
          <cell r="A4" t="str">
            <v>BẢNG TÍNH TOÁN, ĐO BÓC KHỐI LƯỢNG HOÀN THÀNH ĐƯA VÀO QUYẾT TOÁN</v>
          </cell>
        </row>
      </sheetData>
      <sheetData sheetId="5179">
        <row r="4">
          <cell r="A4" t="str">
            <v>BẢNG TÍNH TOÁN, ĐO BÓC KHỐI LƯỢNG HOÀN THÀNH ĐƯA VÀO QUYẾT TOÁN</v>
          </cell>
        </row>
      </sheetData>
      <sheetData sheetId="5180">
        <row r="4">
          <cell r="A4" t="str">
            <v>BẢNG TÍNH TOÁN, ĐO BÓC KHỐI LƯỢNG HOÀN THÀNH ĐƯA VÀO QUYẾT TOÁN</v>
          </cell>
        </row>
      </sheetData>
      <sheetData sheetId="5181">
        <row r="4">
          <cell r="A4" t="str">
            <v>BẢNG TÍNH TOÁN, ĐO BÓC KHỐI LƯỢNG HOÀN THÀNH ĐƯA VÀO QUYẾT TOÁN</v>
          </cell>
        </row>
      </sheetData>
      <sheetData sheetId="5182">
        <row r="4">
          <cell r="A4" t="str">
            <v>BẢNG TÍNH TOÁN, ĐO BÓC KHỐI LƯỢNG HOÀN THÀNH ĐƯA VÀO QUYẾT TOÁN</v>
          </cell>
        </row>
      </sheetData>
      <sheetData sheetId="5183">
        <row r="4">
          <cell r="A4" t="str">
            <v>BẢNG TÍNH TOÁN, ĐO BÓC KHỐI LƯỢNG HOÀN THÀNH ĐƯA VÀO QUYẾT TOÁN</v>
          </cell>
        </row>
      </sheetData>
      <sheetData sheetId="5184">
        <row r="4">
          <cell r="A4" t="str">
            <v>BẢNG TÍNH TOÁN, ĐO BÓC KHỐI LƯỢNG HOÀN THÀNH ĐƯA VÀO QUYẾT TOÁN</v>
          </cell>
        </row>
      </sheetData>
      <sheetData sheetId="5185">
        <row r="4">
          <cell r="A4" t="str">
            <v>BẢNG TÍNH TOÁN, ĐO BÓC KHỐI LƯỢNG HOÀN THÀNH ĐƯA VÀO QUYẾT TOÁN</v>
          </cell>
        </row>
      </sheetData>
      <sheetData sheetId="5186">
        <row r="4">
          <cell r="A4" t="str">
            <v>BẢNG TÍNH TOÁN, ĐO BÓC KHỐI LƯỢNG HOÀN THÀNH ĐƯA VÀO QUYẾT TOÁN</v>
          </cell>
        </row>
      </sheetData>
      <sheetData sheetId="5187">
        <row r="4">
          <cell r="A4" t="str">
            <v>BẢNG TÍNH TOÁN, ĐO BÓC KHỐI LƯỢNG HOÀN THÀNH ĐƯA VÀO QUYẾT TOÁN</v>
          </cell>
        </row>
      </sheetData>
      <sheetData sheetId="5188">
        <row r="4">
          <cell r="A4" t="str">
            <v>BẢNG TÍNH TOÁN, ĐO BÓC KHỐI LƯỢNG HOÀN THÀNH ĐƯA VÀO QUYẾT TOÁN</v>
          </cell>
        </row>
      </sheetData>
      <sheetData sheetId="5189">
        <row r="4">
          <cell r="A4" t="str">
            <v>BẢNG TÍNH TOÁN, ĐO BÓC KHỐI LƯỢNG HOÀN THÀNH ĐƯA VÀO QUYẾT TOÁN</v>
          </cell>
        </row>
      </sheetData>
      <sheetData sheetId="5190">
        <row r="4">
          <cell r="A4" t="str">
            <v>BẢNG TÍNH TOÁN, ĐO BÓC KHỐI LƯỢNG HOÀN THÀNH ĐƯA VÀO QUYẾT TOÁN</v>
          </cell>
        </row>
      </sheetData>
      <sheetData sheetId="5191">
        <row r="4">
          <cell r="A4" t="str">
            <v>BẢNG TÍNH TOÁN, ĐO BÓC KHỐI LƯỢNG HOÀN THÀNH ĐƯA VÀO QUYẾT TOÁN</v>
          </cell>
        </row>
      </sheetData>
      <sheetData sheetId="5192">
        <row r="4">
          <cell r="A4" t="str">
            <v>BẢNG TÍNH TOÁN, ĐO BÓC KHỐI LƯỢNG HOÀN THÀNH ĐƯA VÀO QUYẾT TOÁN</v>
          </cell>
        </row>
      </sheetData>
      <sheetData sheetId="5193">
        <row r="4">
          <cell r="A4" t="str">
            <v>BẢNG TÍNH TOÁN, ĐO BÓC KHỐI LƯỢNG HOÀN THÀNH ĐƯA VÀO QUYẾT TOÁN</v>
          </cell>
        </row>
      </sheetData>
      <sheetData sheetId="5194">
        <row r="4">
          <cell r="A4" t="str">
            <v>BẢNG TÍNH TOÁN, ĐO BÓC KHỐI LƯỢNG HOÀN THÀNH ĐƯA VÀO QUYẾT TOÁN</v>
          </cell>
        </row>
      </sheetData>
      <sheetData sheetId="5195">
        <row r="4">
          <cell r="A4" t="str">
            <v>BẢNG TÍNH TOÁN, ĐO BÓC KHỐI LƯỢNG HOÀN THÀNH ĐƯA VÀO QUYẾT TOÁN</v>
          </cell>
        </row>
      </sheetData>
      <sheetData sheetId="5196">
        <row r="4">
          <cell r="A4" t="str">
            <v>BẢNG TÍNH TOÁN, ĐO BÓC KHỐI LƯỢNG HOÀN THÀNH ĐƯA VÀO QUYẾT TOÁN</v>
          </cell>
        </row>
      </sheetData>
      <sheetData sheetId="5197">
        <row r="4">
          <cell r="A4" t="str">
            <v>BẢNG TÍNH TOÁN, ĐO BÓC KHỐI LƯỢNG HOÀN THÀNH ĐƯA VÀO QUYẾT TOÁN</v>
          </cell>
        </row>
      </sheetData>
      <sheetData sheetId="5198">
        <row r="4">
          <cell r="A4" t="str">
            <v>BẢNG TÍNH TOÁN, ĐO BÓC KHỐI LƯỢNG HOÀN THÀNH ĐƯA VÀO QUYẾT TOÁN</v>
          </cell>
        </row>
      </sheetData>
      <sheetData sheetId="5199">
        <row r="4">
          <cell r="A4" t="str">
            <v>BẢNG TÍNH TOÁN, ĐO BÓC KHỐI LƯỢNG HOÀN THÀNH ĐƯA VÀO QUYẾT TOÁN</v>
          </cell>
        </row>
      </sheetData>
      <sheetData sheetId="5200">
        <row r="4">
          <cell r="A4" t="str">
            <v>BẢNG TÍNH TOÁN, ĐO BÓC KHỐI LƯỢNG HOÀN THÀNH ĐƯA VÀO QUYẾT TOÁN</v>
          </cell>
        </row>
      </sheetData>
      <sheetData sheetId="5201">
        <row r="4">
          <cell r="A4" t="str">
            <v>BẢNG TÍNH TOÁN, ĐO BÓC KHỐI LƯỢNG HOÀN THÀNH ĐƯA VÀO QUYẾT TOÁN</v>
          </cell>
        </row>
      </sheetData>
      <sheetData sheetId="5202">
        <row r="4">
          <cell r="A4" t="str">
            <v>BẢNG TÍNH TOÁN, ĐO BÓC KHỐI LƯỢNG HOÀN THÀNH ĐƯA VÀO QUYẾT TOÁN</v>
          </cell>
        </row>
      </sheetData>
      <sheetData sheetId="5203">
        <row r="4">
          <cell r="A4" t="str">
            <v>BẢNG TÍNH TOÁN, ĐO BÓC KHỐI LƯỢNG HOÀN THÀNH ĐƯA VÀO QUYẾT TOÁN</v>
          </cell>
        </row>
      </sheetData>
      <sheetData sheetId="5204">
        <row r="4">
          <cell r="A4" t="str">
            <v>BẢNG TÍNH TOÁN, ĐO BÓC KHỐI LƯỢNG HOÀN THÀNH ĐƯA VÀO QUYẾT TOÁN</v>
          </cell>
        </row>
      </sheetData>
      <sheetData sheetId="5205">
        <row r="4">
          <cell r="A4" t="str">
            <v>BẢNG TÍNH TOÁN, ĐO BÓC KHỐI LƯỢNG HOÀN THÀNH ĐƯA VÀO QUYẾT TOÁN</v>
          </cell>
        </row>
      </sheetData>
      <sheetData sheetId="5206">
        <row r="4">
          <cell r="A4" t="str">
            <v>BẢNG TÍNH TOÁN, ĐO BÓC KHỐI LƯỢNG HOÀN THÀNH ĐƯA VÀO QUYẾT TOÁN</v>
          </cell>
        </row>
      </sheetData>
      <sheetData sheetId="5207">
        <row r="4">
          <cell r="A4" t="str">
            <v>BẢNG TÍNH TOÁN, ĐO BÓC KHỐI LƯỢNG HOÀN THÀNH ĐƯA VÀO QUYẾT TOÁN</v>
          </cell>
        </row>
      </sheetData>
      <sheetData sheetId="5208">
        <row r="4">
          <cell r="A4" t="str">
            <v>BẢNG TÍNH TOÁN, ĐO BÓC KHỐI LƯỢNG HOÀN THÀNH ĐƯA VÀO QUYẾT TOÁN</v>
          </cell>
        </row>
      </sheetData>
      <sheetData sheetId="5209">
        <row r="4">
          <cell r="A4" t="str">
            <v>BẢNG TÍNH TOÁN, ĐO BÓC KHỐI LƯỢNG HOÀN THÀNH ĐƯA VÀO QUYẾT TOÁN</v>
          </cell>
        </row>
      </sheetData>
      <sheetData sheetId="5210">
        <row r="4">
          <cell r="A4" t="str">
            <v>BẢNG TÍNH TOÁN, ĐO BÓC KHỐI LƯỢNG HOÀN THÀNH ĐƯA VÀO QUYẾT TOÁN</v>
          </cell>
        </row>
      </sheetData>
      <sheetData sheetId="5211">
        <row r="4">
          <cell r="A4" t="str">
            <v>BẢNG TÍNH TOÁN, ĐO BÓC KHỐI LƯỢNG HOÀN THÀNH ĐƯA VÀO QUYẾT TOÁN</v>
          </cell>
        </row>
      </sheetData>
      <sheetData sheetId="5212">
        <row r="4">
          <cell r="A4" t="str">
            <v>BẢNG TÍNH TOÁN, ĐO BÓC KHỐI LƯỢNG HOÀN THÀNH ĐƯA VÀO QUYẾT TOÁN</v>
          </cell>
        </row>
      </sheetData>
      <sheetData sheetId="5213">
        <row r="4">
          <cell r="A4" t="str">
            <v>BẢNG TÍNH TOÁN, ĐO BÓC KHỐI LƯỢNG HOÀN THÀNH ĐƯA VÀO QUYẾT TOÁN</v>
          </cell>
        </row>
      </sheetData>
      <sheetData sheetId="5214">
        <row r="4">
          <cell r="A4" t="str">
            <v>BẢNG TÍNH TOÁN, ĐO BÓC KHỐI LƯỢNG HOÀN THÀNH ĐƯA VÀO QUYẾT TOÁN</v>
          </cell>
        </row>
      </sheetData>
      <sheetData sheetId="5215">
        <row r="4">
          <cell r="A4" t="str">
            <v>BẢNG TÍNH TOÁN, ĐO BÓC KHỐI LƯỢNG HOÀN THÀNH ĐƯA VÀO QUYẾT TOÁN</v>
          </cell>
        </row>
      </sheetData>
      <sheetData sheetId="5216">
        <row r="4">
          <cell r="A4" t="str">
            <v>BẢNG TÍNH TOÁN, ĐO BÓC KHỐI LƯỢNG HOÀN THÀNH ĐƯA VÀO QUYẾT TOÁN</v>
          </cell>
        </row>
      </sheetData>
      <sheetData sheetId="5217">
        <row r="4">
          <cell r="A4" t="str">
            <v>BẢNG TÍNH TOÁN, ĐO BÓC KHỐI LƯỢNG HOÀN THÀNH ĐƯA VÀO QUYẾT TOÁN</v>
          </cell>
        </row>
      </sheetData>
      <sheetData sheetId="5218">
        <row r="4">
          <cell r="A4" t="str">
            <v>BẢNG TÍNH TOÁN, ĐO BÓC KHỐI LƯỢNG HOÀN THÀNH ĐƯA VÀO QUYẾT TOÁN</v>
          </cell>
        </row>
      </sheetData>
      <sheetData sheetId="5219">
        <row r="4">
          <cell r="A4" t="str">
            <v>BẢNG TÍNH TOÁN, ĐO BÓC KHỐI LƯỢNG HOÀN THÀNH ĐƯA VÀO QUYẾT TOÁN</v>
          </cell>
        </row>
      </sheetData>
      <sheetData sheetId="5220">
        <row r="4">
          <cell r="A4" t="str">
            <v>BẢNG TÍNH TOÁN, ĐO BÓC KHỐI LƯỢNG HOÀN THÀNH ĐƯA VÀO QUYẾT TOÁN</v>
          </cell>
        </row>
      </sheetData>
      <sheetData sheetId="5221">
        <row r="4">
          <cell r="A4" t="str">
            <v>BẢNG TÍNH TOÁN, ĐO BÓC KHỐI LƯỢNG HOÀN THÀNH ĐƯA VÀO QUYẾT TOÁN</v>
          </cell>
        </row>
      </sheetData>
      <sheetData sheetId="5222">
        <row r="4">
          <cell r="A4" t="str">
            <v>BẢNG TÍNH TOÁN, ĐO BÓC KHỐI LƯỢNG HOÀN THÀNH ĐƯA VÀO QUYẾT TOÁN</v>
          </cell>
        </row>
      </sheetData>
      <sheetData sheetId="5223">
        <row r="4">
          <cell r="A4" t="str">
            <v>BẢNG TÍNH TOÁN, ĐO BÓC KHỐI LƯỢNG HOÀN THÀNH ĐƯA VÀO QUYẾT TOÁN</v>
          </cell>
        </row>
      </sheetData>
      <sheetData sheetId="5224">
        <row r="4">
          <cell r="A4" t="str">
            <v>BẢNG TÍNH TOÁN, ĐO BÓC KHỐI LƯỢNG HOÀN THÀNH ĐƯA VÀO QUYẾT TOÁN</v>
          </cell>
        </row>
      </sheetData>
      <sheetData sheetId="5225">
        <row r="4">
          <cell r="A4" t="str">
            <v>BẢNG TÍNH TOÁN, ĐO BÓC KHỐI LƯỢNG HOÀN THÀNH ĐƯA VÀO QUYẾT TOÁN</v>
          </cell>
        </row>
      </sheetData>
      <sheetData sheetId="5226">
        <row r="4">
          <cell r="A4" t="str">
            <v>BẢNG TÍNH TOÁN, ĐO BÓC KHỐI LƯỢNG HOÀN THÀNH ĐƯA VÀO QUYẾT TOÁN</v>
          </cell>
        </row>
      </sheetData>
      <sheetData sheetId="5227">
        <row r="4">
          <cell r="A4" t="str">
            <v>BẢNG TÍNH TOÁN, ĐO BÓC KHỐI LƯỢNG HOÀN THÀNH ĐƯA VÀO QUYẾT TOÁN</v>
          </cell>
        </row>
      </sheetData>
      <sheetData sheetId="5228">
        <row r="4">
          <cell r="A4" t="str">
            <v>BẢNG TÍNH TOÁN, ĐO BÓC KHỐI LƯỢNG HOÀN THÀNH ĐƯA VÀO QUYẾT TOÁN</v>
          </cell>
        </row>
      </sheetData>
      <sheetData sheetId="5229">
        <row r="4">
          <cell r="A4" t="str">
            <v>BẢNG TÍNH TOÁN, ĐO BÓC KHỐI LƯỢNG HOÀN THÀNH ĐƯA VÀO QUYẾT TOÁN</v>
          </cell>
        </row>
      </sheetData>
      <sheetData sheetId="5230">
        <row r="4">
          <cell r="A4" t="str">
            <v>BẢNG TÍNH TOÁN, ĐO BÓC KHỐI LƯỢNG HOÀN THÀNH ĐƯA VÀO QUYẾT TOÁN</v>
          </cell>
        </row>
      </sheetData>
      <sheetData sheetId="5231">
        <row r="4">
          <cell r="A4" t="str">
            <v>BẢNG TÍNH TOÁN, ĐO BÓC KHỐI LƯỢNG HOÀN THÀNH ĐƯA VÀO QUYẾT TOÁN</v>
          </cell>
        </row>
      </sheetData>
      <sheetData sheetId="5232">
        <row r="4">
          <cell r="A4" t="str">
            <v>BẢNG TÍNH TOÁN, ĐO BÓC KHỐI LƯỢNG HOÀN THÀNH ĐƯA VÀO QUYẾT TOÁN</v>
          </cell>
        </row>
      </sheetData>
      <sheetData sheetId="5233">
        <row r="4">
          <cell r="A4" t="str">
            <v>BẢNG TÍNH TOÁN, ĐO BÓC KHỐI LƯỢNG HOÀN THÀNH ĐƯA VÀO QUYẾT TOÁN</v>
          </cell>
        </row>
      </sheetData>
      <sheetData sheetId="5234">
        <row r="4">
          <cell r="A4" t="str">
            <v>BẢNG TÍNH TOÁN, ĐO BÓC KHỐI LƯỢNG HOÀN THÀNH ĐƯA VÀO QUYẾT TOÁN</v>
          </cell>
        </row>
      </sheetData>
      <sheetData sheetId="5235">
        <row r="4">
          <cell r="A4" t="str">
            <v>BẢNG TÍNH TOÁN, ĐO BÓC KHỐI LƯỢNG HOÀN THÀNH ĐƯA VÀO QUYẾT TOÁN</v>
          </cell>
        </row>
      </sheetData>
      <sheetData sheetId="5236">
        <row r="4">
          <cell r="A4" t="str">
            <v>BẢNG TÍNH TOÁN, ĐO BÓC KHỐI LƯỢNG HOÀN THÀNH ĐƯA VÀO QUYẾT TOÁN</v>
          </cell>
        </row>
      </sheetData>
      <sheetData sheetId="5237">
        <row r="4">
          <cell r="A4" t="str">
            <v>BẢNG TÍNH TOÁN, ĐO BÓC KHỐI LƯỢNG HOÀN THÀNH ĐƯA VÀO QUYẾT TOÁN</v>
          </cell>
        </row>
      </sheetData>
      <sheetData sheetId="5238">
        <row r="4">
          <cell r="A4" t="str">
            <v>BẢNG TÍNH TOÁN, ĐO BÓC KHỐI LƯỢNG HOÀN THÀNH ĐƯA VÀO QUYẾT TOÁN</v>
          </cell>
        </row>
      </sheetData>
      <sheetData sheetId="5239">
        <row r="4">
          <cell r="A4" t="str">
            <v>BẢNG TÍNH TOÁN, ĐO BÓC KHỐI LƯỢNG HOÀN THÀNH ĐƯA VÀO QUYẾT TOÁN</v>
          </cell>
        </row>
      </sheetData>
      <sheetData sheetId="5240">
        <row r="4">
          <cell r="A4" t="str">
            <v>BẢNG TÍNH TOÁN, ĐO BÓC KHỐI LƯỢNG HOÀN THÀNH ĐƯA VÀO QUYẾT TOÁN</v>
          </cell>
        </row>
      </sheetData>
      <sheetData sheetId="5241">
        <row r="4">
          <cell r="A4" t="str">
            <v>BẢNG TÍNH TOÁN, ĐO BÓC KHỐI LƯỢNG HOÀN THÀNH ĐƯA VÀO QUYẾT TOÁN</v>
          </cell>
        </row>
      </sheetData>
      <sheetData sheetId="5242">
        <row r="4">
          <cell r="A4" t="str">
            <v>BẢNG TÍNH TOÁN, ĐO BÓC KHỐI LƯỢNG HOÀN THÀNH ĐƯA VÀO QUYẾT TOÁN</v>
          </cell>
        </row>
      </sheetData>
      <sheetData sheetId="5243">
        <row r="4">
          <cell r="A4" t="str">
            <v>BẢNG TÍNH TOÁN, ĐO BÓC KHỐI LƯỢNG HOÀN THÀNH ĐƯA VÀO QUYẾT TOÁN</v>
          </cell>
        </row>
      </sheetData>
      <sheetData sheetId="5244">
        <row r="4">
          <cell r="A4" t="str">
            <v>BẢNG TÍNH TOÁN, ĐO BÓC KHỐI LƯỢNG HOÀN THÀNH ĐƯA VÀO QUYẾT TOÁN</v>
          </cell>
        </row>
      </sheetData>
      <sheetData sheetId="5245">
        <row r="4">
          <cell r="A4" t="str">
            <v>BẢNG TÍNH TOÁN, ĐO BÓC KHỐI LƯỢNG HOÀN THÀNH ĐƯA VÀO QUYẾT TOÁN</v>
          </cell>
        </row>
      </sheetData>
      <sheetData sheetId="5246">
        <row r="4">
          <cell r="A4" t="str">
            <v>BẢNG TÍNH TOÁN, ĐO BÓC KHỐI LƯỢNG HOÀN THÀNH ĐƯA VÀO QUYẾT TOÁN</v>
          </cell>
        </row>
      </sheetData>
      <sheetData sheetId="5247">
        <row r="4">
          <cell r="A4" t="str">
            <v>BẢNG TÍNH TOÁN, ĐO BÓC KHỐI LƯỢNG HOÀN THÀNH ĐƯA VÀO QUYẾT TOÁN</v>
          </cell>
        </row>
      </sheetData>
      <sheetData sheetId="5248">
        <row r="4">
          <cell r="A4" t="str">
            <v>BẢNG TÍNH TOÁN, ĐO BÓC KHỐI LƯỢNG HOÀN THÀNH ĐƯA VÀO QUYẾT TOÁN</v>
          </cell>
        </row>
      </sheetData>
      <sheetData sheetId="5249">
        <row r="4">
          <cell r="A4" t="str">
            <v>BẢNG TÍNH TOÁN, ĐO BÓC KHỐI LƯỢNG HOÀN THÀNH ĐƯA VÀO QUYẾT TOÁN</v>
          </cell>
        </row>
      </sheetData>
      <sheetData sheetId="5250">
        <row r="4">
          <cell r="A4" t="str">
            <v>BẢNG TÍNH TOÁN, ĐO BÓC KHỐI LƯỢNG HOÀN THÀNH ĐƯA VÀO QUYẾT TOÁN</v>
          </cell>
        </row>
      </sheetData>
      <sheetData sheetId="5251">
        <row r="4">
          <cell r="A4" t="str">
            <v>BẢNG TÍNH TOÁN, ĐO BÓC KHỐI LƯỢNG HOÀN THÀNH ĐƯA VÀO QUYẾT TOÁN</v>
          </cell>
        </row>
      </sheetData>
      <sheetData sheetId="5252">
        <row r="4">
          <cell r="A4" t="str">
            <v>BẢNG TÍNH TOÁN, ĐO BÓC KHỐI LƯỢNG HOÀN THÀNH ĐƯA VÀO QUYẾT TOÁN</v>
          </cell>
        </row>
      </sheetData>
      <sheetData sheetId="5253">
        <row r="4">
          <cell r="A4" t="str">
            <v>BẢNG TÍNH TOÁN, ĐO BÓC KHỐI LƯỢNG HOÀN THÀNH ĐƯA VÀO QUYẾT TOÁN</v>
          </cell>
        </row>
      </sheetData>
      <sheetData sheetId="5254">
        <row r="4">
          <cell r="A4" t="str">
            <v>BẢNG TÍNH TOÁN, ĐO BÓC KHỐI LƯỢNG HOÀN THÀNH ĐƯA VÀO QUYẾT TOÁN</v>
          </cell>
        </row>
      </sheetData>
      <sheetData sheetId="5255">
        <row r="4">
          <cell r="A4" t="str">
            <v>BẢNG TÍNH TOÁN, ĐO BÓC KHỐI LƯỢNG HOÀN THÀNH ĐƯA VÀO QUYẾT TOÁN</v>
          </cell>
        </row>
      </sheetData>
      <sheetData sheetId="5256">
        <row r="4">
          <cell r="A4" t="str">
            <v>BẢNG TÍNH TOÁN, ĐO BÓC KHỐI LƯỢNG HOÀN THÀNH ĐƯA VÀO QUYẾT TOÁN</v>
          </cell>
        </row>
      </sheetData>
      <sheetData sheetId="5257">
        <row r="4">
          <cell r="A4" t="str">
            <v>BẢNG TÍNH TOÁN, ĐO BÓC KHỐI LƯỢNG HOÀN THÀNH ĐƯA VÀO QUYẾT TOÁN</v>
          </cell>
        </row>
      </sheetData>
      <sheetData sheetId="5258">
        <row r="4">
          <cell r="A4" t="str">
            <v>BẢNG TÍNH TOÁN, ĐO BÓC KHỐI LƯỢNG HOÀN THÀNH ĐƯA VÀO QUYẾT TOÁN</v>
          </cell>
        </row>
      </sheetData>
      <sheetData sheetId="5259">
        <row r="4">
          <cell r="A4" t="str">
            <v>BẢNG TÍNH TOÁN, ĐO BÓC KHỐI LƯỢNG HOÀN THÀNH ĐƯA VÀO QUYẾT TOÁN</v>
          </cell>
        </row>
      </sheetData>
      <sheetData sheetId="5260">
        <row r="4">
          <cell r="A4" t="str">
            <v>BẢNG TÍNH TOÁN, ĐO BÓC KHỐI LƯỢNG HOÀN THÀNH ĐƯA VÀO QUYẾT TOÁN</v>
          </cell>
        </row>
      </sheetData>
      <sheetData sheetId="5261">
        <row r="4">
          <cell r="A4" t="str">
            <v>BẢNG TÍNH TOÁN, ĐO BÓC KHỐI LƯỢNG HOÀN THÀNH ĐƯA VÀO QUYẾT TOÁN</v>
          </cell>
        </row>
      </sheetData>
      <sheetData sheetId="5262">
        <row r="4">
          <cell r="A4" t="str">
            <v>BẢNG TÍNH TOÁN, ĐO BÓC KHỐI LƯỢNG HOÀN THÀNH ĐƯA VÀO QUYẾT TOÁN</v>
          </cell>
        </row>
      </sheetData>
      <sheetData sheetId="5263">
        <row r="4">
          <cell r="A4" t="str">
            <v>BẢNG TÍNH TOÁN, ĐO BÓC KHỐI LƯỢNG HOÀN THÀNH ĐƯA VÀO QUYẾT TOÁN</v>
          </cell>
        </row>
      </sheetData>
      <sheetData sheetId="5264">
        <row r="4">
          <cell r="A4" t="str">
            <v>BẢNG TÍNH TOÁN, ĐO BÓC KHỐI LƯỢNG HOÀN THÀNH ĐƯA VÀO QUYẾT TOÁN</v>
          </cell>
        </row>
      </sheetData>
      <sheetData sheetId="5265">
        <row r="4">
          <cell r="A4" t="str">
            <v>BẢNG TÍNH TOÁN, ĐO BÓC KHỐI LƯỢNG HOÀN THÀNH ĐƯA VÀO QUYẾT TOÁN</v>
          </cell>
        </row>
      </sheetData>
      <sheetData sheetId="5266">
        <row r="4">
          <cell r="A4" t="str">
            <v>BẢNG TÍNH TOÁN, ĐO BÓC KHỐI LƯỢNG HOÀN THÀNH ĐƯA VÀO QUYẾT TOÁN</v>
          </cell>
        </row>
      </sheetData>
      <sheetData sheetId="5267">
        <row r="4">
          <cell r="A4" t="str">
            <v>BẢNG TÍNH TOÁN, ĐO BÓC KHỐI LƯỢNG HOÀN THÀNH ĐƯA VÀO QUYẾT TOÁN</v>
          </cell>
        </row>
      </sheetData>
      <sheetData sheetId="5268">
        <row r="4">
          <cell r="A4" t="str">
            <v>BẢNG TÍNH TOÁN, ĐO BÓC KHỐI LƯỢNG HOÀN THÀNH ĐƯA VÀO QUYẾT TOÁN</v>
          </cell>
        </row>
      </sheetData>
      <sheetData sheetId="5269">
        <row r="4">
          <cell r="A4" t="str">
            <v>BẢNG TÍNH TOÁN, ĐO BÓC KHỐI LƯỢNG HOÀN THÀNH ĐƯA VÀO QUYẾT TOÁN</v>
          </cell>
        </row>
      </sheetData>
      <sheetData sheetId="5270">
        <row r="4">
          <cell r="A4" t="str">
            <v>BẢNG TÍNH TOÁN, ĐO BÓC KHỐI LƯỢNG HOÀN THÀNH ĐƯA VÀO QUYẾT TOÁN</v>
          </cell>
        </row>
      </sheetData>
      <sheetData sheetId="5271">
        <row r="4">
          <cell r="A4" t="str">
            <v>BẢNG TÍNH TOÁN, ĐO BÓC KHỐI LƯỢNG HOÀN THÀNH ĐƯA VÀO QUYẾT TOÁN</v>
          </cell>
        </row>
      </sheetData>
      <sheetData sheetId="5272">
        <row r="4">
          <cell r="A4" t="str">
            <v>BẢNG TÍNH TOÁN, ĐO BÓC KHỐI LƯỢNG HOÀN THÀNH ĐƯA VÀO QUYẾT TOÁN</v>
          </cell>
        </row>
      </sheetData>
      <sheetData sheetId="5273">
        <row r="4">
          <cell r="A4" t="str">
            <v>BẢNG TÍNH TOÁN, ĐO BÓC KHỐI LƯỢNG HOÀN THÀNH ĐƯA VÀO QUYẾT TOÁN</v>
          </cell>
        </row>
      </sheetData>
      <sheetData sheetId="5274">
        <row r="4">
          <cell r="A4" t="str">
            <v>BẢNG TÍNH TOÁN, ĐO BÓC KHỐI LƯỢNG HOÀN THÀNH ĐƯA VÀO QUYẾT TOÁN</v>
          </cell>
        </row>
      </sheetData>
      <sheetData sheetId="5275">
        <row r="4">
          <cell r="A4" t="str">
            <v>BẢNG TÍNH TOÁN, ĐO BÓC KHỐI LƯỢNG HOÀN THÀNH ĐƯA VÀO QUYẾT TOÁN</v>
          </cell>
        </row>
      </sheetData>
      <sheetData sheetId="5276">
        <row r="4">
          <cell r="A4" t="str">
            <v>BẢNG TÍNH TOÁN, ĐO BÓC KHỐI LƯỢNG HOÀN THÀNH ĐƯA VÀO QUYẾT TOÁN</v>
          </cell>
        </row>
      </sheetData>
      <sheetData sheetId="5277">
        <row r="4">
          <cell r="A4" t="str">
            <v>BẢNG TÍNH TOÁN, ĐO BÓC KHỐI LƯỢNG HOÀN THÀNH ĐƯA VÀO QUYẾT TOÁN</v>
          </cell>
        </row>
      </sheetData>
      <sheetData sheetId="5278">
        <row r="4">
          <cell r="A4" t="str">
            <v>BẢNG TÍNH TOÁN, ĐO BÓC KHỐI LƯỢNG HOÀN THÀNH ĐƯA VÀO QUYẾT TOÁN</v>
          </cell>
        </row>
      </sheetData>
      <sheetData sheetId="5279">
        <row r="4">
          <cell r="A4" t="str">
            <v>BẢNG TÍNH TOÁN, ĐO BÓC KHỐI LƯỢNG HOÀN THÀNH ĐƯA VÀO QUYẾT TOÁN</v>
          </cell>
        </row>
      </sheetData>
      <sheetData sheetId="5280">
        <row r="4">
          <cell r="A4" t="str">
            <v>BẢNG TÍNH TOÁN, ĐO BÓC KHỐI LƯỢNG HOÀN THÀNH ĐƯA VÀO QUYẾT TOÁN</v>
          </cell>
        </row>
      </sheetData>
      <sheetData sheetId="5281">
        <row r="4">
          <cell r="A4" t="str">
            <v>BẢNG TÍNH TOÁN, ĐO BÓC KHỐI LƯỢNG HOÀN THÀNH ĐƯA VÀO QUYẾT TOÁN</v>
          </cell>
        </row>
      </sheetData>
      <sheetData sheetId="5282">
        <row r="4">
          <cell r="A4" t="str">
            <v>BẢNG TÍNH TOÁN, ĐO BÓC KHỐI LƯỢNG HOÀN THÀNH ĐƯA VÀO QUYẾT TOÁN</v>
          </cell>
        </row>
      </sheetData>
      <sheetData sheetId="5283">
        <row r="4">
          <cell r="A4" t="str">
            <v>BẢNG TÍNH TOÁN, ĐO BÓC KHỐI LƯỢNG HOÀN THÀNH ĐƯA VÀO QUYẾT TOÁN</v>
          </cell>
        </row>
      </sheetData>
      <sheetData sheetId="5284">
        <row r="4">
          <cell r="A4" t="str">
            <v>BẢNG TÍNH TOÁN, ĐO BÓC KHỐI LƯỢNG HOÀN THÀNH ĐƯA VÀO QUYẾT TOÁN</v>
          </cell>
        </row>
      </sheetData>
      <sheetData sheetId="5285">
        <row r="4">
          <cell r="A4" t="str">
            <v>BẢNG TÍNH TOÁN, ĐO BÓC KHỐI LƯỢNG HOÀN THÀNH ĐƯA VÀO QUYẾT TOÁN</v>
          </cell>
        </row>
      </sheetData>
      <sheetData sheetId="5286">
        <row r="4">
          <cell r="A4" t="str">
            <v>BẢNG TÍNH TOÁN, ĐO BÓC KHỐI LƯỢNG HOÀN THÀNH ĐƯA VÀO QUYẾT TOÁN</v>
          </cell>
        </row>
      </sheetData>
      <sheetData sheetId="5287">
        <row r="4">
          <cell r="A4" t="str">
            <v>BẢNG TÍNH TOÁN, ĐO BÓC KHỐI LƯỢNG HOÀN THÀNH ĐƯA VÀO QUYẾT TOÁN</v>
          </cell>
        </row>
      </sheetData>
      <sheetData sheetId="5288">
        <row r="4">
          <cell r="A4" t="str">
            <v>BẢNG TÍNH TOÁN, ĐO BÓC KHỐI LƯỢNG HOÀN THÀNH ĐƯA VÀO QUYẾT TOÁN</v>
          </cell>
        </row>
      </sheetData>
      <sheetData sheetId="5289">
        <row r="4">
          <cell r="A4" t="str">
            <v>BẢNG TÍNH TOÁN, ĐO BÓC KHỐI LƯỢNG HOÀN THÀNH ĐƯA VÀO QUYẾT TOÁN</v>
          </cell>
        </row>
      </sheetData>
      <sheetData sheetId="5290">
        <row r="4">
          <cell r="A4" t="str">
            <v>BẢNG TÍNH TOÁN, ĐO BÓC KHỐI LƯỢNG HOÀN THÀNH ĐƯA VÀO QUYẾT TOÁN</v>
          </cell>
        </row>
      </sheetData>
      <sheetData sheetId="5291">
        <row r="4">
          <cell r="A4" t="str">
            <v>BẢNG TÍNH TOÁN, ĐO BÓC KHỐI LƯỢNG HOÀN THÀNH ĐƯA VÀO QUYẾT TOÁN</v>
          </cell>
        </row>
      </sheetData>
      <sheetData sheetId="5292">
        <row r="4">
          <cell r="A4" t="str">
            <v>BẢNG TÍNH TOÁN, ĐO BÓC KHỐI LƯỢNG HOÀN THÀNH ĐƯA VÀO QUYẾT TOÁN</v>
          </cell>
        </row>
      </sheetData>
      <sheetData sheetId="5293">
        <row r="4">
          <cell r="A4" t="str">
            <v>BẢNG TÍNH TOÁN, ĐO BÓC KHỐI LƯỢNG HOÀN THÀNH ĐƯA VÀO QUYẾT TOÁN</v>
          </cell>
        </row>
      </sheetData>
      <sheetData sheetId="5294">
        <row r="4">
          <cell r="A4" t="str">
            <v>BẢNG TÍNH TOÁN, ĐO BÓC KHỐI LƯỢNG HOÀN THÀNH ĐƯA VÀO QUYẾT TOÁN</v>
          </cell>
        </row>
      </sheetData>
      <sheetData sheetId="5295">
        <row r="4">
          <cell r="A4" t="str">
            <v>BẢNG TÍNH TOÁN, ĐO BÓC KHỐI LƯỢNG HOÀN THÀNH ĐƯA VÀO QUYẾT TOÁN</v>
          </cell>
        </row>
      </sheetData>
      <sheetData sheetId="5296">
        <row r="4">
          <cell r="A4" t="str">
            <v>BẢNG TÍNH TOÁN, ĐO BÓC KHỐI LƯỢNG HOÀN THÀNH ĐƯA VÀO QUYẾT TOÁN</v>
          </cell>
        </row>
      </sheetData>
      <sheetData sheetId="5297">
        <row r="4">
          <cell r="A4" t="str">
            <v>BẢNG TÍNH TOÁN, ĐO BÓC KHỐI LƯỢNG HOÀN THÀNH ĐƯA VÀO QUYẾT TOÁN</v>
          </cell>
        </row>
      </sheetData>
      <sheetData sheetId="5298">
        <row r="4">
          <cell r="A4" t="str">
            <v>BẢNG TÍNH TOÁN, ĐO BÓC KHỐI LƯỢNG HOÀN THÀNH ĐƯA VÀO QUYẾT TOÁN</v>
          </cell>
        </row>
      </sheetData>
      <sheetData sheetId="5299">
        <row r="4">
          <cell r="A4" t="str">
            <v>BẢNG TÍNH TOÁN, ĐO BÓC KHỐI LƯỢNG HOÀN THÀNH ĐƯA VÀO QUYẾT TOÁN</v>
          </cell>
        </row>
      </sheetData>
      <sheetData sheetId="5300">
        <row r="4">
          <cell r="A4" t="str">
            <v>BẢNG TÍNH TOÁN, ĐO BÓC KHỐI LƯỢNG HOÀN THÀNH ĐƯA VÀO QUYẾT TOÁN</v>
          </cell>
        </row>
      </sheetData>
      <sheetData sheetId="5301">
        <row r="4">
          <cell r="A4" t="str">
            <v>BẢNG TÍNH TOÁN, ĐO BÓC KHỐI LƯỢNG HOÀN THÀNH ĐƯA VÀO QUYẾT TOÁN</v>
          </cell>
        </row>
      </sheetData>
      <sheetData sheetId="5302">
        <row r="4">
          <cell r="A4" t="str">
            <v>BẢNG TÍNH TOÁN, ĐO BÓC KHỐI LƯỢNG HOÀN THÀNH ĐƯA VÀO QUYẾT TOÁN</v>
          </cell>
        </row>
      </sheetData>
      <sheetData sheetId="5303">
        <row r="4">
          <cell r="A4" t="str">
            <v>BẢNG TÍNH TOÁN, ĐO BÓC KHỐI LƯỢNG HOÀN THÀNH ĐƯA VÀO QUYẾT TOÁN</v>
          </cell>
        </row>
      </sheetData>
      <sheetData sheetId="5304">
        <row r="4">
          <cell r="A4" t="str">
            <v>BẢNG TÍNH TOÁN, ĐO BÓC KHỐI LƯỢNG HOÀN THÀNH ĐƯA VÀO QUYẾT TOÁN</v>
          </cell>
        </row>
      </sheetData>
      <sheetData sheetId="5305">
        <row r="4">
          <cell r="A4" t="str">
            <v>BẢNG TÍNH TOÁN, ĐO BÓC KHỐI LƯỢNG HOÀN THÀNH ĐƯA VÀO QUYẾT TOÁN</v>
          </cell>
        </row>
      </sheetData>
      <sheetData sheetId="5306">
        <row r="4">
          <cell r="A4" t="str">
            <v>BẢNG TÍNH TOÁN, ĐO BÓC KHỐI LƯỢNG HOÀN THÀNH ĐƯA VÀO QUYẾT TOÁN</v>
          </cell>
        </row>
      </sheetData>
      <sheetData sheetId="5307">
        <row r="4">
          <cell r="A4" t="str">
            <v>BẢNG TÍNH TOÁN, ĐO BÓC KHỐI LƯỢNG HOÀN THÀNH ĐƯA VÀO QUYẾT TOÁN</v>
          </cell>
        </row>
      </sheetData>
      <sheetData sheetId="5308">
        <row r="4">
          <cell r="A4" t="str">
            <v>BẢNG TÍNH TOÁN, ĐO BÓC KHỐI LƯỢNG HOÀN THÀNH ĐƯA VÀO QUYẾT TOÁN</v>
          </cell>
        </row>
      </sheetData>
      <sheetData sheetId="5309">
        <row r="4">
          <cell r="A4" t="str">
            <v>BẢNG TÍNH TOÁN, ĐO BÓC KHỐI LƯỢNG HOÀN THÀNH ĐƯA VÀO QUYẾT TOÁN</v>
          </cell>
        </row>
      </sheetData>
      <sheetData sheetId="5310">
        <row r="4">
          <cell r="A4" t="str">
            <v>BẢNG TÍNH TOÁN, ĐO BÓC KHỐI LƯỢNG HOÀN THÀNH ĐƯA VÀO QUYẾT TOÁN</v>
          </cell>
        </row>
      </sheetData>
      <sheetData sheetId="5311">
        <row r="4">
          <cell r="A4" t="str">
            <v>BẢNG TÍNH TOÁN, ĐO BÓC KHỐI LƯỢNG HOÀN THÀNH ĐƯA VÀO QUYẾT TOÁN</v>
          </cell>
        </row>
      </sheetData>
      <sheetData sheetId="5312">
        <row r="4">
          <cell r="A4" t="str">
            <v>BẢNG TÍNH TOÁN, ĐO BÓC KHỐI LƯỢNG HOÀN THÀNH ĐƯA VÀO QUYẾT TOÁN</v>
          </cell>
        </row>
      </sheetData>
      <sheetData sheetId="5313">
        <row r="4">
          <cell r="A4" t="str">
            <v>BẢNG TÍNH TOÁN, ĐO BÓC KHỐI LƯỢNG HOÀN THÀNH ĐƯA VÀO QUYẾT TOÁN</v>
          </cell>
        </row>
      </sheetData>
      <sheetData sheetId="5314">
        <row r="4">
          <cell r="A4" t="str">
            <v>BẢNG TÍNH TOÁN, ĐO BÓC KHỐI LƯỢNG HOÀN THÀNH ĐƯA VÀO QUYẾT TOÁN</v>
          </cell>
        </row>
      </sheetData>
      <sheetData sheetId="5315">
        <row r="4">
          <cell r="A4" t="str">
            <v>BẢNG TÍNH TOÁN, ĐO BÓC KHỐI LƯỢNG HOÀN THÀNH ĐƯA VÀO QUYẾT TOÁN</v>
          </cell>
        </row>
      </sheetData>
      <sheetData sheetId="5316">
        <row r="4">
          <cell r="A4" t="str">
            <v>BẢNG TÍNH TOÁN, ĐO BÓC KHỐI LƯỢNG HOÀN THÀNH ĐƯA VÀO QUYẾT TOÁN</v>
          </cell>
        </row>
      </sheetData>
      <sheetData sheetId="5317">
        <row r="4">
          <cell r="A4" t="str">
            <v>BẢNG TÍNH TOÁN, ĐO BÓC KHỐI LƯỢNG HOÀN THÀNH ĐƯA VÀO QUYẾT TOÁN</v>
          </cell>
        </row>
      </sheetData>
      <sheetData sheetId="5318">
        <row r="4">
          <cell r="A4" t="str">
            <v>BẢNG TÍNH TOÁN, ĐO BÓC KHỐI LƯỢNG HOÀN THÀNH ĐƯA VÀO QUYẾT TOÁN</v>
          </cell>
        </row>
      </sheetData>
      <sheetData sheetId="5319">
        <row r="4">
          <cell r="A4" t="str">
            <v>BẢNG TÍNH TOÁN, ĐO BÓC KHỐI LƯỢNG HOÀN THÀNH ĐƯA VÀO QUYẾT TOÁN</v>
          </cell>
        </row>
      </sheetData>
      <sheetData sheetId="5320">
        <row r="4">
          <cell r="A4" t="str">
            <v>BẢNG TÍNH TOÁN, ĐO BÓC KHỐI LƯỢNG HOÀN THÀNH ĐƯA VÀO QUYẾT TOÁN</v>
          </cell>
        </row>
      </sheetData>
      <sheetData sheetId="5321">
        <row r="4">
          <cell r="A4" t="str">
            <v>BẢNG TÍNH TOÁN, ĐO BÓC KHỐI LƯỢNG HOÀN THÀNH ĐƯA VÀO QUYẾT TOÁN</v>
          </cell>
        </row>
      </sheetData>
      <sheetData sheetId="5322">
        <row r="4">
          <cell r="A4" t="str">
            <v>BẢNG TÍNH TOÁN, ĐO BÓC KHỐI LƯỢNG HOÀN THÀNH ĐƯA VÀO QUYẾT TOÁN</v>
          </cell>
        </row>
      </sheetData>
      <sheetData sheetId="5323">
        <row r="4">
          <cell r="A4" t="str">
            <v>BẢNG TÍNH TOÁN, ĐO BÓC KHỐI LƯỢNG HOÀN THÀNH ĐƯA VÀO QUYẾT TOÁN</v>
          </cell>
        </row>
      </sheetData>
      <sheetData sheetId="5324">
        <row r="4">
          <cell r="A4" t="str">
            <v>BẢNG TÍNH TOÁN, ĐO BÓC KHỐI LƯỢNG HOÀN THÀNH ĐƯA VÀO QUYẾT TOÁN</v>
          </cell>
        </row>
      </sheetData>
      <sheetData sheetId="5325">
        <row r="4">
          <cell r="A4" t="str">
            <v>BẢNG TÍNH TOÁN, ĐO BÓC KHỐI LƯỢNG HOÀN THÀNH ĐƯA VÀO QUYẾT TOÁN</v>
          </cell>
        </row>
      </sheetData>
      <sheetData sheetId="5326">
        <row r="4">
          <cell r="A4" t="str">
            <v>BẢNG TÍNH TOÁN, ĐO BÓC KHỐI LƯỢNG HOÀN THÀNH ĐƯA VÀO QUYẾT TOÁN</v>
          </cell>
        </row>
      </sheetData>
      <sheetData sheetId="5327">
        <row r="4">
          <cell r="A4" t="str">
            <v>BẢNG TÍNH TOÁN, ĐO BÓC KHỐI LƯỢNG HOÀN THÀNH ĐƯA VÀO QUYẾT TOÁN</v>
          </cell>
        </row>
      </sheetData>
      <sheetData sheetId="5328">
        <row r="4">
          <cell r="A4" t="str">
            <v>BẢNG TÍNH TOÁN, ĐO BÓC KHỐI LƯỢNG HOÀN THÀNH ĐƯA VÀO QUYẾT TOÁN</v>
          </cell>
        </row>
      </sheetData>
      <sheetData sheetId="5329">
        <row r="4">
          <cell r="A4" t="str">
            <v>BẢNG TÍNH TOÁN, ĐO BÓC KHỐI LƯỢNG HOÀN THÀNH ĐƯA VÀO QUYẾT TOÁN</v>
          </cell>
        </row>
      </sheetData>
      <sheetData sheetId="5330">
        <row r="4">
          <cell r="A4" t="str">
            <v>BẢNG TÍNH TOÁN, ĐO BÓC KHỐI LƯỢNG HOÀN THÀNH ĐƯA VÀO QUYẾT TOÁN</v>
          </cell>
        </row>
      </sheetData>
      <sheetData sheetId="5331">
        <row r="4">
          <cell r="A4" t="str">
            <v>BẢNG TÍNH TOÁN, ĐO BÓC KHỐI LƯỢNG HOÀN THÀNH ĐƯA VÀO QUYẾT TOÁN</v>
          </cell>
        </row>
      </sheetData>
      <sheetData sheetId="5332">
        <row r="4">
          <cell r="A4" t="str">
            <v>BẢNG TÍNH TOÁN, ĐO BÓC KHỐI LƯỢNG HOÀN THÀNH ĐƯA VÀO QUYẾT TOÁN</v>
          </cell>
        </row>
      </sheetData>
      <sheetData sheetId="5333">
        <row r="4">
          <cell r="A4" t="str">
            <v>BẢNG TÍNH TOÁN, ĐO BÓC KHỐI LƯỢNG HOÀN THÀNH ĐƯA VÀO QUYẾT TOÁN</v>
          </cell>
        </row>
      </sheetData>
      <sheetData sheetId="5334">
        <row r="4">
          <cell r="A4" t="str">
            <v>BẢNG TÍNH TOÁN, ĐO BÓC KHỐI LƯỢNG HOÀN THÀNH ĐƯA VÀO QUYẾT TOÁN</v>
          </cell>
        </row>
      </sheetData>
      <sheetData sheetId="5335">
        <row r="4">
          <cell r="A4" t="str">
            <v>BẢNG TÍNH TOÁN, ĐO BÓC KHỐI LƯỢNG HOÀN THÀNH ĐƯA VÀO QUYẾT TOÁN</v>
          </cell>
        </row>
      </sheetData>
      <sheetData sheetId="5336">
        <row r="4">
          <cell r="A4" t="str">
            <v>BẢNG TÍNH TOÁN, ĐO BÓC KHỐI LƯỢNG HOÀN THÀNH ĐƯA VÀO QUYẾT TOÁN</v>
          </cell>
        </row>
      </sheetData>
      <sheetData sheetId="5337">
        <row r="4">
          <cell r="A4" t="str">
            <v>BẢNG TÍNH TOÁN, ĐO BÓC KHỐI LƯỢNG HOÀN THÀNH ĐƯA VÀO QUYẾT TOÁN</v>
          </cell>
        </row>
      </sheetData>
      <sheetData sheetId="5338">
        <row r="4">
          <cell r="A4" t="str">
            <v>BẢNG TÍNH TOÁN, ĐO BÓC KHỐI LƯỢNG HOÀN THÀNH ĐƯA VÀO QUYẾT TOÁN</v>
          </cell>
        </row>
      </sheetData>
      <sheetData sheetId="5339">
        <row r="4">
          <cell r="A4" t="str">
            <v>BẢNG TÍNH TOÁN, ĐO BÓC KHỐI LƯỢNG HOÀN THÀNH ĐƯA VÀO QUYẾT TOÁN</v>
          </cell>
        </row>
      </sheetData>
      <sheetData sheetId="5340">
        <row r="4">
          <cell r="A4" t="str">
            <v>BẢNG TÍNH TOÁN, ĐO BÓC KHỐI LƯỢNG HOÀN THÀNH ĐƯA VÀO QUYẾT TOÁN</v>
          </cell>
        </row>
      </sheetData>
      <sheetData sheetId="5341">
        <row r="4">
          <cell r="A4" t="str">
            <v>BẢNG TÍNH TOÁN, ĐO BÓC KHỐI LƯỢNG HOÀN THÀNH ĐƯA VÀO QUYẾT TOÁN</v>
          </cell>
        </row>
      </sheetData>
      <sheetData sheetId="5342">
        <row r="4">
          <cell r="A4" t="str">
            <v>BẢNG TÍNH TOÁN, ĐO BÓC KHỐI LƯỢNG HOÀN THÀNH ĐƯA VÀO QUYẾT TOÁN</v>
          </cell>
        </row>
      </sheetData>
      <sheetData sheetId="5343">
        <row r="4">
          <cell r="A4" t="str">
            <v>BẢNG TÍNH TOÁN, ĐO BÓC KHỐI LƯỢNG HOÀN THÀNH ĐƯA VÀO QUYẾT TOÁN</v>
          </cell>
        </row>
      </sheetData>
      <sheetData sheetId="5344">
        <row r="4">
          <cell r="A4" t="str">
            <v>BẢNG TÍNH TOÁN, ĐO BÓC KHỐI LƯỢNG HOÀN THÀNH ĐƯA VÀO QUYẾT TOÁN</v>
          </cell>
        </row>
      </sheetData>
      <sheetData sheetId="5345">
        <row r="4">
          <cell r="A4" t="str">
            <v>BẢNG TÍNH TOÁN, ĐO BÓC KHỐI LƯỢNG HOÀN THÀNH ĐƯA VÀO QUYẾT TOÁN</v>
          </cell>
        </row>
      </sheetData>
      <sheetData sheetId="5346">
        <row r="4">
          <cell r="A4" t="str">
            <v>BẢNG TÍNH TOÁN, ĐO BÓC KHỐI LƯỢNG HOÀN THÀNH ĐƯA VÀO QUYẾT TOÁN</v>
          </cell>
        </row>
      </sheetData>
      <sheetData sheetId="5347">
        <row r="4">
          <cell r="A4" t="str">
            <v>BẢNG TÍNH TOÁN, ĐO BÓC KHỐI LƯỢNG HOÀN THÀNH ĐƯA VÀO QUYẾT TOÁN</v>
          </cell>
        </row>
      </sheetData>
      <sheetData sheetId="5348">
        <row r="4">
          <cell r="A4" t="str">
            <v>BẢNG TÍNH TOÁN, ĐO BÓC KHỐI LƯỢNG HOÀN THÀNH ĐƯA VÀO QUYẾT TOÁN</v>
          </cell>
        </row>
      </sheetData>
      <sheetData sheetId="5349">
        <row r="4">
          <cell r="A4" t="str">
            <v>BẢNG TÍNH TOÁN, ĐO BÓC KHỐI LƯỢNG HOÀN THÀNH ĐƯA VÀO QUYẾT TOÁN</v>
          </cell>
        </row>
      </sheetData>
      <sheetData sheetId="5350">
        <row r="4">
          <cell r="A4" t="str">
            <v>BẢNG TÍNH TOÁN, ĐO BÓC KHỐI LƯỢNG HOÀN THÀNH ĐƯA VÀO QUYẾT TOÁN</v>
          </cell>
        </row>
      </sheetData>
      <sheetData sheetId="5351">
        <row r="4">
          <cell r="A4" t="str">
            <v>BẢNG TÍNH TOÁN, ĐO BÓC KHỐI LƯỢNG HOÀN THÀNH ĐƯA VÀO QUYẾT TOÁN</v>
          </cell>
        </row>
      </sheetData>
      <sheetData sheetId="5352">
        <row r="4">
          <cell r="A4" t="str">
            <v>BẢNG TÍNH TOÁN, ĐO BÓC KHỐI LƯỢNG HOÀN THÀNH ĐƯA VÀO QUYẾT TOÁN</v>
          </cell>
        </row>
      </sheetData>
      <sheetData sheetId="5353">
        <row r="4">
          <cell r="A4" t="str">
            <v>BẢNG TÍNH TOÁN, ĐO BÓC KHỐI LƯỢNG HOÀN THÀNH ĐƯA VÀO QUYẾT TOÁN</v>
          </cell>
        </row>
      </sheetData>
      <sheetData sheetId="5354">
        <row r="4">
          <cell r="A4" t="str">
            <v>BẢNG TÍNH TOÁN, ĐO BÓC KHỐI LƯỢNG HOÀN THÀNH ĐƯA VÀO QUYẾT TOÁN</v>
          </cell>
        </row>
      </sheetData>
      <sheetData sheetId="5355">
        <row r="4">
          <cell r="A4" t="str">
            <v>BẢNG TÍNH TOÁN, ĐO BÓC KHỐI LƯỢNG HOÀN THÀNH ĐƯA VÀO QUYẾT TOÁN</v>
          </cell>
        </row>
      </sheetData>
      <sheetData sheetId="5356">
        <row r="4">
          <cell r="A4" t="str">
            <v>BẢNG TÍNH TOÁN, ĐO BÓC KHỐI LƯỢNG HOÀN THÀNH ĐƯA VÀO QUYẾT TOÁN</v>
          </cell>
        </row>
      </sheetData>
      <sheetData sheetId="5357">
        <row r="4">
          <cell r="A4" t="str">
            <v>BẢNG TÍNH TOÁN, ĐO BÓC KHỐI LƯỢNG HOÀN THÀNH ĐƯA VÀO QUYẾT TOÁN</v>
          </cell>
        </row>
      </sheetData>
      <sheetData sheetId="5358">
        <row r="4">
          <cell r="A4" t="str">
            <v>BẢNG TÍNH TOÁN, ĐO BÓC KHỐI LƯỢNG HOÀN THÀNH ĐƯA VÀO QUYẾT TOÁN</v>
          </cell>
        </row>
      </sheetData>
      <sheetData sheetId="5359">
        <row r="4">
          <cell r="A4" t="str">
            <v>BẢNG TÍNH TOÁN, ĐO BÓC KHỐI LƯỢNG HOÀN THÀNH ĐƯA VÀO QUYẾT TOÁN</v>
          </cell>
        </row>
      </sheetData>
      <sheetData sheetId="5360">
        <row r="4">
          <cell r="A4" t="str">
            <v>BẢNG TÍNH TOÁN, ĐO BÓC KHỐI LƯỢNG HOÀN THÀNH ĐƯA VÀO QUYẾT TOÁN</v>
          </cell>
        </row>
      </sheetData>
      <sheetData sheetId="5361">
        <row r="4">
          <cell r="A4" t="str">
            <v>BẢNG TÍNH TOÁN, ĐO BÓC KHỐI LƯỢNG HOÀN THÀNH ĐƯA VÀO QUYẾT TOÁN</v>
          </cell>
        </row>
      </sheetData>
      <sheetData sheetId="5362">
        <row r="4">
          <cell r="A4" t="str">
            <v>BẢNG TÍNH TOÁN, ĐO BÓC KHỐI LƯỢNG HOÀN THÀNH ĐƯA VÀO QUYẾT TOÁN</v>
          </cell>
        </row>
      </sheetData>
      <sheetData sheetId="5363">
        <row r="4">
          <cell r="A4" t="str">
            <v>BẢNG TÍNH TOÁN, ĐO BÓC KHỐI LƯỢNG HOÀN THÀNH ĐƯA VÀO QUYẾT TOÁN</v>
          </cell>
        </row>
      </sheetData>
      <sheetData sheetId="5364">
        <row r="4">
          <cell r="A4" t="str">
            <v>BẢNG TÍNH TOÁN, ĐO BÓC KHỐI LƯỢNG HOÀN THÀNH ĐƯA VÀO QUYẾT TOÁN</v>
          </cell>
        </row>
      </sheetData>
      <sheetData sheetId="5365">
        <row r="4">
          <cell r="A4" t="str">
            <v>BẢNG TÍNH TOÁN, ĐO BÓC KHỐI LƯỢNG HOÀN THÀNH ĐƯA VÀO QUYẾT TOÁN</v>
          </cell>
        </row>
      </sheetData>
      <sheetData sheetId="5366">
        <row r="4">
          <cell r="A4" t="str">
            <v>BẢNG TÍNH TOÁN, ĐO BÓC KHỐI LƯỢNG HOÀN THÀNH ĐƯA VÀO QUYẾT TOÁN</v>
          </cell>
        </row>
      </sheetData>
      <sheetData sheetId="5367">
        <row r="4">
          <cell r="A4" t="str">
            <v>BẢNG TÍNH TOÁN, ĐO BÓC KHỐI LƯỢNG HOÀN THÀNH ĐƯA VÀO QUYẾT TOÁN</v>
          </cell>
        </row>
      </sheetData>
      <sheetData sheetId="5368">
        <row r="4">
          <cell r="A4" t="str">
            <v>BẢNG TÍNH TOÁN, ĐO BÓC KHỐI LƯỢNG HOÀN THÀNH ĐƯA VÀO QUYẾT TOÁN</v>
          </cell>
        </row>
      </sheetData>
      <sheetData sheetId="5369">
        <row r="4">
          <cell r="A4" t="str">
            <v>BẢNG TÍNH TOÁN, ĐO BÓC KHỐI LƯỢNG HOÀN THÀNH ĐƯA VÀO QUYẾT TOÁN</v>
          </cell>
        </row>
      </sheetData>
      <sheetData sheetId="5370">
        <row r="4">
          <cell r="A4" t="str">
            <v>BẢNG TÍNH TOÁN, ĐO BÓC KHỐI LƯỢNG HOÀN THÀNH ĐƯA VÀO QUYẾT TOÁN</v>
          </cell>
        </row>
      </sheetData>
      <sheetData sheetId="5371">
        <row r="4">
          <cell r="A4" t="str">
            <v>BẢNG TÍNH TOÁN, ĐO BÓC KHỐI LƯỢNG HOÀN THÀNH ĐƯA VÀO QUYẾT TOÁN</v>
          </cell>
        </row>
      </sheetData>
      <sheetData sheetId="5372">
        <row r="4">
          <cell r="A4" t="str">
            <v>BẢNG TÍNH TOÁN, ĐO BÓC KHỐI LƯỢNG HOÀN THÀNH ĐƯA VÀO QUYẾT TOÁN</v>
          </cell>
        </row>
      </sheetData>
      <sheetData sheetId="5373">
        <row r="4">
          <cell r="A4" t="str">
            <v>BẢNG TÍNH TOÁN, ĐO BÓC KHỐI LƯỢNG HOÀN THÀNH ĐƯA VÀO QUYẾT TOÁN</v>
          </cell>
        </row>
      </sheetData>
      <sheetData sheetId="5374">
        <row r="4">
          <cell r="A4" t="str">
            <v>BẢNG TÍNH TOÁN, ĐO BÓC KHỐI LƯỢNG HOÀN THÀNH ĐƯA VÀO QUYẾT TOÁN</v>
          </cell>
        </row>
      </sheetData>
      <sheetData sheetId="5375">
        <row r="4">
          <cell r="A4" t="str">
            <v>BẢNG TÍNH TOÁN, ĐO BÓC KHỐI LƯỢNG HOÀN THÀNH ĐƯA VÀO QUYẾT TOÁN</v>
          </cell>
        </row>
      </sheetData>
      <sheetData sheetId="5376">
        <row r="4">
          <cell r="A4" t="str">
            <v>BẢNG TÍNH TOÁN, ĐO BÓC KHỐI LƯỢNG HOÀN THÀNH ĐƯA VÀO QUYẾT TOÁN</v>
          </cell>
        </row>
      </sheetData>
      <sheetData sheetId="5377">
        <row r="4">
          <cell r="A4" t="str">
            <v>BẢNG TÍNH TOÁN, ĐO BÓC KHỐI LƯỢNG HOÀN THÀNH ĐƯA VÀO QUYẾT TOÁN</v>
          </cell>
        </row>
      </sheetData>
      <sheetData sheetId="5378">
        <row r="4">
          <cell r="A4" t="str">
            <v>BẢNG TÍNH TOÁN, ĐO BÓC KHỐI LƯỢNG HOÀN THÀNH ĐƯA VÀO QUYẾT TOÁN</v>
          </cell>
        </row>
      </sheetData>
      <sheetData sheetId="5379">
        <row r="4">
          <cell r="A4" t="str">
            <v>BẢNG TÍNH TOÁN, ĐO BÓC KHỐI LƯỢNG HOÀN THÀNH ĐƯA VÀO QUYẾT TOÁN</v>
          </cell>
        </row>
      </sheetData>
      <sheetData sheetId="5380">
        <row r="4">
          <cell r="A4" t="str">
            <v>BẢNG TÍNH TOÁN, ĐO BÓC KHỐI LƯỢNG HOÀN THÀNH ĐƯA VÀO QUYẾT TOÁN</v>
          </cell>
        </row>
      </sheetData>
      <sheetData sheetId="5381">
        <row r="4">
          <cell r="A4" t="str">
            <v>BẢNG TÍNH TOÁN, ĐO BÓC KHỐI LƯỢNG HOÀN THÀNH ĐƯA VÀO QUYẾT TOÁN</v>
          </cell>
        </row>
      </sheetData>
      <sheetData sheetId="5382">
        <row r="4">
          <cell r="A4" t="str">
            <v>BẢNG TÍNH TOÁN, ĐO BÓC KHỐI LƯỢNG HOÀN THÀNH ĐƯA VÀO QUYẾT TOÁN</v>
          </cell>
        </row>
      </sheetData>
      <sheetData sheetId="5383">
        <row r="4">
          <cell r="A4" t="str">
            <v>BẢNG TÍNH TOÁN, ĐO BÓC KHỐI LƯỢNG HOÀN THÀNH ĐƯA VÀO QUYẾT TOÁN</v>
          </cell>
        </row>
      </sheetData>
      <sheetData sheetId="5384">
        <row r="4">
          <cell r="A4" t="str">
            <v>BẢNG TÍNH TOÁN, ĐO BÓC KHỐI LƯỢNG HOÀN THÀNH ĐƯA VÀO QUYẾT TOÁN</v>
          </cell>
        </row>
      </sheetData>
      <sheetData sheetId="5385">
        <row r="4">
          <cell r="A4" t="str">
            <v>BẢNG TÍNH TOÁN, ĐO BÓC KHỐI LƯỢNG HOÀN THÀNH ĐƯA VÀO QUYẾT TOÁN</v>
          </cell>
        </row>
      </sheetData>
      <sheetData sheetId="5386">
        <row r="4">
          <cell r="A4" t="str">
            <v>BẢNG TÍNH TOÁN, ĐO BÓC KHỐI LƯỢNG HOÀN THÀNH ĐƯA VÀO QUYẾT TOÁN</v>
          </cell>
        </row>
      </sheetData>
      <sheetData sheetId="5387">
        <row r="4">
          <cell r="A4" t="str">
            <v>BẢNG TÍNH TOÁN, ĐO BÓC KHỐI LƯỢNG HOÀN THÀNH ĐƯA VÀO QUYẾT TOÁN</v>
          </cell>
        </row>
      </sheetData>
      <sheetData sheetId="5388">
        <row r="4">
          <cell r="A4" t="str">
            <v>BẢNG TÍNH TOÁN, ĐO BÓC KHỐI LƯỢNG HOÀN THÀNH ĐƯA VÀO QUYẾT TOÁN</v>
          </cell>
        </row>
      </sheetData>
      <sheetData sheetId="5389">
        <row r="4">
          <cell r="A4" t="str">
            <v>BẢNG TÍNH TOÁN, ĐO BÓC KHỐI LƯỢNG HOÀN THÀNH ĐƯA VÀO QUYẾT TOÁN</v>
          </cell>
        </row>
      </sheetData>
      <sheetData sheetId="5390">
        <row r="4">
          <cell r="A4" t="str">
            <v>BẢNG TÍNH TOÁN, ĐO BÓC KHỐI LƯỢNG HOÀN THÀNH ĐƯA VÀO QUYẾT TOÁN</v>
          </cell>
        </row>
      </sheetData>
      <sheetData sheetId="5391">
        <row r="4">
          <cell r="A4" t="str">
            <v>BẢNG TÍNH TOÁN, ĐO BÓC KHỐI LƯỢNG HOÀN THÀNH ĐƯA VÀO QUYẾT TOÁN</v>
          </cell>
        </row>
      </sheetData>
      <sheetData sheetId="5392">
        <row r="4">
          <cell r="A4" t="str">
            <v>BẢNG TÍNH TOÁN, ĐO BÓC KHỐI LƯỢNG HOÀN THÀNH ĐƯA VÀO QUYẾT TOÁN</v>
          </cell>
        </row>
      </sheetData>
      <sheetData sheetId="5393">
        <row r="4">
          <cell r="A4" t="str">
            <v>BẢNG TÍNH TOÁN, ĐO BÓC KHỐI LƯỢNG HOÀN THÀNH ĐƯA VÀO QUYẾT TOÁN</v>
          </cell>
        </row>
      </sheetData>
      <sheetData sheetId="5394">
        <row r="4">
          <cell r="A4" t="str">
            <v>BẢNG TÍNH TOÁN, ĐO BÓC KHỐI LƯỢNG HOÀN THÀNH ĐƯA VÀO QUYẾT TOÁN</v>
          </cell>
        </row>
      </sheetData>
      <sheetData sheetId="5395">
        <row r="4">
          <cell r="A4" t="str">
            <v>BẢNG TÍNH TOÁN, ĐO BÓC KHỐI LƯỢNG HOÀN THÀNH ĐƯA VÀO QUYẾT TOÁN</v>
          </cell>
        </row>
      </sheetData>
      <sheetData sheetId="5396">
        <row r="4">
          <cell r="A4" t="str">
            <v>BẢNG TÍNH TOÁN, ĐO BÓC KHỐI LƯỢNG HOÀN THÀNH ĐƯA VÀO QUYẾT TOÁN</v>
          </cell>
        </row>
      </sheetData>
      <sheetData sheetId="5397">
        <row r="4">
          <cell r="A4" t="str">
            <v>BẢNG TÍNH TOÁN, ĐO BÓC KHỐI LƯỢNG HOÀN THÀNH ĐƯA VÀO QUYẾT TOÁN</v>
          </cell>
        </row>
      </sheetData>
      <sheetData sheetId="5398">
        <row r="4">
          <cell r="A4" t="str">
            <v>BẢNG TÍNH TOÁN, ĐO BÓC KHỐI LƯỢNG HOÀN THÀNH ĐƯA VÀO QUYẾT TOÁN</v>
          </cell>
        </row>
      </sheetData>
      <sheetData sheetId="5399">
        <row r="4">
          <cell r="A4" t="str">
            <v>BẢNG TÍNH TOÁN, ĐO BÓC KHỐI LƯỢNG HOÀN THÀNH ĐƯA VÀO QUYẾT TOÁN</v>
          </cell>
        </row>
      </sheetData>
      <sheetData sheetId="5400">
        <row r="4">
          <cell r="A4" t="str">
            <v>BẢNG TÍNH TOÁN, ĐO BÓC KHỐI LƯỢNG HOÀN THÀNH ĐƯA VÀO QUYẾT TOÁN</v>
          </cell>
        </row>
      </sheetData>
      <sheetData sheetId="5401">
        <row r="4">
          <cell r="A4" t="str">
            <v>BẢNG TÍNH TOÁN, ĐO BÓC KHỐI LƯỢNG HOÀN THÀNH ĐƯA VÀO QUYẾT TOÁN</v>
          </cell>
        </row>
      </sheetData>
      <sheetData sheetId="5402">
        <row r="4">
          <cell r="A4" t="str">
            <v>BẢNG TÍNH TOÁN, ĐO BÓC KHỐI LƯỢNG HOÀN THÀNH ĐƯA VÀO QUYẾT TOÁN</v>
          </cell>
        </row>
      </sheetData>
      <sheetData sheetId="5403">
        <row r="4">
          <cell r="A4" t="str">
            <v>BẢNG TÍNH TOÁN, ĐO BÓC KHỐI LƯỢNG HOÀN THÀNH ĐƯA VÀO QUYẾT TOÁN</v>
          </cell>
        </row>
      </sheetData>
      <sheetData sheetId="5404">
        <row r="4">
          <cell r="A4" t="str">
            <v>BẢNG TÍNH TOÁN, ĐO BÓC KHỐI LƯỢNG HOÀN THÀNH ĐƯA VÀO QUYẾT TOÁN</v>
          </cell>
        </row>
      </sheetData>
      <sheetData sheetId="5405">
        <row r="4">
          <cell r="A4" t="str">
            <v>BẢNG TÍNH TOÁN, ĐO BÓC KHỐI LƯỢNG HOÀN THÀNH ĐƯA VÀO QUYẾT TOÁN</v>
          </cell>
        </row>
      </sheetData>
      <sheetData sheetId="5406">
        <row r="4">
          <cell r="A4" t="str">
            <v>BẢNG TÍNH TOÁN, ĐO BÓC KHỐI LƯỢNG HOÀN THÀNH ĐƯA VÀO QUYẾT TOÁN</v>
          </cell>
        </row>
      </sheetData>
      <sheetData sheetId="5407">
        <row r="4">
          <cell r="A4" t="str">
            <v>BẢNG TÍNH TOÁN, ĐO BÓC KHỐI LƯỢNG HOÀN THÀNH ĐƯA VÀO QUYẾT TOÁN</v>
          </cell>
        </row>
      </sheetData>
      <sheetData sheetId="5408">
        <row r="4">
          <cell r="A4" t="str">
            <v>BẢNG TÍNH TOÁN, ĐO BÓC KHỐI LƯỢNG HOÀN THÀNH ĐƯA VÀO QUYẾT TOÁN</v>
          </cell>
        </row>
      </sheetData>
      <sheetData sheetId="5409">
        <row r="4">
          <cell r="A4" t="str">
            <v>BẢNG TÍNH TOÁN, ĐO BÓC KHỐI LƯỢNG HOÀN THÀNH ĐƯA VÀO QUYẾT TOÁN</v>
          </cell>
        </row>
      </sheetData>
      <sheetData sheetId="5410">
        <row r="4">
          <cell r="A4" t="str">
            <v>BẢNG TÍNH TOÁN, ĐO BÓC KHỐI LƯỢNG HOÀN THÀNH ĐƯA VÀO QUYẾT TOÁN</v>
          </cell>
        </row>
      </sheetData>
      <sheetData sheetId="5411">
        <row r="4">
          <cell r="A4" t="str">
            <v>BẢNG TÍNH TOÁN, ĐO BÓC KHỐI LƯỢNG HOÀN THÀNH ĐƯA VÀO QUYẾT TOÁN</v>
          </cell>
        </row>
      </sheetData>
      <sheetData sheetId="5412">
        <row r="4">
          <cell r="A4" t="str">
            <v>BẢNG TÍNH TOÁN, ĐO BÓC KHỐI LƯỢNG HOÀN THÀNH ĐƯA VÀO QUYẾT TOÁN</v>
          </cell>
        </row>
      </sheetData>
      <sheetData sheetId="5413">
        <row r="4">
          <cell r="A4" t="str">
            <v>BẢNG TÍNH TOÁN, ĐO BÓC KHỐI LƯỢNG HOÀN THÀNH ĐƯA VÀO QUYẾT TOÁN</v>
          </cell>
        </row>
      </sheetData>
      <sheetData sheetId="5414">
        <row r="4">
          <cell r="A4" t="str">
            <v>BẢNG TÍNH TOÁN, ĐO BÓC KHỐI LƯỢNG HOÀN THÀNH ĐƯA VÀO QUYẾT TOÁN</v>
          </cell>
        </row>
      </sheetData>
      <sheetData sheetId="5415">
        <row r="4">
          <cell r="A4" t="str">
            <v>BẢNG TÍNH TOÁN, ĐO BÓC KHỐI LƯỢNG HOÀN THÀNH ĐƯA VÀO QUYẾT TOÁN</v>
          </cell>
        </row>
      </sheetData>
      <sheetData sheetId="5416">
        <row r="4">
          <cell r="A4" t="str">
            <v>BẢNG TÍNH TOÁN, ĐO BÓC KHỐI LƯỢNG HOÀN THÀNH ĐƯA VÀO QUYẾT TOÁN</v>
          </cell>
        </row>
      </sheetData>
      <sheetData sheetId="5417">
        <row r="4">
          <cell r="A4" t="str">
            <v>BẢNG TÍNH TOÁN, ĐO BÓC KHỐI LƯỢNG HOÀN THÀNH ĐƯA VÀO QUYẾT TOÁN</v>
          </cell>
        </row>
      </sheetData>
      <sheetData sheetId="5418">
        <row r="4">
          <cell r="A4" t="str">
            <v>BẢNG TÍNH TOÁN, ĐO BÓC KHỐI LƯỢNG HOÀN THÀNH ĐƯA VÀO QUYẾT TOÁN</v>
          </cell>
        </row>
      </sheetData>
      <sheetData sheetId="5419">
        <row r="4">
          <cell r="A4" t="str">
            <v>BẢNG TÍNH TOÁN, ĐO BÓC KHỐI LƯỢNG HOÀN THÀNH ĐƯA VÀO QUYẾT TOÁN</v>
          </cell>
        </row>
      </sheetData>
      <sheetData sheetId="5420">
        <row r="4">
          <cell r="A4" t="str">
            <v>BẢNG TÍNH TOÁN, ĐO BÓC KHỐI LƯỢNG HOÀN THÀNH ĐƯA VÀO QUYẾT TOÁN</v>
          </cell>
        </row>
      </sheetData>
      <sheetData sheetId="5421">
        <row r="4">
          <cell r="A4" t="str">
            <v>BẢNG TÍNH TOÁN, ĐO BÓC KHỐI LƯỢNG HOÀN THÀNH ĐƯA VÀO QUYẾT TOÁN</v>
          </cell>
        </row>
      </sheetData>
      <sheetData sheetId="5422">
        <row r="4">
          <cell r="A4" t="str">
            <v>BẢNG TÍNH TOÁN, ĐO BÓC KHỐI LƯỢNG HOÀN THÀNH ĐƯA VÀO QUYẾT TOÁN</v>
          </cell>
        </row>
      </sheetData>
      <sheetData sheetId="5423">
        <row r="4">
          <cell r="A4" t="str">
            <v>BẢNG TÍNH TOÁN, ĐO BÓC KHỐI LƯỢNG HOÀN THÀNH ĐƯA VÀO QUYẾT TOÁN</v>
          </cell>
        </row>
      </sheetData>
      <sheetData sheetId="5424">
        <row r="4">
          <cell r="A4" t="str">
            <v>BẢNG TÍNH TOÁN, ĐO BÓC KHỐI LƯỢNG HOÀN THÀNH ĐƯA VÀO QUYẾT TOÁN</v>
          </cell>
        </row>
      </sheetData>
      <sheetData sheetId="5425">
        <row r="4">
          <cell r="A4" t="str">
            <v>BẢNG TÍNH TOÁN, ĐO BÓC KHỐI LƯỢNG HOÀN THÀNH ĐƯA VÀO QUYẾT TOÁN</v>
          </cell>
        </row>
      </sheetData>
      <sheetData sheetId="5426">
        <row r="4">
          <cell r="A4" t="str">
            <v>BẢNG TÍNH TOÁN, ĐO BÓC KHỐI LƯỢNG HOÀN THÀNH ĐƯA VÀO QUYẾT TOÁN</v>
          </cell>
        </row>
      </sheetData>
      <sheetData sheetId="5427">
        <row r="4">
          <cell r="A4" t="str">
            <v>BẢNG TÍNH TOÁN, ĐO BÓC KHỐI LƯỢNG HOÀN THÀNH ĐƯA VÀO QUYẾT TOÁN</v>
          </cell>
        </row>
      </sheetData>
      <sheetData sheetId="5428">
        <row r="4">
          <cell r="A4" t="str">
            <v>BẢNG TÍNH TOÁN, ĐO BÓC KHỐI LƯỢNG HOÀN THÀNH ĐƯA VÀO QUYẾT TOÁN</v>
          </cell>
        </row>
      </sheetData>
      <sheetData sheetId="5429">
        <row r="4">
          <cell r="A4" t="str">
            <v>BẢNG TÍNH TOÁN, ĐO BÓC KHỐI LƯỢNG HOÀN THÀNH ĐƯA VÀO QUYẾT TOÁN</v>
          </cell>
        </row>
      </sheetData>
      <sheetData sheetId="5430">
        <row r="4">
          <cell r="A4" t="str">
            <v>BẢNG TÍNH TOÁN, ĐO BÓC KHỐI LƯỢNG HOÀN THÀNH ĐƯA VÀO QUYẾT TOÁN</v>
          </cell>
        </row>
      </sheetData>
      <sheetData sheetId="5431">
        <row r="4">
          <cell r="A4" t="str">
            <v>BẢNG TÍNH TOÁN, ĐO BÓC KHỐI LƯỢNG HOÀN THÀNH ĐƯA VÀO QUYẾT TOÁN</v>
          </cell>
        </row>
      </sheetData>
      <sheetData sheetId="5432">
        <row r="4">
          <cell r="A4" t="str">
            <v>BẢNG TÍNH TOÁN, ĐO BÓC KHỐI LƯỢNG HOÀN THÀNH ĐƯA VÀO QUYẾT TOÁN</v>
          </cell>
        </row>
      </sheetData>
      <sheetData sheetId="5433">
        <row r="4">
          <cell r="A4" t="str">
            <v>BẢNG TÍNH TOÁN, ĐO BÓC KHỐI LƯỢNG HOÀN THÀNH ĐƯA VÀO QUYẾT TOÁN</v>
          </cell>
        </row>
      </sheetData>
      <sheetData sheetId="5434">
        <row r="4">
          <cell r="A4" t="str">
            <v>BẢNG TÍNH TOÁN, ĐO BÓC KHỐI LƯỢNG HOÀN THÀNH ĐƯA VÀO QUYẾT TOÁN</v>
          </cell>
        </row>
      </sheetData>
      <sheetData sheetId="5435">
        <row r="4">
          <cell r="A4" t="str">
            <v>BẢNG TÍNH TOÁN, ĐO BÓC KHỐI LƯỢNG HOÀN THÀNH ĐƯA VÀO QUYẾT TOÁN</v>
          </cell>
        </row>
      </sheetData>
      <sheetData sheetId="5436">
        <row r="4">
          <cell r="A4" t="str">
            <v>BẢNG TÍNH TOÁN, ĐO BÓC KHỐI LƯỢNG HOÀN THÀNH ĐƯA VÀO QUYẾT TOÁN</v>
          </cell>
        </row>
      </sheetData>
      <sheetData sheetId="5437">
        <row r="4">
          <cell r="A4" t="str">
            <v>BẢNG TÍNH TOÁN, ĐO BÓC KHỐI LƯỢNG HOÀN THÀNH ĐƯA VÀO QUYẾT TOÁN</v>
          </cell>
        </row>
      </sheetData>
      <sheetData sheetId="5438">
        <row r="4">
          <cell r="A4" t="str">
            <v>BẢNG TÍNH TOÁN, ĐO BÓC KHỐI LƯỢNG HOÀN THÀNH ĐƯA VÀO QUYẾT TOÁN</v>
          </cell>
        </row>
      </sheetData>
      <sheetData sheetId="5439">
        <row r="4">
          <cell r="A4" t="str">
            <v>BẢNG TÍNH TOÁN, ĐO BÓC KHỐI LƯỢNG HOÀN THÀNH ĐƯA VÀO QUYẾT TOÁN</v>
          </cell>
        </row>
      </sheetData>
      <sheetData sheetId="5440">
        <row r="4">
          <cell r="A4" t="str">
            <v>BẢNG TÍNH TOÁN, ĐO BÓC KHỐI LƯỢNG HOÀN THÀNH ĐƯA VÀO QUYẾT TOÁN</v>
          </cell>
        </row>
      </sheetData>
      <sheetData sheetId="5441">
        <row r="4">
          <cell r="A4" t="str">
            <v>BẢNG TÍNH TOÁN, ĐO BÓC KHỐI LƯỢNG HOÀN THÀNH ĐƯA VÀO QUYẾT TOÁN</v>
          </cell>
        </row>
      </sheetData>
      <sheetData sheetId="5442">
        <row r="4">
          <cell r="A4" t="str">
            <v>BẢNG TÍNH TOÁN, ĐO BÓC KHỐI LƯỢNG HOÀN THÀNH ĐƯA VÀO QUYẾT TOÁN</v>
          </cell>
        </row>
      </sheetData>
      <sheetData sheetId="5443">
        <row r="4">
          <cell r="A4" t="str">
            <v>BẢNG TÍNH TOÁN, ĐO BÓC KHỐI LƯỢNG HOÀN THÀNH ĐƯA VÀO QUYẾT TOÁN</v>
          </cell>
        </row>
      </sheetData>
      <sheetData sheetId="5444">
        <row r="4">
          <cell r="A4" t="str">
            <v>BẢNG TÍNH TOÁN, ĐO BÓC KHỐI LƯỢNG HOÀN THÀNH ĐƯA VÀO QUYẾT TOÁN</v>
          </cell>
        </row>
      </sheetData>
      <sheetData sheetId="5445">
        <row r="4">
          <cell r="A4" t="str">
            <v>BẢNG TÍNH TOÁN, ĐO BÓC KHỐI LƯỢNG HOÀN THÀNH ĐƯA VÀO QUYẾT TOÁN</v>
          </cell>
        </row>
      </sheetData>
      <sheetData sheetId="5446">
        <row r="4">
          <cell r="A4" t="str">
            <v>BẢNG TÍNH TOÁN, ĐO BÓC KHỐI LƯỢNG HOÀN THÀNH ĐƯA VÀO QUYẾT TOÁN</v>
          </cell>
        </row>
      </sheetData>
      <sheetData sheetId="5447">
        <row r="4">
          <cell r="A4" t="str">
            <v>BẢNG TÍNH TOÁN, ĐO BÓC KHỐI LƯỢNG HOÀN THÀNH ĐƯA VÀO QUYẾT TOÁN</v>
          </cell>
        </row>
      </sheetData>
      <sheetData sheetId="5448">
        <row r="4">
          <cell r="A4" t="str">
            <v>BẢNG TÍNH TOÁN, ĐO BÓC KHỐI LƯỢNG HOÀN THÀNH ĐƯA VÀO QUYẾT TOÁN</v>
          </cell>
        </row>
      </sheetData>
      <sheetData sheetId="5449">
        <row r="4">
          <cell r="A4" t="str">
            <v>BẢNG TÍNH TOÁN, ĐO BÓC KHỐI LƯỢNG HOÀN THÀNH ĐƯA VÀO QUYẾT TOÁN</v>
          </cell>
        </row>
      </sheetData>
      <sheetData sheetId="5450">
        <row r="4">
          <cell r="A4" t="str">
            <v>BẢNG TÍNH TOÁN, ĐO BÓC KHỐI LƯỢNG HOÀN THÀNH ĐƯA VÀO QUYẾT TOÁN</v>
          </cell>
        </row>
      </sheetData>
      <sheetData sheetId="5451">
        <row r="4">
          <cell r="A4" t="str">
            <v>BẢNG TÍNH TOÁN, ĐO BÓC KHỐI LƯỢNG HOÀN THÀNH ĐƯA VÀO QUYẾT TOÁN</v>
          </cell>
        </row>
      </sheetData>
      <sheetData sheetId="5452">
        <row r="4">
          <cell r="A4" t="str">
            <v>BẢNG TÍNH TOÁN, ĐO BÓC KHỐI LƯỢNG HOÀN THÀNH ĐƯA VÀO QUYẾT TOÁN</v>
          </cell>
        </row>
      </sheetData>
      <sheetData sheetId="5453">
        <row r="4">
          <cell r="A4" t="str">
            <v>BẢNG TÍNH TOÁN, ĐO BÓC KHỐI LƯỢNG HOÀN THÀNH ĐƯA VÀO QUYẾT TOÁN</v>
          </cell>
        </row>
      </sheetData>
      <sheetData sheetId="5454">
        <row r="4">
          <cell r="A4" t="str">
            <v>BẢNG TÍNH TOÁN, ĐO BÓC KHỐI LƯỢNG HOÀN THÀNH ĐƯA VÀO QUYẾT TOÁN</v>
          </cell>
        </row>
      </sheetData>
      <sheetData sheetId="5455">
        <row r="4">
          <cell r="A4" t="str">
            <v>BẢNG TÍNH TOÁN, ĐO BÓC KHỐI LƯỢNG HOÀN THÀNH ĐƯA VÀO QUYẾT TOÁN</v>
          </cell>
        </row>
      </sheetData>
      <sheetData sheetId="5456">
        <row r="4">
          <cell r="A4" t="str">
            <v>BẢNG TÍNH TOÁN, ĐO BÓC KHỐI LƯỢNG HOÀN THÀNH ĐƯA VÀO QUYẾT TOÁN</v>
          </cell>
        </row>
      </sheetData>
      <sheetData sheetId="5457">
        <row r="4">
          <cell r="A4" t="str">
            <v>BẢNG TÍNH TOÁN, ĐO BÓC KHỐI LƯỢNG HOÀN THÀNH ĐƯA VÀO QUYẾT TOÁN</v>
          </cell>
        </row>
      </sheetData>
      <sheetData sheetId="5458">
        <row r="4">
          <cell r="A4" t="str">
            <v>BẢNG TÍNH TOÁN, ĐO BÓC KHỐI LƯỢNG HOÀN THÀNH ĐƯA VÀO QUYẾT TOÁN</v>
          </cell>
        </row>
      </sheetData>
      <sheetData sheetId="5459">
        <row r="4">
          <cell r="A4" t="str">
            <v>BẢNG TÍNH TOÁN, ĐO BÓC KHỐI LƯỢNG HOÀN THÀNH ĐƯA VÀO QUYẾT TOÁN</v>
          </cell>
        </row>
      </sheetData>
      <sheetData sheetId="5460">
        <row r="4">
          <cell r="A4" t="str">
            <v>BẢNG TÍNH TOÁN, ĐO BÓC KHỐI LƯỢNG HOÀN THÀNH ĐƯA VÀO QUYẾT TOÁN</v>
          </cell>
        </row>
      </sheetData>
      <sheetData sheetId="5461">
        <row r="4">
          <cell r="A4" t="str">
            <v>BẢNG TÍNH TOÁN, ĐO BÓC KHỐI LƯỢNG HOÀN THÀNH ĐƯA VÀO QUYẾT TOÁN</v>
          </cell>
        </row>
      </sheetData>
      <sheetData sheetId="5462">
        <row r="4">
          <cell r="A4" t="str">
            <v>BẢNG TÍNH TOÁN, ĐO BÓC KHỐI LƯỢNG HOÀN THÀNH ĐƯA VÀO QUYẾT TOÁN</v>
          </cell>
        </row>
      </sheetData>
      <sheetData sheetId="5463">
        <row r="4">
          <cell r="A4" t="str">
            <v>BẢNG TÍNH TOÁN, ĐO BÓC KHỐI LƯỢNG HOÀN THÀNH ĐƯA VÀO QUYẾT TOÁN</v>
          </cell>
        </row>
      </sheetData>
      <sheetData sheetId="5464">
        <row r="4">
          <cell r="A4" t="str">
            <v>BẢNG TÍNH TOÁN, ĐO BÓC KHỐI LƯỢNG HOÀN THÀNH ĐƯA VÀO QUYẾT TOÁN</v>
          </cell>
        </row>
      </sheetData>
      <sheetData sheetId="5465">
        <row r="4">
          <cell r="A4" t="str">
            <v>BẢNG TÍNH TOÁN, ĐO BÓC KHỐI LƯỢNG HOÀN THÀNH ĐƯA VÀO QUYẾT TOÁN</v>
          </cell>
        </row>
      </sheetData>
      <sheetData sheetId="5466">
        <row r="4">
          <cell r="A4" t="str">
            <v>BẢNG TÍNH TOÁN, ĐO BÓC KHỐI LƯỢNG HOÀN THÀNH ĐƯA VÀO QUYẾT TOÁN</v>
          </cell>
        </row>
      </sheetData>
      <sheetData sheetId="5467">
        <row r="4">
          <cell r="A4" t="str">
            <v>BẢNG TÍNH TOÁN, ĐO BÓC KHỐI LƯỢNG HOÀN THÀNH ĐƯA VÀO QUYẾT TOÁN</v>
          </cell>
        </row>
      </sheetData>
      <sheetData sheetId="5468">
        <row r="4">
          <cell r="A4" t="str">
            <v>BẢNG TÍNH TOÁN, ĐO BÓC KHỐI LƯỢNG HOÀN THÀNH ĐƯA VÀO QUYẾT TOÁN</v>
          </cell>
        </row>
      </sheetData>
      <sheetData sheetId="5469">
        <row r="4">
          <cell r="A4" t="str">
            <v>BẢNG TÍNH TOÁN, ĐO BÓC KHỐI LƯỢNG HOÀN THÀNH ĐƯA VÀO QUYẾT TOÁN</v>
          </cell>
        </row>
      </sheetData>
      <sheetData sheetId="5470">
        <row r="4">
          <cell r="A4" t="str">
            <v>BẢNG TÍNH TOÁN, ĐO BÓC KHỐI LƯỢNG HOÀN THÀNH ĐƯA VÀO QUYẾT TOÁN</v>
          </cell>
        </row>
      </sheetData>
      <sheetData sheetId="5471">
        <row r="4">
          <cell r="A4" t="str">
            <v>BẢNG TÍNH TOÁN, ĐO BÓC KHỐI LƯỢNG HOÀN THÀNH ĐƯA VÀO QUYẾT TOÁN</v>
          </cell>
        </row>
      </sheetData>
      <sheetData sheetId="5472">
        <row r="4">
          <cell r="A4" t="str">
            <v>BẢNG TÍNH TOÁN, ĐO BÓC KHỐI LƯỢNG HOÀN THÀNH ĐƯA VÀO QUYẾT TOÁN</v>
          </cell>
        </row>
      </sheetData>
      <sheetData sheetId="5473">
        <row r="4">
          <cell r="A4" t="str">
            <v>BẢNG TÍNH TOÁN, ĐO BÓC KHỐI LƯỢNG HOÀN THÀNH ĐƯA VÀO QUYẾT TOÁN</v>
          </cell>
        </row>
      </sheetData>
      <sheetData sheetId="5474">
        <row r="4">
          <cell r="A4" t="str">
            <v>BẢNG TÍNH TOÁN, ĐO BÓC KHỐI LƯỢNG HOÀN THÀNH ĐƯA VÀO QUYẾT TOÁN</v>
          </cell>
        </row>
      </sheetData>
      <sheetData sheetId="5475">
        <row r="4">
          <cell r="A4" t="str">
            <v>BẢNG TÍNH TOÁN, ĐO BÓC KHỐI LƯỢNG HOÀN THÀNH ĐƯA VÀO QUYẾT TOÁN</v>
          </cell>
        </row>
      </sheetData>
      <sheetData sheetId="5476">
        <row r="4">
          <cell r="A4" t="str">
            <v>BẢNG TÍNH TOÁN, ĐO BÓC KHỐI LƯỢNG HOÀN THÀNH ĐƯA VÀO QUYẾT TOÁN</v>
          </cell>
        </row>
      </sheetData>
      <sheetData sheetId="5477">
        <row r="4">
          <cell r="A4" t="str">
            <v>BẢNG TÍNH TOÁN, ĐO BÓC KHỐI LƯỢNG HOÀN THÀNH ĐƯA VÀO QUYẾT TOÁN</v>
          </cell>
        </row>
      </sheetData>
      <sheetData sheetId="5478">
        <row r="4">
          <cell r="A4" t="str">
            <v>BẢNG TÍNH TOÁN, ĐO BÓC KHỐI LƯỢNG HOÀN THÀNH ĐƯA VÀO QUYẾT TOÁN</v>
          </cell>
        </row>
      </sheetData>
      <sheetData sheetId="5479">
        <row r="4">
          <cell r="A4" t="str">
            <v>BẢNG TÍNH TOÁN, ĐO BÓC KHỐI LƯỢNG HOÀN THÀNH ĐƯA VÀO QUYẾT TOÁN</v>
          </cell>
        </row>
      </sheetData>
      <sheetData sheetId="5480">
        <row r="4">
          <cell r="A4" t="str">
            <v>BẢNG TÍNH TOÁN, ĐO BÓC KHỐI LƯỢNG HOÀN THÀNH ĐƯA VÀO QUYẾT TOÁN</v>
          </cell>
        </row>
      </sheetData>
      <sheetData sheetId="5481">
        <row r="4">
          <cell r="A4" t="str">
            <v>BẢNG TÍNH TOÁN, ĐO BÓC KHỐI LƯỢNG HOÀN THÀNH ĐƯA VÀO QUYẾT TOÁN</v>
          </cell>
        </row>
      </sheetData>
      <sheetData sheetId="5482">
        <row r="4">
          <cell r="A4" t="str">
            <v>BẢNG TÍNH TOÁN, ĐO BÓC KHỐI LƯỢNG HOÀN THÀNH ĐƯA VÀO QUYẾT TOÁN</v>
          </cell>
        </row>
      </sheetData>
      <sheetData sheetId="5483">
        <row r="4">
          <cell r="A4" t="str">
            <v>BẢNG TÍNH TOÁN, ĐO BÓC KHỐI LƯỢNG HOÀN THÀNH ĐƯA VÀO QUYẾT TOÁN</v>
          </cell>
        </row>
      </sheetData>
      <sheetData sheetId="5484">
        <row r="4">
          <cell r="A4" t="str">
            <v>BẢNG TÍNH TOÁN, ĐO BÓC KHỐI LƯỢNG HOÀN THÀNH ĐƯA VÀO QUYẾT TOÁN</v>
          </cell>
        </row>
      </sheetData>
      <sheetData sheetId="5485">
        <row r="4">
          <cell r="A4" t="str">
            <v>BẢNG TÍNH TOÁN, ĐO BÓC KHỐI LƯỢNG HOÀN THÀNH ĐƯA VÀO QUYẾT TOÁN</v>
          </cell>
        </row>
      </sheetData>
      <sheetData sheetId="5486">
        <row r="4">
          <cell r="A4" t="str">
            <v>BẢNG TÍNH TOÁN, ĐO BÓC KHỐI LƯỢNG HOÀN THÀNH ĐƯA VÀO QUYẾT TOÁN</v>
          </cell>
        </row>
      </sheetData>
      <sheetData sheetId="5487">
        <row r="4">
          <cell r="A4" t="str">
            <v>BẢNG TÍNH TOÁN, ĐO BÓC KHỐI LƯỢNG HOÀN THÀNH ĐƯA VÀO QUYẾT TOÁN</v>
          </cell>
        </row>
      </sheetData>
      <sheetData sheetId="5488">
        <row r="4">
          <cell r="A4" t="str">
            <v>BẢNG TÍNH TOÁN, ĐO BÓC KHỐI LƯỢNG HOÀN THÀNH ĐƯA VÀO QUYẾT TOÁN</v>
          </cell>
        </row>
      </sheetData>
      <sheetData sheetId="5489">
        <row r="4">
          <cell r="A4" t="str">
            <v>BẢNG TÍNH TOÁN, ĐO BÓC KHỐI LƯỢNG HOÀN THÀNH ĐƯA VÀO QUYẾT TOÁN</v>
          </cell>
        </row>
      </sheetData>
      <sheetData sheetId="5490">
        <row r="4">
          <cell r="A4" t="str">
            <v>BẢNG TÍNH TOÁN, ĐO BÓC KHỐI LƯỢNG HOÀN THÀNH ĐƯA VÀO QUYẾT TOÁN</v>
          </cell>
        </row>
      </sheetData>
      <sheetData sheetId="5491">
        <row r="4">
          <cell r="A4" t="str">
            <v>BẢNG TÍNH TOÁN, ĐO BÓC KHỐI LƯỢNG HOÀN THÀNH ĐƯA VÀO QUYẾT TOÁN</v>
          </cell>
        </row>
      </sheetData>
      <sheetData sheetId="5492">
        <row r="4">
          <cell r="A4" t="str">
            <v>BẢNG TÍNH TOÁN, ĐO BÓC KHỐI LƯỢNG HOÀN THÀNH ĐƯA VÀO QUYẾT TOÁN</v>
          </cell>
        </row>
      </sheetData>
      <sheetData sheetId="5493" refreshError="1"/>
      <sheetData sheetId="5494">
        <row r="4">
          <cell r="A4" t="str">
            <v>BẢNG TÍNH TOÁN, ĐO BÓC KHỐI LƯỢNG HOÀN THÀNH ĐƯA VÀO QUYẾT TOÁN</v>
          </cell>
        </row>
      </sheetData>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ow r="4">
          <cell r="A4" t="str">
            <v>BẢNG TÍNH TOÁN, ĐO BÓC KHỐI LƯỢNG HOÀN THÀNH ĐƯA VÀO QUYẾT TOÁN</v>
          </cell>
        </row>
      </sheetData>
      <sheetData sheetId="5506" refreshError="1"/>
      <sheetData sheetId="5507" refreshError="1"/>
      <sheetData sheetId="5508" refreshError="1"/>
      <sheetData sheetId="5509">
        <row r="4">
          <cell r="A4" t="str">
            <v>BẢNG TÍNH TOÁN, ĐO BÓC KHỐI LƯỢNG HOÀN THÀNH ĐƯA VÀO QUYẾT TOÁN</v>
          </cell>
        </row>
      </sheetData>
      <sheetData sheetId="5510">
        <row r="4">
          <cell r="A4" t="str">
            <v>BẢNG TÍNH TOÁN, ĐO BÓC KHỐI LƯỢNG HOÀN THÀNH ĐƯA VÀO QUYẾT TOÁN</v>
          </cell>
        </row>
      </sheetData>
      <sheetData sheetId="5511">
        <row r="4">
          <cell r="A4" t="str">
            <v>BẢNG TÍNH TOÁN, ĐO BÓC KHỐI LƯỢNG HOÀN THÀNH ĐƯA VÀO QUYẾT TOÁN</v>
          </cell>
        </row>
      </sheetData>
      <sheetData sheetId="5512">
        <row r="4">
          <cell r="A4" t="str">
            <v>BẢNG TÍNH TOÁN, ĐO BÓC KHỐI LƯỢNG HOÀN THÀNH ĐƯA VÀO QUYẾT TOÁN</v>
          </cell>
        </row>
      </sheetData>
      <sheetData sheetId="5513">
        <row r="4">
          <cell r="A4" t="str">
            <v>BẢNG TÍNH TOÁN, ĐO BÓC KHỐI LƯỢNG HOÀN THÀNH ĐƯA VÀO QUYẾT TOÁN</v>
          </cell>
        </row>
      </sheetData>
      <sheetData sheetId="5514">
        <row r="4">
          <cell r="A4" t="str">
            <v>BẢNG TÍNH TOÁN, ĐO BÓC KHỐI LƯỢNG HOÀN THÀNH ĐƯA VÀO QUYẾT TOÁN</v>
          </cell>
        </row>
      </sheetData>
      <sheetData sheetId="5515">
        <row r="4">
          <cell r="A4" t="str">
            <v>BẢNG TÍNH TOÁN, ĐO BÓC KHỐI LƯỢNG HOÀN THÀNH ĐƯA VÀO QUYẾT TOÁN</v>
          </cell>
        </row>
      </sheetData>
      <sheetData sheetId="5516">
        <row r="4">
          <cell r="A4" t="str">
            <v>BẢNG TÍNH TOÁN, ĐO BÓC KHỐI LƯỢNG HOÀN THÀNH ĐƯA VÀO QUYẾT TOÁN</v>
          </cell>
        </row>
      </sheetData>
      <sheetData sheetId="5517">
        <row r="4">
          <cell r="A4" t="str">
            <v>BẢNG TÍNH TOÁN, ĐO BÓC KHỐI LƯỢNG HOÀN THÀNH ĐƯA VÀO QUYẾT TOÁN</v>
          </cell>
        </row>
      </sheetData>
      <sheetData sheetId="5518">
        <row r="4">
          <cell r="A4" t="str">
            <v>BẢNG TÍNH TOÁN, ĐO BÓC KHỐI LƯỢNG HOÀN THÀNH ĐƯA VÀO QUYẾT TOÁN</v>
          </cell>
        </row>
      </sheetData>
      <sheetData sheetId="5519">
        <row r="4">
          <cell r="A4" t="str">
            <v>BẢNG TÍNH TOÁN, ĐO BÓC KHỐI LƯỢNG HOÀN THÀNH ĐƯA VÀO QUYẾT TOÁN</v>
          </cell>
        </row>
      </sheetData>
      <sheetData sheetId="5520">
        <row r="4">
          <cell r="A4" t="str">
            <v>BẢNG TÍNH TOÁN, ĐO BÓC KHỐI LƯỢNG HOÀN THÀNH ĐƯA VÀO QUYẾT TOÁN</v>
          </cell>
        </row>
      </sheetData>
      <sheetData sheetId="5521">
        <row r="4">
          <cell r="A4" t="str">
            <v>BẢNG TÍNH TOÁN, ĐO BÓC KHỐI LƯỢNG HOÀN THÀNH ĐƯA VÀO QUYẾT TOÁN</v>
          </cell>
        </row>
      </sheetData>
      <sheetData sheetId="5522">
        <row r="4">
          <cell r="A4" t="str">
            <v>BẢNG TÍNH TOÁN, ĐO BÓC KHỐI LƯỢNG HOÀN THÀNH ĐƯA VÀO QUYẾT TOÁN</v>
          </cell>
        </row>
      </sheetData>
      <sheetData sheetId="5523">
        <row r="4">
          <cell r="A4" t="str">
            <v>BẢNG TÍNH TOÁN, ĐO BÓC KHỐI LƯỢNG HOÀN THÀNH ĐƯA VÀO QUYẾT TOÁN</v>
          </cell>
        </row>
      </sheetData>
      <sheetData sheetId="5524">
        <row r="4">
          <cell r="A4" t="str">
            <v>BẢNG TÍNH TOÁN, ĐO BÓC KHỐI LƯỢNG HOÀN THÀNH ĐƯA VÀO QUYẾT TOÁN</v>
          </cell>
        </row>
      </sheetData>
      <sheetData sheetId="5525">
        <row r="4">
          <cell r="A4" t="str">
            <v>BẢNG TÍNH TOÁN, ĐO BÓC KHỐI LƯỢNG HOÀN THÀNH ĐƯA VÀO QUYẾT TOÁN</v>
          </cell>
        </row>
      </sheetData>
      <sheetData sheetId="5526">
        <row r="4">
          <cell r="A4" t="str">
            <v>BẢNG TÍNH TOÁN, ĐO BÓC KHỐI LƯỢNG HOÀN THÀNH ĐƯA VÀO QUYẾT TOÁN</v>
          </cell>
        </row>
      </sheetData>
      <sheetData sheetId="5527">
        <row r="4">
          <cell r="A4" t="str">
            <v>BẢNG TÍNH TOÁN, ĐO BÓC KHỐI LƯỢNG HOÀN THÀNH ĐƯA VÀO QUYẾT TOÁN</v>
          </cell>
        </row>
      </sheetData>
      <sheetData sheetId="5528">
        <row r="4">
          <cell r="A4" t="str">
            <v>BẢNG TÍNH TOÁN, ĐO BÓC KHỐI LƯỢNG HOÀN THÀNH ĐƯA VÀO QUYẾT TOÁN</v>
          </cell>
        </row>
      </sheetData>
      <sheetData sheetId="5529">
        <row r="4">
          <cell r="A4" t="str">
            <v>BẢNG TÍNH TOÁN, ĐO BÓC KHỐI LƯỢNG HOÀN THÀNH ĐƯA VÀO QUYẾT TOÁN</v>
          </cell>
        </row>
      </sheetData>
      <sheetData sheetId="5530">
        <row r="4">
          <cell r="A4" t="str">
            <v>BẢNG TÍNH TOÁN, ĐO BÓC KHỐI LƯỢNG HOÀN THÀNH ĐƯA VÀO QUYẾT TOÁN</v>
          </cell>
        </row>
      </sheetData>
      <sheetData sheetId="5531">
        <row r="4">
          <cell r="A4" t="str">
            <v>BẢNG TÍNH TOÁN, ĐO BÓC KHỐI LƯỢNG HOÀN THÀNH ĐƯA VÀO QUYẾT TOÁN</v>
          </cell>
        </row>
      </sheetData>
      <sheetData sheetId="5532">
        <row r="4">
          <cell r="A4" t="str">
            <v>BẢNG TÍNH TOÁN, ĐO BÓC KHỐI LƯỢNG HOÀN THÀNH ĐƯA VÀO QUYẾT TOÁN</v>
          </cell>
        </row>
      </sheetData>
      <sheetData sheetId="5533">
        <row r="4">
          <cell r="A4" t="str">
            <v>BẢNG TÍNH TOÁN, ĐO BÓC KHỐI LƯỢNG HOÀN THÀNH ĐƯA VÀO QUYẾT TOÁN</v>
          </cell>
        </row>
      </sheetData>
      <sheetData sheetId="5534">
        <row r="4">
          <cell r="A4" t="str">
            <v>BẢNG TÍNH TOÁN, ĐO BÓC KHỐI LƯỢNG HOÀN THÀNH ĐƯA VÀO QUYẾT TOÁN</v>
          </cell>
        </row>
      </sheetData>
      <sheetData sheetId="5535">
        <row r="4">
          <cell r="A4" t="str">
            <v>BẢNG TÍNH TOÁN, ĐO BÓC KHỐI LƯỢNG HOÀN THÀNH ĐƯA VÀO QUYẾT TOÁN</v>
          </cell>
        </row>
      </sheetData>
      <sheetData sheetId="5536">
        <row r="4">
          <cell r="A4" t="str">
            <v>BẢNG TÍNH TOÁN, ĐO BÓC KHỐI LƯỢNG HOÀN THÀNH ĐƯA VÀO QUYẾT TOÁN</v>
          </cell>
        </row>
      </sheetData>
      <sheetData sheetId="5537">
        <row r="4">
          <cell r="A4" t="str">
            <v>BẢNG TÍNH TOÁN, ĐO BÓC KHỐI LƯỢNG HOÀN THÀNH ĐƯA VÀO QUYẾT TOÁN</v>
          </cell>
        </row>
      </sheetData>
      <sheetData sheetId="5538">
        <row r="4">
          <cell r="A4" t="str">
            <v>BẢNG TÍNH TOÁN, ĐO BÓC KHỐI LƯỢNG HOÀN THÀNH ĐƯA VÀO QUYẾT TOÁN</v>
          </cell>
        </row>
      </sheetData>
      <sheetData sheetId="5539">
        <row r="4">
          <cell r="A4" t="str">
            <v>BẢNG TÍNH TOÁN, ĐO BÓC KHỐI LƯỢNG HOÀN THÀNH ĐƯA VÀO QUYẾT TOÁN</v>
          </cell>
        </row>
      </sheetData>
      <sheetData sheetId="5540">
        <row r="4">
          <cell r="A4" t="str">
            <v>BẢNG TÍNH TOÁN, ĐO BÓC KHỐI LƯỢNG HOÀN THÀNH ĐƯA VÀO QUYẾT TOÁN</v>
          </cell>
        </row>
      </sheetData>
      <sheetData sheetId="5541">
        <row r="4">
          <cell r="A4" t="str">
            <v>BẢNG TÍNH TOÁN, ĐO BÓC KHỐI LƯỢNG HOÀN THÀNH ĐƯA VÀO QUYẾT TOÁN</v>
          </cell>
        </row>
      </sheetData>
      <sheetData sheetId="5542">
        <row r="4">
          <cell r="A4" t="str">
            <v>BẢNG TÍNH TOÁN, ĐO BÓC KHỐI LƯỢNG HOÀN THÀNH ĐƯA VÀO QUYẾT TOÁN</v>
          </cell>
        </row>
      </sheetData>
      <sheetData sheetId="5543">
        <row r="4">
          <cell r="A4" t="str">
            <v>BẢNG TÍNH TOÁN, ĐO BÓC KHỐI LƯỢNG HOÀN THÀNH ĐƯA VÀO QUYẾT TOÁN</v>
          </cell>
        </row>
      </sheetData>
      <sheetData sheetId="5544">
        <row r="4">
          <cell r="A4" t="str">
            <v>BẢNG TÍNH TOÁN, ĐO BÓC KHỐI LƯỢNG HOÀN THÀNH ĐƯA VÀO QUYẾT TOÁN</v>
          </cell>
        </row>
      </sheetData>
      <sheetData sheetId="5545">
        <row r="4">
          <cell r="A4" t="str">
            <v>BẢNG TÍNH TOÁN, ĐO BÓC KHỐI LƯỢNG HOÀN THÀNH ĐƯA VÀO QUYẾT TOÁN</v>
          </cell>
        </row>
      </sheetData>
      <sheetData sheetId="5546">
        <row r="4">
          <cell r="A4" t="str">
            <v>BẢNG TÍNH TOÁN, ĐO BÓC KHỐI LƯỢNG HOÀN THÀNH ĐƯA VÀO QUYẾT TOÁN</v>
          </cell>
        </row>
      </sheetData>
      <sheetData sheetId="5547">
        <row r="4">
          <cell r="A4" t="str">
            <v>BẢNG TÍNH TOÁN, ĐO BÓC KHỐI LƯỢNG HOÀN THÀNH ĐƯA VÀO QUYẾT TOÁN</v>
          </cell>
        </row>
      </sheetData>
      <sheetData sheetId="5548">
        <row r="4">
          <cell r="A4" t="str">
            <v>BẢNG TÍNH TOÁN, ĐO BÓC KHỐI LƯỢNG HOÀN THÀNH ĐƯA VÀO QUYẾT TOÁN</v>
          </cell>
        </row>
      </sheetData>
      <sheetData sheetId="5549">
        <row r="4">
          <cell r="A4" t="str">
            <v>BẢNG TÍNH TOÁN, ĐO BÓC KHỐI LƯỢNG HOÀN THÀNH ĐƯA VÀO QUYẾT TOÁN</v>
          </cell>
        </row>
      </sheetData>
      <sheetData sheetId="5550">
        <row r="4">
          <cell r="A4" t="str">
            <v>BẢNG TÍNH TOÁN, ĐO BÓC KHỐI LƯỢNG HOÀN THÀNH ĐƯA VÀO QUYẾT TOÁN</v>
          </cell>
        </row>
      </sheetData>
      <sheetData sheetId="5551">
        <row r="4">
          <cell r="A4" t="str">
            <v>BẢNG TÍNH TOÁN, ĐO BÓC KHỐI LƯỢNG HOÀN THÀNH ĐƯA VÀO QUYẾT TOÁN</v>
          </cell>
        </row>
      </sheetData>
      <sheetData sheetId="5552">
        <row r="4">
          <cell r="A4" t="str">
            <v>BẢNG TÍNH TOÁN, ĐO BÓC KHỐI LƯỢNG HOÀN THÀNH ĐƯA VÀO QUYẾT TOÁN</v>
          </cell>
        </row>
      </sheetData>
      <sheetData sheetId="5553">
        <row r="4">
          <cell r="A4" t="str">
            <v>BẢNG TÍNH TOÁN, ĐO BÓC KHỐI LƯỢNG HOÀN THÀNH ĐƯA VÀO QUYẾT TOÁN</v>
          </cell>
        </row>
      </sheetData>
      <sheetData sheetId="5554">
        <row r="4">
          <cell r="A4" t="str">
            <v>BẢNG TÍNH TOÁN, ĐO BÓC KHỐI LƯỢNG HOÀN THÀNH ĐƯA VÀO QUYẾT TOÁN</v>
          </cell>
        </row>
      </sheetData>
      <sheetData sheetId="5555">
        <row r="4">
          <cell r="A4" t="str">
            <v>BẢNG TÍNH TOÁN, ĐO BÓC KHỐI LƯỢNG HOÀN THÀNH ĐƯA VÀO QUYẾT TOÁN</v>
          </cell>
        </row>
      </sheetData>
      <sheetData sheetId="5556">
        <row r="4">
          <cell r="A4" t="str">
            <v>BẢNG TÍNH TOÁN, ĐO BÓC KHỐI LƯỢNG HOÀN THÀNH ĐƯA VÀO QUYẾT TOÁN</v>
          </cell>
        </row>
      </sheetData>
      <sheetData sheetId="5557">
        <row r="4">
          <cell r="A4" t="str">
            <v>BẢNG TÍNH TOÁN, ĐO BÓC KHỐI LƯỢNG HOÀN THÀNH ĐƯA VÀO QUYẾT TOÁN</v>
          </cell>
        </row>
      </sheetData>
      <sheetData sheetId="5558">
        <row r="4">
          <cell r="A4" t="str">
            <v>BẢNG TÍNH TOÁN, ĐO BÓC KHỐI LƯỢNG HOÀN THÀNH ĐƯA VÀO QUYẾT TOÁN</v>
          </cell>
        </row>
      </sheetData>
      <sheetData sheetId="5559">
        <row r="4">
          <cell r="A4" t="str">
            <v>BẢNG TÍNH TOÁN, ĐO BÓC KHỐI LƯỢNG HOÀN THÀNH ĐƯA VÀO QUYẾT TOÁN</v>
          </cell>
        </row>
      </sheetData>
      <sheetData sheetId="5560">
        <row r="4">
          <cell r="A4" t="str">
            <v>BẢNG TÍNH TOÁN, ĐO BÓC KHỐI LƯỢNG HOÀN THÀNH ĐƯA VÀO QUYẾT TOÁN</v>
          </cell>
        </row>
      </sheetData>
      <sheetData sheetId="5561">
        <row r="4">
          <cell r="A4" t="str">
            <v>BẢNG TÍNH TOÁN, ĐO BÓC KHỐI LƯỢNG HOÀN THÀNH ĐƯA VÀO QUYẾT TOÁN</v>
          </cell>
        </row>
      </sheetData>
      <sheetData sheetId="5562">
        <row r="4">
          <cell r="A4" t="str">
            <v>BẢNG TÍNH TOÁN, ĐO BÓC KHỐI LƯỢNG HOÀN THÀNH ĐƯA VÀO QUYẾT TOÁN</v>
          </cell>
        </row>
      </sheetData>
      <sheetData sheetId="5563">
        <row r="4">
          <cell r="A4" t="str">
            <v>BẢNG TÍNH TOÁN, ĐO BÓC KHỐI LƯỢNG HOÀN THÀNH ĐƯA VÀO QUYẾT TOÁN</v>
          </cell>
        </row>
      </sheetData>
      <sheetData sheetId="5564">
        <row r="4">
          <cell r="A4" t="str">
            <v>BẢNG TÍNH TOÁN, ĐO BÓC KHỐI LƯỢNG HOÀN THÀNH ĐƯA VÀO QUYẾT TOÁN</v>
          </cell>
        </row>
      </sheetData>
      <sheetData sheetId="5565">
        <row r="4">
          <cell r="A4" t="str">
            <v>BẢNG TÍNH TOÁN, ĐO BÓC KHỐI LƯỢNG HOÀN THÀNH ĐƯA VÀO QUYẾT TOÁN</v>
          </cell>
        </row>
      </sheetData>
      <sheetData sheetId="5566">
        <row r="4">
          <cell r="A4" t="str">
            <v>BẢNG TÍNH TOÁN, ĐO BÓC KHỐI LƯỢNG HOÀN THÀNH ĐƯA VÀO QUYẾT TOÁN</v>
          </cell>
        </row>
      </sheetData>
      <sheetData sheetId="5567">
        <row r="4">
          <cell r="A4" t="str">
            <v>BẢNG TÍNH TOÁN, ĐO BÓC KHỐI LƯỢNG HOÀN THÀNH ĐƯA VÀO QUYẾT TOÁN</v>
          </cell>
        </row>
      </sheetData>
      <sheetData sheetId="5568">
        <row r="4">
          <cell r="A4" t="str">
            <v>BẢNG TÍNH TOÁN, ĐO BÓC KHỐI LƯỢNG HOÀN THÀNH ĐƯA VÀO QUYẾT TOÁN</v>
          </cell>
        </row>
      </sheetData>
      <sheetData sheetId="5569">
        <row r="4">
          <cell r="A4" t="str">
            <v>BẢNG TÍNH TOÁN, ĐO BÓC KHỐI LƯỢNG HOÀN THÀNH ĐƯA VÀO QUYẾT TOÁN</v>
          </cell>
        </row>
      </sheetData>
      <sheetData sheetId="5570">
        <row r="4">
          <cell r="A4" t="str">
            <v>BẢNG TÍNH TOÁN, ĐO BÓC KHỐI LƯỢNG HOÀN THÀNH ĐƯA VÀO QUYẾT TOÁN</v>
          </cell>
        </row>
      </sheetData>
      <sheetData sheetId="5571">
        <row r="4">
          <cell r="A4" t="str">
            <v>BẢNG TÍNH TOÁN, ĐO BÓC KHỐI LƯỢNG HOÀN THÀNH ĐƯA VÀO QUYẾT TOÁN</v>
          </cell>
        </row>
      </sheetData>
      <sheetData sheetId="5572">
        <row r="4">
          <cell r="A4" t="str">
            <v>BẢNG TÍNH TOÁN, ĐO BÓC KHỐI LƯỢNG HOÀN THÀNH ĐƯA VÀO QUYẾT TOÁN</v>
          </cell>
        </row>
      </sheetData>
      <sheetData sheetId="5573">
        <row r="4">
          <cell r="A4" t="str">
            <v>BẢNG TÍNH TOÁN, ĐO BÓC KHỐI LƯỢNG HOÀN THÀNH ĐƯA VÀO QUYẾT TOÁN</v>
          </cell>
        </row>
      </sheetData>
      <sheetData sheetId="5574">
        <row r="4">
          <cell r="A4" t="str">
            <v>BẢNG TÍNH TOÁN, ĐO BÓC KHỐI LƯỢNG HOÀN THÀNH ĐƯA VÀO QUYẾT TOÁN</v>
          </cell>
        </row>
      </sheetData>
      <sheetData sheetId="5575">
        <row r="4">
          <cell r="A4" t="str">
            <v>BẢNG TÍNH TOÁN, ĐO BÓC KHỐI LƯỢNG HOÀN THÀNH ĐƯA VÀO QUYẾT TOÁN</v>
          </cell>
        </row>
      </sheetData>
      <sheetData sheetId="5576">
        <row r="4">
          <cell r="A4" t="str">
            <v>BẢNG TÍNH TOÁN, ĐO BÓC KHỐI LƯỢNG HOÀN THÀNH ĐƯA VÀO QUYẾT TOÁN</v>
          </cell>
        </row>
      </sheetData>
      <sheetData sheetId="5577">
        <row r="4">
          <cell r="A4" t="str">
            <v>BẢNG TÍNH TOÁN, ĐO BÓC KHỐI LƯỢNG HOÀN THÀNH ĐƯA VÀO QUYẾT TOÁN</v>
          </cell>
        </row>
      </sheetData>
      <sheetData sheetId="5578">
        <row r="4">
          <cell r="A4" t="str">
            <v>BẢNG TÍNH TOÁN, ĐO BÓC KHỐI LƯỢNG HOÀN THÀNH ĐƯA VÀO QUYẾT TOÁN</v>
          </cell>
        </row>
      </sheetData>
      <sheetData sheetId="5579">
        <row r="4">
          <cell r="A4" t="str">
            <v>BẢNG TÍNH TOÁN, ĐO BÓC KHỐI LƯỢNG HOÀN THÀNH ĐƯA VÀO QUYẾT TOÁN</v>
          </cell>
        </row>
      </sheetData>
      <sheetData sheetId="5580">
        <row r="4">
          <cell r="A4" t="str">
            <v>BẢNG TÍNH TOÁN, ĐO BÓC KHỐI LƯỢNG HOÀN THÀNH ĐƯA VÀO QUYẾT TOÁN</v>
          </cell>
        </row>
      </sheetData>
      <sheetData sheetId="5581">
        <row r="4">
          <cell r="A4" t="str">
            <v>BẢNG TÍNH TOÁN, ĐO BÓC KHỐI LƯỢNG HOÀN THÀNH ĐƯA VÀO QUYẾT TOÁN</v>
          </cell>
        </row>
      </sheetData>
      <sheetData sheetId="5582">
        <row r="4">
          <cell r="A4" t="str">
            <v>BẢNG TÍNH TOÁN, ĐO BÓC KHỐI LƯỢNG HOÀN THÀNH ĐƯA VÀO QUYẾT TOÁN</v>
          </cell>
        </row>
      </sheetData>
      <sheetData sheetId="5583">
        <row r="4">
          <cell r="A4" t="str">
            <v>BẢNG TÍNH TOÁN, ĐO BÓC KHỐI LƯỢNG HOÀN THÀNH ĐƯA VÀO QUYẾT TOÁN</v>
          </cell>
        </row>
      </sheetData>
      <sheetData sheetId="5584">
        <row r="4">
          <cell r="A4" t="str">
            <v>BẢNG TÍNH TOÁN, ĐO BÓC KHỐI LƯỢNG HOÀN THÀNH ĐƯA VÀO QUYẾT TOÁN</v>
          </cell>
        </row>
      </sheetData>
      <sheetData sheetId="5585">
        <row r="4">
          <cell r="A4" t="str">
            <v>BẢNG TÍNH TOÁN, ĐO BÓC KHỐI LƯỢNG HOÀN THÀNH ĐƯA VÀO QUYẾT TOÁN</v>
          </cell>
        </row>
      </sheetData>
      <sheetData sheetId="5586">
        <row r="4">
          <cell r="A4" t="str">
            <v>BẢNG TÍNH TOÁN, ĐO BÓC KHỐI LƯỢNG HOÀN THÀNH ĐƯA VÀO QUYẾT TOÁN</v>
          </cell>
        </row>
      </sheetData>
      <sheetData sheetId="5587">
        <row r="4">
          <cell r="A4" t="str">
            <v>BẢNG TÍNH TOÁN, ĐO BÓC KHỐI LƯỢNG HOÀN THÀNH ĐƯA VÀO QUYẾT TOÁN</v>
          </cell>
        </row>
      </sheetData>
      <sheetData sheetId="5588">
        <row r="4">
          <cell r="A4" t="str">
            <v>BẢNG TÍNH TOÁN, ĐO BÓC KHỐI LƯỢNG HOÀN THÀNH ĐƯA VÀO QUYẾT TOÁN</v>
          </cell>
        </row>
      </sheetData>
      <sheetData sheetId="5589">
        <row r="4">
          <cell r="A4" t="str">
            <v>BẢNG TÍNH TOÁN, ĐO BÓC KHỐI LƯỢNG HOÀN THÀNH ĐƯA VÀO QUYẾT TOÁN</v>
          </cell>
        </row>
      </sheetData>
      <sheetData sheetId="5590">
        <row r="4">
          <cell r="A4" t="str">
            <v>BẢNG TÍNH TOÁN, ĐO BÓC KHỐI LƯỢNG HOÀN THÀNH ĐƯA VÀO QUYẾT TOÁN</v>
          </cell>
        </row>
      </sheetData>
      <sheetData sheetId="5591">
        <row r="4">
          <cell r="A4" t="str">
            <v>BẢNG TÍNH TOÁN, ĐO BÓC KHỐI LƯỢNG HOÀN THÀNH ĐƯA VÀO QUYẾT TOÁN</v>
          </cell>
        </row>
      </sheetData>
      <sheetData sheetId="5592">
        <row r="4">
          <cell r="A4" t="str">
            <v>BẢNG TÍNH TOÁN, ĐO BÓC KHỐI LƯỢNG HOÀN THÀNH ĐƯA VÀO QUYẾT TOÁN</v>
          </cell>
        </row>
      </sheetData>
      <sheetData sheetId="5593">
        <row r="4">
          <cell r="A4" t="str">
            <v>BẢNG TÍNH TOÁN, ĐO BÓC KHỐI LƯỢNG HOÀN THÀNH ĐƯA VÀO QUYẾT TOÁN</v>
          </cell>
        </row>
      </sheetData>
      <sheetData sheetId="5594">
        <row r="4">
          <cell r="A4" t="str">
            <v>BẢNG TÍNH TOÁN, ĐO BÓC KHỐI LƯỢNG HOÀN THÀNH ĐƯA VÀO QUYẾT TOÁN</v>
          </cell>
        </row>
      </sheetData>
      <sheetData sheetId="5595">
        <row r="4">
          <cell r="A4" t="str">
            <v>BẢNG TÍNH TOÁN, ĐO BÓC KHỐI LƯỢNG HOÀN THÀNH ĐƯA VÀO QUYẾT TOÁN</v>
          </cell>
        </row>
      </sheetData>
      <sheetData sheetId="5596">
        <row r="4">
          <cell r="A4" t="str">
            <v>BẢNG TÍNH TOÁN, ĐO BÓC KHỐI LƯỢNG HOÀN THÀNH ĐƯA VÀO QUYẾT TOÁN</v>
          </cell>
        </row>
      </sheetData>
      <sheetData sheetId="5597">
        <row r="4">
          <cell r="A4" t="str">
            <v>BẢNG TÍNH TOÁN, ĐO BÓC KHỐI LƯỢNG HOÀN THÀNH ĐƯA VÀO QUYẾT TOÁN</v>
          </cell>
        </row>
      </sheetData>
      <sheetData sheetId="5598">
        <row r="4">
          <cell r="A4" t="str">
            <v>BẢNG TÍNH TOÁN, ĐO BÓC KHỐI LƯỢNG HOÀN THÀNH ĐƯA VÀO QUYẾT TOÁN</v>
          </cell>
        </row>
      </sheetData>
      <sheetData sheetId="5599">
        <row r="4">
          <cell r="A4" t="str">
            <v>BẢNG TÍNH TOÁN, ĐO BÓC KHỐI LƯỢNG HOÀN THÀNH ĐƯA VÀO QUYẾT TOÁN</v>
          </cell>
        </row>
      </sheetData>
      <sheetData sheetId="5600">
        <row r="4">
          <cell r="A4" t="str">
            <v>BẢNG TÍNH TOÁN, ĐO BÓC KHỐI LƯỢNG HOÀN THÀNH ĐƯA VÀO QUYẾT TOÁN</v>
          </cell>
        </row>
      </sheetData>
      <sheetData sheetId="5601">
        <row r="4">
          <cell r="A4" t="str">
            <v>BẢNG TÍNH TOÁN, ĐO BÓC KHỐI LƯỢNG HOÀN THÀNH ĐƯA VÀO QUYẾT TOÁN</v>
          </cell>
        </row>
      </sheetData>
      <sheetData sheetId="5602">
        <row r="4">
          <cell r="A4" t="str">
            <v>BẢNG TÍNH TOÁN, ĐO BÓC KHỐI LƯỢNG HOÀN THÀNH ĐƯA VÀO QUYẾT TOÁN</v>
          </cell>
        </row>
      </sheetData>
      <sheetData sheetId="5603">
        <row r="4">
          <cell r="A4" t="str">
            <v>BẢNG TÍNH TOÁN, ĐO BÓC KHỐI LƯỢNG HOÀN THÀNH ĐƯA VÀO QUYẾT TOÁN</v>
          </cell>
        </row>
      </sheetData>
      <sheetData sheetId="5604">
        <row r="4">
          <cell r="A4" t="str">
            <v>BẢNG TÍNH TOÁN, ĐO BÓC KHỐI LƯỢNG HOÀN THÀNH ĐƯA VÀO QUYẾT TOÁN</v>
          </cell>
        </row>
      </sheetData>
      <sheetData sheetId="5605">
        <row r="4">
          <cell r="A4" t="str">
            <v>BẢNG TÍNH TOÁN, ĐO BÓC KHỐI LƯỢNG HOÀN THÀNH ĐƯA VÀO QUYẾT TOÁN</v>
          </cell>
        </row>
      </sheetData>
      <sheetData sheetId="5606">
        <row r="4">
          <cell r="A4" t="str">
            <v>BẢNG TÍNH TOÁN, ĐO BÓC KHỐI LƯỢNG HOÀN THÀNH ĐƯA VÀO QUYẾT TOÁN</v>
          </cell>
        </row>
      </sheetData>
      <sheetData sheetId="5607">
        <row r="4">
          <cell r="A4" t="str">
            <v>BẢNG TÍNH TOÁN, ĐO BÓC KHỐI LƯỢNG HOÀN THÀNH ĐƯA VÀO QUYẾT TOÁN</v>
          </cell>
        </row>
      </sheetData>
      <sheetData sheetId="5608">
        <row r="4">
          <cell r="A4" t="str">
            <v>BẢNG TÍNH TOÁN, ĐO BÓC KHỐI LƯỢNG HOÀN THÀNH ĐƯA VÀO QUYẾT TOÁN</v>
          </cell>
        </row>
      </sheetData>
      <sheetData sheetId="5609">
        <row r="4">
          <cell r="A4" t="str">
            <v>BẢNG TÍNH TOÁN, ĐO BÓC KHỐI LƯỢNG HOÀN THÀNH ĐƯA VÀO QUYẾT TOÁN</v>
          </cell>
        </row>
      </sheetData>
      <sheetData sheetId="5610">
        <row r="4">
          <cell r="A4" t="str">
            <v>BẢNG TÍNH TOÁN, ĐO BÓC KHỐI LƯỢNG HOÀN THÀNH ĐƯA VÀO QUYẾT TOÁN</v>
          </cell>
        </row>
      </sheetData>
      <sheetData sheetId="5611">
        <row r="4">
          <cell r="A4" t="str">
            <v>BẢNG TÍNH TOÁN, ĐO BÓC KHỐI LƯỢNG HOÀN THÀNH ĐƯA VÀO QUYẾT TOÁN</v>
          </cell>
        </row>
      </sheetData>
      <sheetData sheetId="5612">
        <row r="4">
          <cell r="A4" t="str">
            <v>BẢNG TÍNH TOÁN, ĐO BÓC KHỐI LƯỢNG HOÀN THÀNH ĐƯA VÀO QUYẾT TOÁN</v>
          </cell>
        </row>
      </sheetData>
      <sheetData sheetId="5613">
        <row r="4">
          <cell r="A4" t="str">
            <v>BẢNG TÍNH TOÁN, ĐO BÓC KHỐI LƯỢNG HOÀN THÀNH ĐƯA VÀO QUYẾT TOÁN</v>
          </cell>
        </row>
      </sheetData>
      <sheetData sheetId="5614">
        <row r="4">
          <cell r="A4" t="str">
            <v>BẢNG TÍNH TOÁN, ĐO BÓC KHỐI LƯỢNG HOÀN THÀNH ĐƯA VÀO QUYẾT TOÁN</v>
          </cell>
        </row>
      </sheetData>
      <sheetData sheetId="5615">
        <row r="4">
          <cell r="A4" t="str">
            <v>BẢNG TÍNH TOÁN, ĐO BÓC KHỐI LƯỢNG HOÀN THÀNH ĐƯA VÀO QUYẾT TOÁN</v>
          </cell>
        </row>
      </sheetData>
      <sheetData sheetId="5616">
        <row r="4">
          <cell r="A4" t="str">
            <v>BẢNG TÍNH TOÁN, ĐO BÓC KHỐI LƯỢNG HOÀN THÀNH ĐƯA VÀO QUYẾT TOÁN</v>
          </cell>
        </row>
      </sheetData>
      <sheetData sheetId="5617">
        <row r="4">
          <cell r="A4" t="str">
            <v>BẢNG TÍNH TOÁN, ĐO BÓC KHỐI LƯỢNG HOÀN THÀNH ĐƯA VÀO QUYẾT TOÁN</v>
          </cell>
        </row>
      </sheetData>
      <sheetData sheetId="5618">
        <row r="4">
          <cell r="A4" t="str">
            <v>BẢNG TÍNH TOÁN, ĐO BÓC KHỐI LƯỢNG HOÀN THÀNH ĐƯA VÀO QUYẾT TOÁN</v>
          </cell>
        </row>
      </sheetData>
      <sheetData sheetId="5619">
        <row r="4">
          <cell r="A4" t="str">
            <v>BẢNG TÍNH TOÁN, ĐO BÓC KHỐI LƯỢNG HOÀN THÀNH ĐƯA VÀO QUYẾT TOÁN</v>
          </cell>
        </row>
      </sheetData>
      <sheetData sheetId="5620">
        <row r="4">
          <cell r="A4" t="str">
            <v>BẢNG TÍNH TOÁN, ĐO BÓC KHỐI LƯỢNG HOÀN THÀNH ĐƯA VÀO QUYẾT TOÁN</v>
          </cell>
        </row>
      </sheetData>
      <sheetData sheetId="5621">
        <row r="4">
          <cell r="A4" t="str">
            <v>BẢNG TÍNH TOÁN, ĐO BÓC KHỐI LƯỢNG HOÀN THÀNH ĐƯA VÀO QUYẾT TOÁN</v>
          </cell>
        </row>
      </sheetData>
      <sheetData sheetId="5622">
        <row r="4">
          <cell r="A4" t="str">
            <v>BẢNG TÍNH TOÁN, ĐO BÓC KHỐI LƯỢNG HOÀN THÀNH ĐƯA VÀO QUYẾT TOÁN</v>
          </cell>
        </row>
      </sheetData>
      <sheetData sheetId="5623">
        <row r="4">
          <cell r="A4" t="str">
            <v>BẢNG TÍNH TOÁN, ĐO BÓC KHỐI LƯỢNG HOÀN THÀNH ĐƯA VÀO QUYẾT TOÁN</v>
          </cell>
        </row>
      </sheetData>
      <sheetData sheetId="5624">
        <row r="4">
          <cell r="A4" t="str">
            <v>BẢNG TÍNH TOÁN, ĐO BÓC KHỐI LƯỢNG HOÀN THÀNH ĐƯA VÀO QUYẾT TOÁN</v>
          </cell>
        </row>
      </sheetData>
      <sheetData sheetId="5625">
        <row r="4">
          <cell r="A4" t="str">
            <v>BẢNG TÍNH TOÁN, ĐO BÓC KHỐI LƯỢNG HOÀN THÀNH ĐƯA VÀO QUYẾT TOÁN</v>
          </cell>
        </row>
      </sheetData>
      <sheetData sheetId="5626">
        <row r="4">
          <cell r="A4" t="str">
            <v>BẢNG TÍNH TOÁN, ĐO BÓC KHỐI LƯỢNG HOÀN THÀNH ĐƯA VÀO QUYẾT TOÁN</v>
          </cell>
        </row>
      </sheetData>
      <sheetData sheetId="5627">
        <row r="4">
          <cell r="A4" t="str">
            <v>BẢNG TÍNH TOÁN, ĐO BÓC KHỐI LƯỢNG HOÀN THÀNH ĐƯA VÀO QUYẾT TOÁN</v>
          </cell>
        </row>
      </sheetData>
      <sheetData sheetId="5628">
        <row r="4">
          <cell r="A4" t="str">
            <v>BẢNG TÍNH TOÁN, ĐO BÓC KHỐI LƯỢNG HOÀN THÀNH ĐƯA VÀO QUYẾT TOÁN</v>
          </cell>
        </row>
      </sheetData>
      <sheetData sheetId="5629">
        <row r="4">
          <cell r="A4" t="str">
            <v>BẢNG TÍNH TOÁN, ĐO BÓC KHỐI LƯỢNG HOÀN THÀNH ĐƯA VÀO QUYẾT TOÁN</v>
          </cell>
        </row>
      </sheetData>
      <sheetData sheetId="5630">
        <row r="4">
          <cell r="A4" t="str">
            <v>BẢNG TÍNH TOÁN, ĐO BÓC KHỐI LƯỢNG HOÀN THÀNH ĐƯA VÀO QUYẾT TOÁN</v>
          </cell>
        </row>
      </sheetData>
      <sheetData sheetId="5631">
        <row r="4">
          <cell r="A4" t="str">
            <v>BẢNG TÍNH TOÁN, ĐO BÓC KHỐI LƯỢNG HOÀN THÀNH ĐƯA VÀO QUYẾT TOÁN</v>
          </cell>
        </row>
      </sheetData>
      <sheetData sheetId="5632">
        <row r="4">
          <cell r="A4" t="str">
            <v>BẢNG TÍNH TOÁN, ĐO BÓC KHỐI LƯỢNG HOÀN THÀNH ĐƯA VÀO QUYẾT TOÁN</v>
          </cell>
        </row>
      </sheetData>
      <sheetData sheetId="5633">
        <row r="4">
          <cell r="A4" t="str">
            <v>BẢNG TÍNH TOÁN, ĐO BÓC KHỐI LƯỢNG HOÀN THÀNH ĐƯA VÀO QUYẾT TOÁN</v>
          </cell>
        </row>
      </sheetData>
      <sheetData sheetId="5634">
        <row r="4">
          <cell r="A4" t="str">
            <v>BẢNG TÍNH TOÁN, ĐO BÓC KHỐI LƯỢNG HOÀN THÀNH ĐƯA VÀO QUYẾT TOÁN</v>
          </cell>
        </row>
      </sheetData>
      <sheetData sheetId="5635">
        <row r="4">
          <cell r="A4" t="str">
            <v>BẢNG TÍNH TOÁN, ĐO BÓC KHỐI LƯỢNG HOÀN THÀNH ĐƯA VÀO QUYẾT TOÁN</v>
          </cell>
        </row>
      </sheetData>
      <sheetData sheetId="5636">
        <row r="4">
          <cell r="A4" t="str">
            <v>BẢNG TÍNH TOÁN, ĐO BÓC KHỐI LƯỢNG HOÀN THÀNH ĐƯA VÀO QUYẾT TOÁN</v>
          </cell>
        </row>
      </sheetData>
      <sheetData sheetId="5637">
        <row r="4">
          <cell r="A4" t="str">
            <v>BẢNG TÍNH TOÁN, ĐO BÓC KHỐI LƯỢNG HOÀN THÀNH ĐƯA VÀO QUYẾT TOÁN</v>
          </cell>
        </row>
      </sheetData>
      <sheetData sheetId="5638">
        <row r="4">
          <cell r="A4" t="str">
            <v>BẢNG TÍNH TOÁN, ĐO BÓC KHỐI LƯỢNG HOÀN THÀNH ĐƯA VÀO QUYẾT TOÁN</v>
          </cell>
        </row>
      </sheetData>
      <sheetData sheetId="5639">
        <row r="4">
          <cell r="A4" t="str">
            <v>BẢNG TÍNH TOÁN, ĐO BÓC KHỐI LƯỢNG HOÀN THÀNH ĐƯA VÀO QUYẾT TOÁN</v>
          </cell>
        </row>
      </sheetData>
      <sheetData sheetId="5640">
        <row r="4">
          <cell r="A4" t="str">
            <v>BẢNG TÍNH TOÁN, ĐO BÓC KHỐI LƯỢNG HOÀN THÀNH ĐƯA VÀO QUYẾT TOÁN</v>
          </cell>
        </row>
      </sheetData>
      <sheetData sheetId="5641">
        <row r="4">
          <cell r="A4" t="str">
            <v>BẢNG TÍNH TOÁN, ĐO BÓC KHỐI LƯỢNG HOÀN THÀNH ĐƯA VÀO QUYẾT TOÁN</v>
          </cell>
        </row>
      </sheetData>
      <sheetData sheetId="5642">
        <row r="4">
          <cell r="A4" t="str">
            <v>BẢNG TÍNH TOÁN, ĐO BÓC KHỐI LƯỢNG HOÀN THÀNH ĐƯA VÀO QUYẾT TOÁN</v>
          </cell>
        </row>
      </sheetData>
      <sheetData sheetId="5643">
        <row r="4">
          <cell r="A4" t="str">
            <v>BẢNG TÍNH TOÁN, ĐO BÓC KHỐI LƯỢNG HOÀN THÀNH ĐƯA VÀO QUYẾT TOÁN</v>
          </cell>
        </row>
      </sheetData>
      <sheetData sheetId="5644">
        <row r="4">
          <cell r="A4" t="str">
            <v>BẢNG TÍNH TOÁN, ĐO BÓC KHỐI LƯỢNG HOÀN THÀNH ĐƯA VÀO QUYẾT TOÁN</v>
          </cell>
        </row>
      </sheetData>
      <sheetData sheetId="5645">
        <row r="4">
          <cell r="A4" t="str">
            <v>BẢNG TÍNH TOÁN, ĐO BÓC KHỐI LƯỢNG HOÀN THÀNH ĐƯA VÀO QUYẾT TOÁN</v>
          </cell>
        </row>
      </sheetData>
      <sheetData sheetId="5646">
        <row r="4">
          <cell r="A4" t="str">
            <v>BẢNG TÍNH TOÁN, ĐO BÓC KHỐI LƯỢNG HOÀN THÀNH ĐƯA VÀO QUYẾT TOÁN</v>
          </cell>
        </row>
      </sheetData>
      <sheetData sheetId="5647">
        <row r="4">
          <cell r="A4" t="str">
            <v>BẢNG TÍNH TOÁN, ĐO BÓC KHỐI LƯỢNG HOÀN THÀNH ĐƯA VÀO QUYẾT TOÁN</v>
          </cell>
        </row>
      </sheetData>
      <sheetData sheetId="5648">
        <row r="4">
          <cell r="A4" t="str">
            <v>BẢNG TÍNH TOÁN, ĐO BÓC KHỐI LƯỢNG HOÀN THÀNH ĐƯA VÀO QUYẾT TOÁN</v>
          </cell>
        </row>
      </sheetData>
      <sheetData sheetId="5649">
        <row r="4">
          <cell r="A4" t="str">
            <v>BẢNG TÍNH TOÁN, ĐO BÓC KHỐI LƯỢNG HOÀN THÀNH ĐƯA VÀO QUYẾT TOÁN</v>
          </cell>
        </row>
      </sheetData>
      <sheetData sheetId="5650">
        <row r="4">
          <cell r="A4" t="str">
            <v>BẢNG TÍNH TOÁN, ĐO BÓC KHỐI LƯỢNG HOÀN THÀNH ĐƯA VÀO QUYẾT TOÁN</v>
          </cell>
        </row>
      </sheetData>
      <sheetData sheetId="5651">
        <row r="4">
          <cell r="A4" t="str">
            <v>BẢNG TÍNH TOÁN, ĐO BÓC KHỐI LƯỢNG HOÀN THÀNH ĐƯA VÀO QUYẾT TOÁN</v>
          </cell>
        </row>
      </sheetData>
      <sheetData sheetId="5652">
        <row r="4">
          <cell r="A4" t="str">
            <v>BẢNG TÍNH TOÁN, ĐO BÓC KHỐI LƯỢNG HOÀN THÀNH ĐƯA VÀO QUYẾT TOÁN</v>
          </cell>
        </row>
      </sheetData>
      <sheetData sheetId="5653">
        <row r="4">
          <cell r="A4" t="str">
            <v>BẢNG TÍNH TOÁN, ĐO BÓC KHỐI LƯỢNG HOÀN THÀNH ĐƯA VÀO QUYẾT TOÁN</v>
          </cell>
        </row>
      </sheetData>
      <sheetData sheetId="5654">
        <row r="4">
          <cell r="A4" t="str">
            <v>BẢNG TÍNH TOÁN, ĐO BÓC KHỐI LƯỢNG HOÀN THÀNH ĐƯA VÀO QUYẾT TOÁN</v>
          </cell>
        </row>
      </sheetData>
      <sheetData sheetId="5655">
        <row r="4">
          <cell r="A4" t="str">
            <v>BẢNG TÍNH TOÁN, ĐO BÓC KHỐI LƯỢNG HOÀN THÀNH ĐƯA VÀO QUYẾT TOÁN</v>
          </cell>
        </row>
      </sheetData>
      <sheetData sheetId="5656">
        <row r="4">
          <cell r="A4" t="str">
            <v>BẢNG TÍNH TOÁN, ĐO BÓC KHỐI LƯỢNG HOÀN THÀNH ĐƯA VÀO QUYẾT TOÁN</v>
          </cell>
        </row>
      </sheetData>
      <sheetData sheetId="5657">
        <row r="4">
          <cell r="A4" t="str">
            <v>BẢNG TÍNH TOÁN, ĐO BÓC KHỐI LƯỢNG HOÀN THÀNH ĐƯA VÀO QUYẾT TOÁN</v>
          </cell>
        </row>
      </sheetData>
      <sheetData sheetId="5658">
        <row r="4">
          <cell r="A4" t="str">
            <v>BẢNG TÍNH TOÁN, ĐO BÓC KHỐI LƯỢNG HOÀN THÀNH ĐƯA VÀO QUYẾT TOÁN</v>
          </cell>
        </row>
      </sheetData>
      <sheetData sheetId="5659">
        <row r="4">
          <cell r="A4" t="str">
            <v>BẢNG TÍNH TOÁN, ĐO BÓC KHỐI LƯỢNG HOÀN THÀNH ĐƯA VÀO QUYẾT TOÁN</v>
          </cell>
        </row>
      </sheetData>
      <sheetData sheetId="5660">
        <row r="4">
          <cell r="A4" t="str">
            <v>BẢNG TÍNH TOÁN, ĐO BÓC KHỐI LƯỢNG HOÀN THÀNH ĐƯA VÀO QUYẾT TOÁN</v>
          </cell>
        </row>
      </sheetData>
      <sheetData sheetId="5661">
        <row r="4">
          <cell r="A4" t="str">
            <v>BẢNG TÍNH TOÁN, ĐO BÓC KHỐI LƯỢNG HOÀN THÀNH ĐƯA VÀO QUYẾT TOÁN</v>
          </cell>
        </row>
      </sheetData>
      <sheetData sheetId="5662">
        <row r="4">
          <cell r="A4" t="str">
            <v>BẢNG TÍNH TOÁN, ĐO BÓC KHỐI LƯỢNG HOÀN THÀNH ĐƯA VÀO QUYẾT TOÁN</v>
          </cell>
        </row>
      </sheetData>
      <sheetData sheetId="5663">
        <row r="4">
          <cell r="A4" t="str">
            <v>BẢNG TÍNH TOÁN, ĐO BÓC KHỐI LƯỢNG HOÀN THÀNH ĐƯA VÀO QUYẾT TOÁN</v>
          </cell>
        </row>
      </sheetData>
      <sheetData sheetId="5664">
        <row r="4">
          <cell r="A4" t="str">
            <v>BẢNG TÍNH TOÁN, ĐO BÓC KHỐI LƯỢNG HOÀN THÀNH ĐƯA VÀO QUYẾT TOÁN</v>
          </cell>
        </row>
      </sheetData>
      <sheetData sheetId="5665">
        <row r="4">
          <cell r="A4" t="str">
            <v>BẢNG TÍNH TOÁN, ĐO BÓC KHỐI LƯỢNG HOÀN THÀNH ĐƯA VÀO QUYẾT TOÁN</v>
          </cell>
        </row>
      </sheetData>
      <sheetData sheetId="5666">
        <row r="4">
          <cell r="A4" t="str">
            <v>BẢNG TÍNH TOÁN, ĐO BÓC KHỐI LƯỢNG HOÀN THÀNH ĐƯA VÀO QUYẾT TOÁN</v>
          </cell>
        </row>
      </sheetData>
      <sheetData sheetId="5667">
        <row r="4">
          <cell r="A4" t="str">
            <v>BẢNG TÍNH TOÁN, ĐO BÓC KHỐI LƯỢNG HOÀN THÀNH ĐƯA VÀO QUYẾT TOÁN</v>
          </cell>
        </row>
      </sheetData>
      <sheetData sheetId="5668">
        <row r="4">
          <cell r="A4" t="str">
            <v>BẢNG TÍNH TOÁN, ĐO BÓC KHỐI LƯỢNG HOÀN THÀNH ĐƯA VÀO QUYẾT TOÁN</v>
          </cell>
        </row>
      </sheetData>
      <sheetData sheetId="5669">
        <row r="4">
          <cell r="A4" t="str">
            <v>BẢNG TÍNH TOÁN, ĐO BÓC KHỐI LƯỢNG HOÀN THÀNH ĐƯA VÀO QUYẾT TOÁN</v>
          </cell>
        </row>
      </sheetData>
      <sheetData sheetId="5670">
        <row r="4">
          <cell r="A4" t="str">
            <v>BẢNG TÍNH TOÁN, ĐO BÓC KHỐI LƯỢNG HOÀN THÀNH ĐƯA VÀO QUYẾT TOÁN</v>
          </cell>
        </row>
      </sheetData>
      <sheetData sheetId="5671">
        <row r="4">
          <cell r="A4" t="str">
            <v>BẢNG TÍNH TOÁN, ĐO BÓC KHỐI LƯỢNG HOÀN THÀNH ĐƯA VÀO QUYẾT TOÁN</v>
          </cell>
        </row>
      </sheetData>
      <sheetData sheetId="5672">
        <row r="4">
          <cell r="A4" t="str">
            <v>BẢNG TÍNH TOÁN, ĐO BÓC KHỐI LƯỢNG HOÀN THÀNH ĐƯA VÀO QUYẾT TOÁN</v>
          </cell>
        </row>
      </sheetData>
      <sheetData sheetId="5673">
        <row r="4">
          <cell r="A4" t="str">
            <v>BẢNG TÍNH TOÁN, ĐO BÓC KHỐI LƯỢNG HOÀN THÀNH ĐƯA VÀO QUYẾT TOÁN</v>
          </cell>
        </row>
      </sheetData>
      <sheetData sheetId="5674">
        <row r="4">
          <cell r="A4" t="str">
            <v>BẢNG TÍNH TOÁN, ĐO BÓC KHỐI LƯỢNG HOÀN THÀNH ĐƯA VÀO QUYẾT TOÁN</v>
          </cell>
        </row>
      </sheetData>
      <sheetData sheetId="5675">
        <row r="4">
          <cell r="A4" t="str">
            <v>BẢNG TÍNH TOÁN, ĐO BÓC KHỐI LƯỢNG HOÀN THÀNH ĐƯA VÀO QUYẾT TOÁN</v>
          </cell>
        </row>
      </sheetData>
      <sheetData sheetId="5676">
        <row r="4">
          <cell r="A4" t="str">
            <v>BẢNG TÍNH TOÁN, ĐO BÓC KHỐI LƯỢNG HOÀN THÀNH ĐƯA VÀO QUYẾT TOÁN</v>
          </cell>
        </row>
      </sheetData>
      <sheetData sheetId="5677">
        <row r="4">
          <cell r="A4" t="str">
            <v>BẢNG TÍNH TOÁN, ĐO BÓC KHỐI LƯỢNG HOÀN THÀNH ĐƯA VÀO QUYẾT TOÁN</v>
          </cell>
        </row>
      </sheetData>
      <sheetData sheetId="5678">
        <row r="4">
          <cell r="A4" t="str">
            <v>BẢNG TÍNH TOÁN, ĐO BÓC KHỐI LƯỢNG HOÀN THÀNH ĐƯA VÀO QUYẾT TOÁN</v>
          </cell>
        </row>
      </sheetData>
      <sheetData sheetId="5679">
        <row r="4">
          <cell r="A4" t="str">
            <v>BẢNG TÍNH TOÁN, ĐO BÓC KHỐI LƯỢNG HOÀN THÀNH ĐƯA VÀO QUYẾT TOÁN</v>
          </cell>
        </row>
      </sheetData>
      <sheetData sheetId="5680">
        <row r="4">
          <cell r="A4" t="str">
            <v>BẢNG TÍNH TOÁN, ĐO BÓC KHỐI LƯỢNG HOÀN THÀNH ĐƯA VÀO QUYẾT TOÁN</v>
          </cell>
        </row>
      </sheetData>
      <sheetData sheetId="5681">
        <row r="4">
          <cell r="A4" t="str">
            <v>BẢNG TÍNH TOÁN, ĐO BÓC KHỐI LƯỢNG HOÀN THÀNH ĐƯA VÀO QUYẾT TOÁN</v>
          </cell>
        </row>
      </sheetData>
      <sheetData sheetId="5682">
        <row r="4">
          <cell r="A4" t="str">
            <v>BẢNG TÍNH TOÁN, ĐO BÓC KHỐI LƯỢNG HOÀN THÀNH ĐƯA VÀO QUYẾT TOÁN</v>
          </cell>
        </row>
      </sheetData>
      <sheetData sheetId="5683">
        <row r="4">
          <cell r="A4" t="str">
            <v>BẢNG TÍNH TOÁN, ĐO BÓC KHỐI LƯỢNG HOÀN THÀNH ĐƯA VÀO QUYẾT TOÁN</v>
          </cell>
        </row>
      </sheetData>
      <sheetData sheetId="5684">
        <row r="4">
          <cell r="A4" t="str">
            <v>BẢNG TÍNH TOÁN, ĐO BÓC KHỐI LƯỢNG HOÀN THÀNH ĐƯA VÀO QUYẾT TOÁN</v>
          </cell>
        </row>
      </sheetData>
      <sheetData sheetId="5685">
        <row r="4">
          <cell r="A4" t="str">
            <v>BẢNG TÍNH TOÁN, ĐO BÓC KHỐI LƯỢNG HOÀN THÀNH ĐƯA VÀO QUYẾT TOÁN</v>
          </cell>
        </row>
      </sheetData>
      <sheetData sheetId="5686">
        <row r="4">
          <cell r="A4" t="str">
            <v>BẢNG TÍNH TOÁN, ĐO BÓC KHỐI LƯỢNG HOÀN THÀNH ĐƯA VÀO QUYẾT TOÁN</v>
          </cell>
        </row>
      </sheetData>
      <sheetData sheetId="5687">
        <row r="4">
          <cell r="A4" t="str">
            <v>BẢNG TÍNH TOÁN, ĐO BÓC KHỐI LƯỢNG HOÀN THÀNH ĐƯA VÀO QUYẾT TOÁN</v>
          </cell>
        </row>
      </sheetData>
      <sheetData sheetId="5688">
        <row r="4">
          <cell r="A4" t="str">
            <v>BẢNG TÍNH TOÁN, ĐO BÓC KHỐI LƯỢNG HOÀN THÀNH ĐƯA VÀO QUYẾT TOÁN</v>
          </cell>
        </row>
      </sheetData>
      <sheetData sheetId="5689">
        <row r="4">
          <cell r="A4" t="str">
            <v>BẢNG TÍNH TOÁN, ĐO BÓC KHỐI LƯỢNG HOÀN THÀNH ĐƯA VÀO QUYẾT TOÁN</v>
          </cell>
        </row>
      </sheetData>
      <sheetData sheetId="5690">
        <row r="4">
          <cell r="A4" t="str">
            <v>BẢNG TÍNH TOÁN, ĐO BÓC KHỐI LƯỢNG HOÀN THÀNH ĐƯA VÀO QUYẾT TOÁN</v>
          </cell>
        </row>
      </sheetData>
      <sheetData sheetId="5691">
        <row r="4">
          <cell r="A4" t="str">
            <v>BẢNG TÍNH TOÁN, ĐO BÓC KHỐI LƯỢNG HOÀN THÀNH ĐƯA VÀO QUYẾT TOÁN</v>
          </cell>
        </row>
      </sheetData>
      <sheetData sheetId="5692">
        <row r="4">
          <cell r="A4" t="str">
            <v>BẢNG TÍNH TOÁN, ĐO BÓC KHỐI LƯỢNG HOÀN THÀNH ĐƯA VÀO QUYẾT TOÁN</v>
          </cell>
        </row>
      </sheetData>
      <sheetData sheetId="5693">
        <row r="4">
          <cell r="A4" t="str">
            <v>BẢNG TÍNH TOÁN, ĐO BÓC KHỐI LƯỢNG HOÀN THÀNH ĐƯA VÀO QUYẾT TOÁN</v>
          </cell>
        </row>
      </sheetData>
      <sheetData sheetId="5694">
        <row r="4">
          <cell r="A4" t="str">
            <v>BẢNG TÍNH TOÁN, ĐO BÓC KHỐI LƯỢNG HOÀN THÀNH ĐƯA VÀO QUYẾT TOÁN</v>
          </cell>
        </row>
      </sheetData>
      <sheetData sheetId="5695">
        <row r="4">
          <cell r="A4" t="str">
            <v>BẢNG TÍNH TOÁN, ĐO BÓC KHỐI LƯỢNG HOÀN THÀNH ĐƯA VÀO QUYẾT TOÁN</v>
          </cell>
        </row>
      </sheetData>
      <sheetData sheetId="5696">
        <row r="4">
          <cell r="A4" t="str">
            <v>BẢNG TÍNH TOÁN, ĐO BÓC KHỐI LƯỢNG HOÀN THÀNH ĐƯA VÀO QUYẾT TOÁN</v>
          </cell>
        </row>
      </sheetData>
      <sheetData sheetId="5697">
        <row r="4">
          <cell r="A4" t="str">
            <v>BẢNG TÍNH TOÁN, ĐO BÓC KHỐI LƯỢNG HOÀN THÀNH ĐƯA VÀO QUYẾT TOÁN</v>
          </cell>
        </row>
      </sheetData>
      <sheetData sheetId="5698">
        <row r="4">
          <cell r="A4" t="str">
            <v>BẢNG TÍNH TOÁN, ĐO BÓC KHỐI LƯỢNG HOÀN THÀNH ĐƯA VÀO QUYẾT TOÁN</v>
          </cell>
        </row>
      </sheetData>
      <sheetData sheetId="5699">
        <row r="4">
          <cell r="A4" t="str">
            <v>BẢNG TÍNH TOÁN, ĐO BÓC KHỐI LƯỢNG HOÀN THÀNH ĐƯA VÀO QUYẾT TOÁN</v>
          </cell>
        </row>
      </sheetData>
      <sheetData sheetId="5700">
        <row r="4">
          <cell r="A4" t="str">
            <v>BẢNG TÍNH TOÁN, ĐO BÓC KHỐI LƯỢNG HOÀN THÀNH ĐƯA VÀO QUYẾT TOÁN</v>
          </cell>
        </row>
      </sheetData>
      <sheetData sheetId="5701">
        <row r="4">
          <cell r="A4" t="str">
            <v>BẢNG TÍNH TOÁN, ĐO BÓC KHỐI LƯỢNG HOÀN THÀNH ĐƯA VÀO QUYẾT TOÁN</v>
          </cell>
        </row>
      </sheetData>
      <sheetData sheetId="5702">
        <row r="4">
          <cell r="A4" t="str">
            <v>BẢNG TÍNH TOÁN, ĐO BÓC KHỐI LƯỢNG HOÀN THÀNH ĐƯA VÀO QUYẾT TOÁN</v>
          </cell>
        </row>
      </sheetData>
      <sheetData sheetId="5703">
        <row r="4">
          <cell r="A4" t="str">
            <v>BẢNG TÍNH TOÁN, ĐO BÓC KHỐI LƯỢNG HOÀN THÀNH ĐƯA VÀO QUYẾT TOÁN</v>
          </cell>
        </row>
      </sheetData>
      <sheetData sheetId="5704">
        <row r="4">
          <cell r="A4" t="str">
            <v>BẢNG TÍNH TOÁN, ĐO BÓC KHỐI LƯỢNG HOÀN THÀNH ĐƯA VÀO QUYẾT TOÁN</v>
          </cell>
        </row>
      </sheetData>
      <sheetData sheetId="5705">
        <row r="4">
          <cell r="A4" t="str">
            <v>BẢNG TÍNH TOÁN, ĐO BÓC KHỐI LƯỢNG HOÀN THÀNH ĐƯA VÀO QUYẾT TOÁN</v>
          </cell>
        </row>
      </sheetData>
      <sheetData sheetId="5706">
        <row r="4">
          <cell r="A4" t="str">
            <v>BẢNG TÍNH TOÁN, ĐO BÓC KHỐI LƯỢNG HOÀN THÀNH ĐƯA VÀO QUYẾT TOÁN</v>
          </cell>
        </row>
      </sheetData>
      <sheetData sheetId="5707">
        <row r="4">
          <cell r="A4" t="str">
            <v>BẢNG TÍNH TOÁN, ĐO BÓC KHỐI LƯỢNG HOÀN THÀNH ĐƯA VÀO QUYẾT TOÁN</v>
          </cell>
        </row>
      </sheetData>
      <sheetData sheetId="5708">
        <row r="4">
          <cell r="A4" t="str">
            <v>BẢNG TÍNH TOÁN, ĐO BÓC KHỐI LƯỢNG HOÀN THÀNH ĐƯA VÀO QUYẾT TOÁN</v>
          </cell>
        </row>
      </sheetData>
      <sheetData sheetId="5709">
        <row r="4">
          <cell r="A4" t="str">
            <v>BẢNG TÍNH TOÁN, ĐO BÓC KHỐI LƯỢNG HOÀN THÀNH ĐƯA VÀO QUYẾT TOÁN</v>
          </cell>
        </row>
      </sheetData>
      <sheetData sheetId="5710">
        <row r="4">
          <cell r="A4" t="str">
            <v>BẢNG TÍNH TOÁN, ĐO BÓC KHỐI LƯỢNG HOÀN THÀNH ĐƯA VÀO QUYẾT TOÁN</v>
          </cell>
        </row>
      </sheetData>
      <sheetData sheetId="5711">
        <row r="4">
          <cell r="A4" t="str">
            <v>BẢNG TÍNH TOÁN, ĐO BÓC KHỐI LƯỢNG HOÀN THÀNH ĐƯA VÀO QUYẾT TOÁN</v>
          </cell>
        </row>
      </sheetData>
      <sheetData sheetId="5712">
        <row r="4">
          <cell r="A4" t="str">
            <v>BẢNG TÍNH TOÁN, ĐO BÓC KHỐI LƯỢNG HOÀN THÀNH ĐƯA VÀO QUYẾT TOÁN</v>
          </cell>
        </row>
      </sheetData>
      <sheetData sheetId="5713">
        <row r="4">
          <cell r="A4" t="str">
            <v>BẢNG TÍNH TOÁN, ĐO BÓC KHỐI LƯỢNG HOÀN THÀNH ĐƯA VÀO QUYẾT TOÁN</v>
          </cell>
        </row>
      </sheetData>
      <sheetData sheetId="5714">
        <row r="4">
          <cell r="A4" t="str">
            <v>BẢNG TÍNH TOÁN, ĐO BÓC KHỐI LƯỢNG HOÀN THÀNH ĐƯA VÀO QUYẾT TOÁN</v>
          </cell>
        </row>
      </sheetData>
      <sheetData sheetId="5715">
        <row r="4">
          <cell r="A4" t="str">
            <v>BẢNG TÍNH TOÁN, ĐO BÓC KHỐI LƯỢNG HOÀN THÀNH ĐƯA VÀO QUYẾT TOÁN</v>
          </cell>
        </row>
      </sheetData>
      <sheetData sheetId="5716">
        <row r="4">
          <cell r="A4" t="str">
            <v>BẢNG TÍNH TOÁN, ĐO BÓC KHỐI LƯỢNG HOÀN THÀNH ĐƯA VÀO QUYẾT TOÁN</v>
          </cell>
        </row>
      </sheetData>
      <sheetData sheetId="5717">
        <row r="4">
          <cell r="A4" t="str">
            <v>BẢNG TÍNH TOÁN, ĐO BÓC KHỐI LƯỢNG HOÀN THÀNH ĐƯA VÀO QUYẾT TOÁN</v>
          </cell>
        </row>
      </sheetData>
      <sheetData sheetId="5718">
        <row r="4">
          <cell r="A4" t="str">
            <v>BẢNG TÍNH TOÁN, ĐO BÓC KHỐI LƯỢNG HOÀN THÀNH ĐƯA VÀO QUYẾT TOÁN</v>
          </cell>
        </row>
      </sheetData>
      <sheetData sheetId="5719">
        <row r="4">
          <cell r="A4" t="str">
            <v>BẢNG TÍNH TOÁN, ĐO BÓC KHỐI LƯỢNG HOÀN THÀNH ĐƯA VÀO QUYẾT TOÁN</v>
          </cell>
        </row>
      </sheetData>
      <sheetData sheetId="5720">
        <row r="4">
          <cell r="A4" t="str">
            <v>BẢNG TÍNH TOÁN, ĐO BÓC KHỐI LƯỢNG HOÀN THÀNH ĐƯA VÀO QUYẾT TOÁN</v>
          </cell>
        </row>
      </sheetData>
      <sheetData sheetId="5721">
        <row r="4">
          <cell r="A4" t="str">
            <v>BẢNG TÍNH TOÁN, ĐO BÓC KHỐI LƯỢNG HOÀN THÀNH ĐƯA VÀO QUYẾT TOÁN</v>
          </cell>
        </row>
      </sheetData>
      <sheetData sheetId="5722">
        <row r="4">
          <cell r="A4" t="str">
            <v>BẢNG TÍNH TOÁN, ĐO BÓC KHỐI LƯỢNG HOÀN THÀNH ĐƯA VÀO QUYẾT TOÁN</v>
          </cell>
        </row>
      </sheetData>
      <sheetData sheetId="5723">
        <row r="4">
          <cell r="A4" t="str">
            <v>BẢNG TÍNH TOÁN, ĐO BÓC KHỐI LƯỢNG HOÀN THÀNH ĐƯA VÀO QUYẾT TOÁN</v>
          </cell>
        </row>
      </sheetData>
      <sheetData sheetId="5724">
        <row r="4">
          <cell r="A4" t="str">
            <v>BẢNG TÍNH TOÁN, ĐO BÓC KHỐI LƯỢNG HOÀN THÀNH ĐƯA VÀO QUYẾT TOÁN</v>
          </cell>
        </row>
      </sheetData>
      <sheetData sheetId="5725">
        <row r="4">
          <cell r="A4" t="str">
            <v>BẢNG TÍNH TOÁN, ĐO BÓC KHỐI LƯỢNG HOÀN THÀNH ĐƯA VÀO QUYẾT TOÁN</v>
          </cell>
        </row>
      </sheetData>
      <sheetData sheetId="5726">
        <row r="4">
          <cell r="A4" t="str">
            <v>BẢNG TÍNH TOÁN, ĐO BÓC KHỐI LƯỢNG HOÀN THÀNH ĐƯA VÀO QUYẾT TOÁN</v>
          </cell>
        </row>
      </sheetData>
      <sheetData sheetId="5727">
        <row r="4">
          <cell r="A4" t="str">
            <v>BẢNG TÍNH TOÁN, ĐO BÓC KHỐI LƯỢNG HOÀN THÀNH ĐƯA VÀO QUYẾT TOÁN</v>
          </cell>
        </row>
      </sheetData>
      <sheetData sheetId="5728">
        <row r="4">
          <cell r="A4" t="str">
            <v>BẢNG TÍNH TOÁN, ĐO BÓC KHỐI LƯỢNG HOÀN THÀNH ĐƯA VÀO QUYẾT TOÁN</v>
          </cell>
        </row>
      </sheetData>
      <sheetData sheetId="5729">
        <row r="4">
          <cell r="A4" t="str">
            <v>BẢNG TÍNH TOÁN, ĐO BÓC KHỐI LƯỢNG HOÀN THÀNH ĐƯA VÀO QUYẾT TOÁN</v>
          </cell>
        </row>
      </sheetData>
      <sheetData sheetId="5730">
        <row r="4">
          <cell r="A4" t="str">
            <v>BẢNG TÍNH TOÁN, ĐO BÓC KHỐI LƯỢNG HOÀN THÀNH ĐƯA VÀO QUYẾT TOÁN</v>
          </cell>
        </row>
      </sheetData>
      <sheetData sheetId="5731">
        <row r="4">
          <cell r="A4" t="str">
            <v>BẢNG TÍNH TOÁN, ĐO BÓC KHỐI LƯỢNG HOÀN THÀNH ĐƯA VÀO QUYẾT TOÁN</v>
          </cell>
        </row>
      </sheetData>
      <sheetData sheetId="5732">
        <row r="4">
          <cell r="A4" t="str">
            <v>BẢNG TÍNH TOÁN, ĐO BÓC KHỐI LƯỢNG HOÀN THÀNH ĐƯA VÀO QUYẾT TOÁN</v>
          </cell>
        </row>
      </sheetData>
      <sheetData sheetId="5733">
        <row r="4">
          <cell r="A4" t="str">
            <v>BẢNG TÍNH TOÁN, ĐO BÓC KHỐI LƯỢNG HOÀN THÀNH ĐƯA VÀO QUYẾT TOÁN</v>
          </cell>
        </row>
      </sheetData>
      <sheetData sheetId="5734">
        <row r="4">
          <cell r="A4" t="str">
            <v>BẢNG TÍNH TOÁN, ĐO BÓC KHỐI LƯỢNG HOÀN THÀNH ĐƯA VÀO QUYẾT TOÁN</v>
          </cell>
        </row>
      </sheetData>
      <sheetData sheetId="5735">
        <row r="4">
          <cell r="A4" t="str">
            <v>BẢNG TÍNH TOÁN, ĐO BÓC KHỐI LƯỢNG HOÀN THÀNH ĐƯA VÀO QUYẾT TOÁN</v>
          </cell>
        </row>
      </sheetData>
      <sheetData sheetId="5736">
        <row r="4">
          <cell r="A4" t="str">
            <v>BẢNG TÍNH TOÁN, ĐO BÓC KHỐI LƯỢNG HOÀN THÀNH ĐƯA VÀO QUYẾT TOÁN</v>
          </cell>
        </row>
      </sheetData>
      <sheetData sheetId="5737">
        <row r="4">
          <cell r="A4" t="str">
            <v>BẢNG TÍNH TOÁN, ĐO BÓC KHỐI LƯỢNG HOÀN THÀNH ĐƯA VÀO QUYẾT TOÁN</v>
          </cell>
        </row>
      </sheetData>
      <sheetData sheetId="5738">
        <row r="4">
          <cell r="A4" t="str">
            <v>BẢNG TÍNH TOÁN, ĐO BÓC KHỐI LƯỢNG HOÀN THÀNH ĐƯA VÀO QUYẾT TOÁN</v>
          </cell>
        </row>
      </sheetData>
      <sheetData sheetId="5739">
        <row r="4">
          <cell r="A4" t="str">
            <v>BẢNG TÍNH TOÁN, ĐO BÓC KHỐI LƯỢNG HOÀN THÀNH ĐƯA VÀO QUYẾT TOÁN</v>
          </cell>
        </row>
      </sheetData>
      <sheetData sheetId="5740">
        <row r="4">
          <cell r="A4" t="str">
            <v>BẢNG TÍNH TOÁN, ĐO BÓC KHỐI LƯỢNG HOÀN THÀNH ĐƯA VÀO QUYẾT TOÁN</v>
          </cell>
        </row>
      </sheetData>
      <sheetData sheetId="5741">
        <row r="4">
          <cell r="A4" t="str">
            <v>BẢNG TÍNH TOÁN, ĐO BÓC KHỐI LƯỢNG HOÀN THÀNH ĐƯA VÀO QUYẾT TOÁN</v>
          </cell>
        </row>
      </sheetData>
      <sheetData sheetId="5742">
        <row r="4">
          <cell r="A4" t="str">
            <v>BẢNG TÍNH TOÁN, ĐO BÓC KHỐI LƯỢNG HOÀN THÀNH ĐƯA VÀO QUYẾT TOÁN</v>
          </cell>
        </row>
      </sheetData>
      <sheetData sheetId="5743">
        <row r="4">
          <cell r="A4" t="str">
            <v>BẢNG TÍNH TOÁN, ĐO BÓC KHỐI LƯỢNG HOÀN THÀNH ĐƯA VÀO QUYẾT TOÁN</v>
          </cell>
        </row>
      </sheetData>
      <sheetData sheetId="5744">
        <row r="4">
          <cell r="A4" t="str">
            <v>BẢNG TÍNH TOÁN, ĐO BÓC KHỐI LƯỢNG HOÀN THÀNH ĐƯA VÀO QUYẾT TOÁN</v>
          </cell>
        </row>
      </sheetData>
      <sheetData sheetId="5745">
        <row r="4">
          <cell r="A4" t="str">
            <v>BẢNG TÍNH TOÁN, ĐO BÓC KHỐI LƯỢNG HOÀN THÀNH ĐƯA VÀO QUYẾT TOÁN</v>
          </cell>
        </row>
      </sheetData>
      <sheetData sheetId="5746">
        <row r="4">
          <cell r="A4" t="str">
            <v>BẢNG TÍNH TOÁN, ĐO BÓC KHỐI LƯỢNG HOÀN THÀNH ĐƯA VÀO QUYẾT TOÁN</v>
          </cell>
        </row>
      </sheetData>
      <sheetData sheetId="5747">
        <row r="4">
          <cell r="A4" t="str">
            <v>BẢNG TÍNH TOÁN, ĐO BÓC KHỐI LƯỢNG HOÀN THÀNH ĐƯA VÀO QUYẾT TOÁN</v>
          </cell>
        </row>
      </sheetData>
      <sheetData sheetId="5748">
        <row r="4">
          <cell r="A4" t="str">
            <v>BẢNG TÍNH TOÁN, ĐO BÓC KHỐI LƯỢNG HOÀN THÀNH ĐƯA VÀO QUYẾT TOÁN</v>
          </cell>
        </row>
      </sheetData>
      <sheetData sheetId="5749">
        <row r="4">
          <cell r="A4" t="str">
            <v>BẢNG TÍNH TOÁN, ĐO BÓC KHỐI LƯỢNG HOÀN THÀNH ĐƯA VÀO QUYẾT TOÁN</v>
          </cell>
        </row>
      </sheetData>
      <sheetData sheetId="5750">
        <row r="4">
          <cell r="A4" t="str">
            <v>BẢNG TÍNH TOÁN, ĐO BÓC KHỐI LƯỢNG HOÀN THÀNH ĐƯA VÀO QUYẾT TOÁN</v>
          </cell>
        </row>
      </sheetData>
      <sheetData sheetId="5751">
        <row r="4">
          <cell r="A4" t="str">
            <v>BẢNG TÍNH TOÁN, ĐO BÓC KHỐI LƯỢNG HOÀN THÀNH ĐƯA VÀO QUYẾT TOÁN</v>
          </cell>
        </row>
      </sheetData>
      <sheetData sheetId="5752">
        <row r="4">
          <cell r="A4" t="str">
            <v>BẢNG TÍNH TOÁN, ĐO BÓC KHỐI LƯỢNG HOÀN THÀNH ĐƯA VÀO QUYẾT TOÁN</v>
          </cell>
        </row>
      </sheetData>
      <sheetData sheetId="5753">
        <row r="4">
          <cell r="A4" t="str">
            <v>BẢNG TÍNH TOÁN, ĐO BÓC KHỐI LƯỢNG HOÀN THÀNH ĐƯA VÀO QUYẾT TOÁN</v>
          </cell>
        </row>
      </sheetData>
      <sheetData sheetId="5754">
        <row r="4">
          <cell r="A4" t="str">
            <v>BẢNG TÍNH TOÁN, ĐO BÓC KHỐI LƯỢNG HOÀN THÀNH ĐƯA VÀO QUYẾT TOÁN</v>
          </cell>
        </row>
      </sheetData>
      <sheetData sheetId="5755">
        <row r="4">
          <cell r="A4" t="str">
            <v>BẢNG TÍNH TOÁN, ĐO BÓC KHỐI LƯỢNG HOÀN THÀNH ĐƯA VÀO QUYẾT TOÁN</v>
          </cell>
        </row>
      </sheetData>
      <sheetData sheetId="5756">
        <row r="4">
          <cell r="A4" t="str">
            <v>BẢNG TÍNH TOÁN, ĐO BÓC KHỐI LƯỢNG HOÀN THÀNH ĐƯA VÀO QUYẾT TOÁN</v>
          </cell>
        </row>
      </sheetData>
      <sheetData sheetId="5757">
        <row r="4">
          <cell r="A4" t="str">
            <v>BẢNG TÍNH TOÁN, ĐO BÓC KHỐI LƯỢNG HOÀN THÀNH ĐƯA VÀO QUYẾT TOÁN</v>
          </cell>
        </row>
      </sheetData>
      <sheetData sheetId="5758">
        <row r="4">
          <cell r="A4" t="str">
            <v>BẢNG TÍNH TOÁN, ĐO BÓC KHỐI LƯỢNG HOÀN THÀNH ĐƯA VÀO QUYẾT TOÁN</v>
          </cell>
        </row>
      </sheetData>
      <sheetData sheetId="5759">
        <row r="4">
          <cell r="A4" t="str">
            <v>BẢNG TÍNH TOÁN, ĐO BÓC KHỐI LƯỢNG HOÀN THÀNH ĐƯA VÀO QUYẾT TOÁN</v>
          </cell>
        </row>
      </sheetData>
      <sheetData sheetId="5760">
        <row r="4">
          <cell r="A4" t="str">
            <v>BẢNG TÍNH TOÁN, ĐO BÓC KHỐI LƯỢNG HOÀN THÀNH ĐƯA VÀO QUYẾT TOÁN</v>
          </cell>
        </row>
      </sheetData>
      <sheetData sheetId="5761">
        <row r="4">
          <cell r="A4" t="str">
            <v>BẢNG TÍNH TOÁN, ĐO BÓC KHỐI LƯỢNG HOÀN THÀNH ĐƯA VÀO QUYẾT TOÁN</v>
          </cell>
        </row>
      </sheetData>
      <sheetData sheetId="5762">
        <row r="4">
          <cell r="A4" t="str">
            <v>BẢNG TÍNH TOÁN, ĐO BÓC KHỐI LƯỢNG HOÀN THÀNH ĐƯA VÀO QUYẾT TOÁN</v>
          </cell>
        </row>
      </sheetData>
      <sheetData sheetId="5763">
        <row r="4">
          <cell r="A4" t="str">
            <v>BẢNG TÍNH TOÁN, ĐO BÓC KHỐI LƯỢNG HOÀN THÀNH ĐƯA VÀO QUYẾT TOÁN</v>
          </cell>
        </row>
      </sheetData>
      <sheetData sheetId="5764">
        <row r="4">
          <cell r="A4" t="str">
            <v>BẢNG TÍNH TOÁN, ĐO BÓC KHỐI LƯỢNG HOÀN THÀNH ĐƯA VÀO QUYẾT TOÁN</v>
          </cell>
        </row>
      </sheetData>
      <sheetData sheetId="5765">
        <row r="4">
          <cell r="A4" t="str">
            <v>BẢNG TÍNH TOÁN, ĐO BÓC KHỐI LƯỢNG HOÀN THÀNH ĐƯA VÀO QUYẾT TOÁN</v>
          </cell>
        </row>
      </sheetData>
      <sheetData sheetId="5766">
        <row r="4">
          <cell r="A4" t="str">
            <v>BẢNG TÍNH TOÁN, ĐO BÓC KHỐI LƯỢNG HOÀN THÀNH ĐƯA VÀO QUYẾT TOÁN</v>
          </cell>
        </row>
      </sheetData>
      <sheetData sheetId="5767">
        <row r="4">
          <cell r="A4" t="str">
            <v>BẢNG TÍNH TOÁN, ĐO BÓC KHỐI LƯỢNG HOÀN THÀNH ĐƯA VÀO QUYẾT TOÁN</v>
          </cell>
        </row>
      </sheetData>
      <sheetData sheetId="5768">
        <row r="4">
          <cell r="A4" t="str">
            <v>BẢNG TÍNH TOÁN, ĐO BÓC KHỐI LƯỢNG HOÀN THÀNH ĐƯA VÀO QUYẾT TOÁN</v>
          </cell>
        </row>
      </sheetData>
      <sheetData sheetId="5769">
        <row r="4">
          <cell r="A4" t="str">
            <v>BẢNG TÍNH TOÁN, ĐO BÓC KHỐI LƯỢNG HOÀN THÀNH ĐƯA VÀO QUYẾT TOÁN</v>
          </cell>
        </row>
      </sheetData>
      <sheetData sheetId="5770">
        <row r="4">
          <cell r="A4" t="str">
            <v>BẢNG TÍNH TOÁN, ĐO BÓC KHỐI LƯỢNG HOÀN THÀNH ĐƯA VÀO QUYẾT TOÁN</v>
          </cell>
        </row>
      </sheetData>
      <sheetData sheetId="5771">
        <row r="4">
          <cell r="A4" t="str">
            <v>BẢNG TÍNH TOÁN, ĐO BÓC KHỐI LƯỢNG HOÀN THÀNH ĐƯA VÀO QUYẾT TOÁN</v>
          </cell>
        </row>
      </sheetData>
      <sheetData sheetId="5772">
        <row r="4">
          <cell r="A4" t="str">
            <v>BẢNG TÍNH TOÁN, ĐO BÓC KHỐI LƯỢNG HOÀN THÀNH ĐƯA VÀO QUYẾT TOÁN</v>
          </cell>
        </row>
      </sheetData>
      <sheetData sheetId="5773">
        <row r="4">
          <cell r="A4" t="str">
            <v>BẢNG TÍNH TOÁN, ĐO BÓC KHỐI LƯỢNG HOÀN THÀNH ĐƯA VÀO QUYẾT TOÁN</v>
          </cell>
        </row>
      </sheetData>
      <sheetData sheetId="5774">
        <row r="4">
          <cell r="A4" t="str">
            <v>BẢNG TÍNH TOÁN, ĐO BÓC KHỐI LƯỢNG HOÀN THÀNH ĐƯA VÀO QUYẾT TOÁN</v>
          </cell>
        </row>
      </sheetData>
      <sheetData sheetId="5775">
        <row r="4">
          <cell r="A4" t="str">
            <v>BẢNG TÍNH TOÁN, ĐO BÓC KHỐI LƯỢNG HOÀN THÀNH ĐƯA VÀO QUYẾT TOÁN</v>
          </cell>
        </row>
      </sheetData>
      <sheetData sheetId="5776">
        <row r="4">
          <cell r="A4" t="str">
            <v>BẢNG TÍNH TOÁN, ĐO BÓC KHỐI LƯỢNG HOÀN THÀNH ĐƯA VÀO QUYẾT TOÁN</v>
          </cell>
        </row>
      </sheetData>
      <sheetData sheetId="5777">
        <row r="4">
          <cell r="A4" t="str">
            <v>BẢNG TÍNH TOÁN, ĐO BÓC KHỐI LƯỢNG HOÀN THÀNH ĐƯA VÀO QUYẾT TOÁN</v>
          </cell>
        </row>
      </sheetData>
      <sheetData sheetId="5778">
        <row r="4">
          <cell r="A4" t="str">
            <v>BẢNG TÍNH TOÁN, ĐO BÓC KHỐI LƯỢNG HOÀN THÀNH ĐƯA VÀO QUYẾT TOÁN</v>
          </cell>
        </row>
      </sheetData>
      <sheetData sheetId="5779">
        <row r="4">
          <cell r="A4" t="str">
            <v>BẢNG TÍNH TOÁN, ĐO BÓC KHỐI LƯỢNG HOÀN THÀNH ĐƯA VÀO QUYẾT TOÁN</v>
          </cell>
        </row>
      </sheetData>
      <sheetData sheetId="5780">
        <row r="4">
          <cell r="A4" t="str">
            <v>BẢNG TÍNH TOÁN, ĐO BÓC KHỐI LƯỢNG HOÀN THÀNH ĐƯA VÀO QUYẾT TOÁN</v>
          </cell>
        </row>
      </sheetData>
      <sheetData sheetId="5781">
        <row r="4">
          <cell r="A4" t="str">
            <v>BẢNG TÍNH TOÁN, ĐO BÓC KHỐI LƯỢNG HOÀN THÀNH ĐƯA VÀO QUYẾT TOÁN</v>
          </cell>
        </row>
      </sheetData>
      <sheetData sheetId="5782">
        <row r="4">
          <cell r="A4" t="str">
            <v>BẢNG TÍNH TOÁN, ĐO BÓC KHỐI LƯỢNG HOÀN THÀNH ĐƯA VÀO QUYẾT TOÁN</v>
          </cell>
        </row>
      </sheetData>
      <sheetData sheetId="5783">
        <row r="4">
          <cell r="A4" t="str">
            <v>BẢNG TÍNH TOÁN, ĐO BÓC KHỐI LƯỢNG HOÀN THÀNH ĐƯA VÀO QUYẾT TOÁN</v>
          </cell>
        </row>
      </sheetData>
      <sheetData sheetId="5784">
        <row r="4">
          <cell r="A4" t="str">
            <v>BẢNG TÍNH TOÁN, ĐO BÓC KHỐI LƯỢNG HOÀN THÀNH ĐƯA VÀO QUYẾT TOÁN</v>
          </cell>
        </row>
      </sheetData>
      <sheetData sheetId="5785">
        <row r="4">
          <cell r="A4" t="str">
            <v>BẢNG TÍNH TOÁN, ĐO BÓC KHỐI LƯỢNG HOÀN THÀNH ĐƯA VÀO QUYẾT TOÁN</v>
          </cell>
        </row>
      </sheetData>
      <sheetData sheetId="5786">
        <row r="4">
          <cell r="A4" t="str">
            <v>BẢNG TÍNH TOÁN, ĐO BÓC KHỐI LƯỢNG HOÀN THÀNH ĐƯA VÀO QUYẾT TOÁN</v>
          </cell>
        </row>
      </sheetData>
      <sheetData sheetId="5787">
        <row r="4">
          <cell r="A4" t="str">
            <v>BẢNG TÍNH TOÁN, ĐO BÓC KHỐI LƯỢNG HOÀN THÀNH ĐƯA VÀO QUYẾT TOÁN</v>
          </cell>
        </row>
      </sheetData>
      <sheetData sheetId="5788">
        <row r="4">
          <cell r="A4" t="str">
            <v>BẢNG TÍNH TOÁN, ĐO BÓC KHỐI LƯỢNG HOÀN THÀNH ĐƯA VÀO QUYẾT TOÁN</v>
          </cell>
        </row>
      </sheetData>
      <sheetData sheetId="5789">
        <row r="4">
          <cell r="A4" t="str">
            <v>BẢNG TÍNH TOÁN, ĐO BÓC KHỐI LƯỢNG HOÀN THÀNH ĐƯA VÀO QUYẾT TOÁN</v>
          </cell>
        </row>
      </sheetData>
      <sheetData sheetId="5790">
        <row r="4">
          <cell r="A4" t="str">
            <v>BẢNG TÍNH TOÁN, ĐO BÓC KHỐI LƯỢNG HOÀN THÀNH ĐƯA VÀO QUYẾT TOÁN</v>
          </cell>
        </row>
      </sheetData>
      <sheetData sheetId="5791">
        <row r="4">
          <cell r="A4" t="str">
            <v>BẢNG TÍNH TOÁN, ĐO BÓC KHỐI LƯỢNG HOÀN THÀNH ĐƯA VÀO QUYẾT TOÁN</v>
          </cell>
        </row>
      </sheetData>
      <sheetData sheetId="5792">
        <row r="4">
          <cell r="A4" t="str">
            <v>BẢNG TÍNH TOÁN, ĐO BÓC KHỐI LƯỢNG HOÀN THÀNH ĐƯA VÀO QUYẾT TOÁN</v>
          </cell>
        </row>
      </sheetData>
      <sheetData sheetId="5793">
        <row r="4">
          <cell r="A4" t="str">
            <v>BẢNG TÍNH TOÁN, ĐO BÓC KHỐI LƯỢNG HOÀN THÀNH ĐƯA VÀO QUYẾT TOÁN</v>
          </cell>
        </row>
      </sheetData>
      <sheetData sheetId="5794">
        <row r="4">
          <cell r="A4" t="str">
            <v>BẢNG TÍNH TOÁN, ĐO BÓC KHỐI LƯỢNG HOÀN THÀNH ĐƯA VÀO QUYẾT TOÁN</v>
          </cell>
        </row>
      </sheetData>
      <sheetData sheetId="5795">
        <row r="4">
          <cell r="A4" t="str">
            <v>BẢNG TÍNH TOÁN, ĐO BÓC KHỐI LƯỢNG HOÀN THÀNH ĐƯA VÀO QUYẾT TOÁN</v>
          </cell>
        </row>
      </sheetData>
      <sheetData sheetId="5796">
        <row r="4">
          <cell r="A4" t="str">
            <v>BẢNG TÍNH TOÁN, ĐO BÓC KHỐI LƯỢNG HOÀN THÀNH ĐƯA VÀO QUYẾT TOÁN</v>
          </cell>
        </row>
      </sheetData>
      <sheetData sheetId="5797">
        <row r="4">
          <cell r="A4" t="str">
            <v>BẢNG TÍNH TOÁN, ĐO BÓC KHỐI LƯỢNG HOÀN THÀNH ĐƯA VÀO QUYẾT TOÁN</v>
          </cell>
        </row>
      </sheetData>
      <sheetData sheetId="5798">
        <row r="4">
          <cell r="A4" t="str">
            <v>BẢNG TÍNH TOÁN, ĐO BÓC KHỐI LƯỢNG HOÀN THÀNH ĐƯA VÀO QUYẾT TOÁN</v>
          </cell>
        </row>
      </sheetData>
      <sheetData sheetId="5799">
        <row r="4">
          <cell r="A4" t="str">
            <v>BẢNG TÍNH TOÁN, ĐO BÓC KHỐI LƯỢNG HOÀN THÀNH ĐƯA VÀO QUYẾT TOÁN</v>
          </cell>
        </row>
      </sheetData>
      <sheetData sheetId="5800">
        <row r="4">
          <cell r="A4" t="str">
            <v>BẢNG TÍNH TOÁN, ĐO BÓC KHỐI LƯỢNG HOÀN THÀNH ĐƯA VÀO QUYẾT TOÁN</v>
          </cell>
        </row>
      </sheetData>
      <sheetData sheetId="5801">
        <row r="4">
          <cell r="A4" t="str">
            <v>BẢNG TÍNH TOÁN, ĐO BÓC KHỐI LƯỢNG HOÀN THÀNH ĐƯA VÀO QUYẾT TOÁN</v>
          </cell>
        </row>
      </sheetData>
      <sheetData sheetId="5802">
        <row r="4">
          <cell r="A4" t="str">
            <v>BẢNG TÍNH TOÁN, ĐO BÓC KHỐI LƯỢNG HOÀN THÀNH ĐƯA VÀO QUYẾT TOÁN</v>
          </cell>
        </row>
      </sheetData>
      <sheetData sheetId="5803">
        <row r="4">
          <cell r="A4" t="str">
            <v>BẢNG TÍNH TOÁN, ĐO BÓC KHỐI LƯỢNG HOÀN THÀNH ĐƯA VÀO QUYẾT TOÁN</v>
          </cell>
        </row>
      </sheetData>
      <sheetData sheetId="5804">
        <row r="4">
          <cell r="A4" t="str">
            <v>BẢNG TÍNH TOÁN, ĐO BÓC KHỐI LƯỢNG HOÀN THÀNH ĐƯA VÀO QUYẾT TOÁN</v>
          </cell>
        </row>
      </sheetData>
      <sheetData sheetId="5805">
        <row r="4">
          <cell r="A4" t="str">
            <v>BẢNG TÍNH TOÁN, ĐO BÓC KHỐI LƯỢNG HOÀN THÀNH ĐƯA VÀO QUYẾT TOÁN</v>
          </cell>
        </row>
      </sheetData>
      <sheetData sheetId="5806">
        <row r="4">
          <cell r="A4" t="str">
            <v>BẢNG TÍNH TOÁN, ĐO BÓC KHỐI LƯỢNG HOÀN THÀNH ĐƯA VÀO QUYẾT TOÁN</v>
          </cell>
        </row>
      </sheetData>
      <sheetData sheetId="5807">
        <row r="4">
          <cell r="A4" t="str">
            <v>BẢNG TÍNH TOÁN, ĐO BÓC KHỐI LƯỢNG HOÀN THÀNH ĐƯA VÀO QUYẾT TOÁN</v>
          </cell>
        </row>
      </sheetData>
      <sheetData sheetId="5808">
        <row r="4">
          <cell r="A4" t="str">
            <v>BẢNG TÍNH TOÁN, ĐO BÓC KHỐI LƯỢNG HOÀN THÀNH ĐƯA VÀO QUYẾT TOÁN</v>
          </cell>
        </row>
      </sheetData>
      <sheetData sheetId="5809">
        <row r="4">
          <cell r="A4" t="str">
            <v>BẢNG TÍNH TOÁN, ĐO BÓC KHỐI LƯỢNG HOÀN THÀNH ĐƯA VÀO QUYẾT TOÁN</v>
          </cell>
        </row>
      </sheetData>
      <sheetData sheetId="5810">
        <row r="4">
          <cell r="A4" t="str">
            <v>BẢNG TÍNH TOÁN, ĐO BÓC KHỐI LƯỢNG HOÀN THÀNH ĐƯA VÀO QUYẾT TOÁN</v>
          </cell>
        </row>
      </sheetData>
      <sheetData sheetId="5811">
        <row r="4">
          <cell r="A4" t="str">
            <v>BẢNG TÍNH TOÁN, ĐO BÓC KHỐI LƯỢNG HOÀN THÀNH ĐƯA VÀO QUYẾT TOÁN</v>
          </cell>
        </row>
      </sheetData>
      <sheetData sheetId="5812">
        <row r="4">
          <cell r="A4" t="str">
            <v>BẢNG TÍNH TOÁN, ĐO BÓC KHỐI LƯỢNG HOÀN THÀNH ĐƯA VÀO QUYẾT TOÁN</v>
          </cell>
        </row>
      </sheetData>
      <sheetData sheetId="5813">
        <row r="4">
          <cell r="A4" t="str">
            <v>BẢNG TÍNH TOÁN, ĐO BÓC KHỐI LƯỢNG HOÀN THÀNH ĐƯA VÀO QUYẾT TOÁN</v>
          </cell>
        </row>
      </sheetData>
      <sheetData sheetId="5814">
        <row r="4">
          <cell r="A4" t="str">
            <v>BẢNG TÍNH TOÁN, ĐO BÓC KHỐI LƯỢNG HOÀN THÀNH ĐƯA VÀO QUYẾT TOÁN</v>
          </cell>
        </row>
      </sheetData>
      <sheetData sheetId="5815">
        <row r="4">
          <cell r="A4" t="str">
            <v>BẢNG TÍNH TOÁN, ĐO BÓC KHỐI LƯỢNG HOÀN THÀNH ĐƯA VÀO QUYẾT TOÁN</v>
          </cell>
        </row>
      </sheetData>
      <sheetData sheetId="5816">
        <row r="4">
          <cell r="A4" t="str">
            <v>BẢNG TÍNH TOÁN, ĐO BÓC KHỐI LƯỢNG HOÀN THÀNH ĐƯA VÀO QUYẾT TOÁN</v>
          </cell>
        </row>
      </sheetData>
      <sheetData sheetId="5817">
        <row r="4">
          <cell r="A4" t="str">
            <v>BẢNG TÍNH TOÁN, ĐO BÓC KHỐI LƯỢNG HOÀN THÀNH ĐƯA VÀO QUYẾT TOÁN</v>
          </cell>
        </row>
      </sheetData>
      <sheetData sheetId="5818">
        <row r="4">
          <cell r="A4" t="str">
            <v>BẢNG TÍNH TOÁN, ĐO BÓC KHỐI LƯỢNG HOÀN THÀNH ĐƯA VÀO QUYẾT TOÁN</v>
          </cell>
        </row>
      </sheetData>
      <sheetData sheetId="5819">
        <row r="4">
          <cell r="A4" t="str">
            <v>BẢNG TÍNH TOÁN, ĐO BÓC KHỐI LƯỢNG HOÀN THÀNH ĐƯA VÀO QUYẾT TOÁN</v>
          </cell>
        </row>
      </sheetData>
      <sheetData sheetId="5820">
        <row r="4">
          <cell r="A4" t="str">
            <v>BẢNG TÍNH TOÁN, ĐO BÓC KHỐI LƯỢNG HOÀN THÀNH ĐƯA VÀO QUYẾT TOÁN</v>
          </cell>
        </row>
      </sheetData>
      <sheetData sheetId="5821">
        <row r="4">
          <cell r="A4" t="str">
            <v>BẢNG TÍNH TOÁN, ĐO BÓC KHỐI LƯỢNG HOÀN THÀNH ĐƯA VÀO QUYẾT TOÁN</v>
          </cell>
        </row>
      </sheetData>
      <sheetData sheetId="5822">
        <row r="4">
          <cell r="A4" t="str">
            <v>BẢNG TÍNH TOÁN, ĐO BÓC KHỐI LƯỢNG HOÀN THÀNH ĐƯA VÀO QUYẾT TOÁN</v>
          </cell>
        </row>
      </sheetData>
      <sheetData sheetId="5823">
        <row r="4">
          <cell r="A4" t="str">
            <v>BẢNG TÍNH TOÁN, ĐO BÓC KHỐI LƯỢNG HOÀN THÀNH ĐƯA VÀO QUYẾT TOÁN</v>
          </cell>
        </row>
      </sheetData>
      <sheetData sheetId="5824">
        <row r="4">
          <cell r="A4" t="str">
            <v>BẢNG TÍNH TOÁN, ĐO BÓC KHỐI LƯỢNG HOÀN THÀNH ĐƯA VÀO QUYẾT TOÁN</v>
          </cell>
        </row>
      </sheetData>
      <sheetData sheetId="5825">
        <row r="4">
          <cell r="A4" t="str">
            <v>BẢNG TÍNH TOÁN, ĐO BÓC KHỐI LƯỢNG HOÀN THÀNH ĐƯA VÀO QUYẾT TOÁN</v>
          </cell>
        </row>
      </sheetData>
      <sheetData sheetId="5826">
        <row r="4">
          <cell r="A4" t="str">
            <v>BẢNG TÍNH TOÁN, ĐO BÓC KHỐI LƯỢNG HOÀN THÀNH ĐƯA VÀO QUYẾT TOÁN</v>
          </cell>
        </row>
      </sheetData>
      <sheetData sheetId="5827">
        <row r="4">
          <cell r="A4" t="str">
            <v>BẢNG TÍNH TOÁN, ĐO BÓC KHỐI LƯỢNG HOÀN THÀNH ĐƯA VÀO QUYẾT TOÁN</v>
          </cell>
        </row>
      </sheetData>
      <sheetData sheetId="5828">
        <row r="4">
          <cell r="A4" t="str">
            <v>BẢNG TÍNH TOÁN, ĐO BÓC KHỐI LƯỢNG HOÀN THÀNH ĐƯA VÀO QUYẾT TOÁN</v>
          </cell>
        </row>
      </sheetData>
      <sheetData sheetId="5829">
        <row r="4">
          <cell r="A4" t="str">
            <v>BẢNG TÍNH TOÁN, ĐO BÓC KHỐI LƯỢNG HOÀN THÀNH ĐƯA VÀO QUYẾT TOÁN</v>
          </cell>
        </row>
      </sheetData>
      <sheetData sheetId="5830">
        <row r="4">
          <cell r="A4" t="str">
            <v>BẢNG TÍNH TOÁN, ĐO BÓC KHỐI LƯỢNG HOÀN THÀNH ĐƯA VÀO QUYẾT TOÁN</v>
          </cell>
        </row>
      </sheetData>
      <sheetData sheetId="5831">
        <row r="4">
          <cell r="A4" t="str">
            <v>BẢNG TÍNH TOÁN, ĐO BÓC KHỐI LƯỢNG HOÀN THÀNH ĐƯA VÀO QUYẾT TOÁN</v>
          </cell>
        </row>
      </sheetData>
      <sheetData sheetId="5832">
        <row r="4">
          <cell r="A4" t="str">
            <v>BẢNG TÍNH TOÁN, ĐO BÓC KHỐI LƯỢNG HOÀN THÀNH ĐƯA VÀO QUYẾT TOÁN</v>
          </cell>
        </row>
      </sheetData>
      <sheetData sheetId="5833">
        <row r="4">
          <cell r="A4" t="str">
            <v>BẢNG TÍNH TOÁN, ĐO BÓC KHỐI LƯỢNG HOÀN THÀNH ĐƯA VÀO QUYẾT TOÁN</v>
          </cell>
        </row>
      </sheetData>
      <sheetData sheetId="5834">
        <row r="4">
          <cell r="A4" t="str">
            <v>BẢNG TÍNH TOÁN, ĐO BÓC KHỐI LƯỢNG HOÀN THÀNH ĐƯA VÀO QUYẾT TOÁN</v>
          </cell>
        </row>
      </sheetData>
      <sheetData sheetId="5835">
        <row r="4">
          <cell r="A4" t="str">
            <v>BẢNG TÍNH TOÁN, ĐO BÓC KHỐI LƯỢNG HOÀN THÀNH ĐƯA VÀO QUYẾT TOÁN</v>
          </cell>
        </row>
      </sheetData>
      <sheetData sheetId="5836">
        <row r="4">
          <cell r="A4" t="str">
            <v>BẢNG TÍNH TOÁN, ĐO BÓC KHỐI LƯỢNG HOÀN THÀNH ĐƯA VÀO QUYẾT TOÁN</v>
          </cell>
        </row>
      </sheetData>
      <sheetData sheetId="5837">
        <row r="4">
          <cell r="A4" t="str">
            <v>BẢNG TÍNH TOÁN, ĐO BÓC KHỐI LƯỢNG HOÀN THÀNH ĐƯA VÀO QUYẾT TOÁN</v>
          </cell>
        </row>
      </sheetData>
      <sheetData sheetId="5838">
        <row r="4">
          <cell r="A4" t="str">
            <v>BẢNG TÍNH TOÁN, ĐO BÓC KHỐI LƯỢNG HOÀN THÀNH ĐƯA VÀO QUYẾT TOÁN</v>
          </cell>
        </row>
      </sheetData>
      <sheetData sheetId="5839">
        <row r="4">
          <cell r="A4" t="str">
            <v>BẢNG TÍNH TOÁN, ĐO BÓC KHỐI LƯỢNG HOÀN THÀNH ĐƯA VÀO QUYẾT TOÁN</v>
          </cell>
        </row>
      </sheetData>
      <sheetData sheetId="5840">
        <row r="4">
          <cell r="A4" t="str">
            <v>BẢNG TÍNH TOÁN, ĐO BÓC KHỐI LƯỢNG HOÀN THÀNH ĐƯA VÀO QUYẾT TOÁN</v>
          </cell>
        </row>
      </sheetData>
      <sheetData sheetId="5841">
        <row r="4">
          <cell r="A4" t="str">
            <v>BẢNG TÍNH TOÁN, ĐO BÓC KHỐI LƯỢNG HOÀN THÀNH ĐƯA VÀO QUYẾT TOÁN</v>
          </cell>
        </row>
      </sheetData>
      <sheetData sheetId="5842">
        <row r="4">
          <cell r="A4" t="str">
            <v>BẢNG TÍNH TOÁN, ĐO BÓC KHỐI LƯỢNG HOÀN THÀNH ĐƯA VÀO QUYẾT TOÁN</v>
          </cell>
        </row>
      </sheetData>
      <sheetData sheetId="5843">
        <row r="4">
          <cell r="A4" t="str">
            <v>BẢNG TÍNH TOÁN, ĐO BÓC KHỐI LƯỢNG HOÀN THÀNH ĐƯA VÀO QUYẾT TOÁN</v>
          </cell>
        </row>
      </sheetData>
      <sheetData sheetId="5844">
        <row r="4">
          <cell r="A4" t="str">
            <v>BẢNG TÍNH TOÁN, ĐO BÓC KHỐI LƯỢNG HOÀN THÀNH ĐƯA VÀO QUYẾT TOÁN</v>
          </cell>
        </row>
      </sheetData>
      <sheetData sheetId="5845">
        <row r="4">
          <cell r="A4" t="str">
            <v>BẢNG TÍNH TOÁN, ĐO BÓC KHỐI LƯỢNG HOÀN THÀNH ĐƯA VÀO QUYẾT TOÁN</v>
          </cell>
        </row>
      </sheetData>
      <sheetData sheetId="5846">
        <row r="4">
          <cell r="A4" t="str">
            <v>BẢNG TÍNH TOÁN, ĐO BÓC KHỐI LƯỢNG HOÀN THÀNH ĐƯA VÀO QUYẾT TOÁN</v>
          </cell>
        </row>
      </sheetData>
      <sheetData sheetId="5847">
        <row r="4">
          <cell r="A4" t="str">
            <v>BẢNG TÍNH TOÁN, ĐO BÓC KHỐI LƯỢNG HOÀN THÀNH ĐƯA VÀO QUYẾT TOÁN</v>
          </cell>
        </row>
      </sheetData>
      <sheetData sheetId="5848">
        <row r="4">
          <cell r="A4" t="str">
            <v>BẢNG TÍNH TOÁN, ĐO BÓC KHỐI LƯỢNG HOÀN THÀNH ĐƯA VÀO QUYẾT TOÁN</v>
          </cell>
        </row>
      </sheetData>
      <sheetData sheetId="5849">
        <row r="4">
          <cell r="A4" t="str">
            <v>BẢNG TÍNH TOÁN, ĐO BÓC KHỐI LƯỢNG HOÀN THÀNH ĐƯA VÀO QUYẾT TOÁN</v>
          </cell>
        </row>
      </sheetData>
      <sheetData sheetId="5850">
        <row r="4">
          <cell r="A4" t="str">
            <v>BẢNG TÍNH TOÁN, ĐO BÓC KHỐI LƯỢNG HOÀN THÀNH ĐƯA VÀO QUYẾT TOÁN</v>
          </cell>
        </row>
      </sheetData>
      <sheetData sheetId="5851">
        <row r="4">
          <cell r="A4" t="str">
            <v>BẢNG TÍNH TOÁN, ĐO BÓC KHỐI LƯỢNG HOÀN THÀNH ĐƯA VÀO QUYẾT TOÁN</v>
          </cell>
        </row>
      </sheetData>
      <sheetData sheetId="5852">
        <row r="4">
          <cell r="A4" t="str">
            <v>BẢNG TÍNH TOÁN, ĐO BÓC KHỐI LƯỢNG HOÀN THÀNH ĐƯA VÀO QUYẾT TOÁN</v>
          </cell>
        </row>
      </sheetData>
      <sheetData sheetId="5853">
        <row r="4">
          <cell r="A4" t="str">
            <v>BẢNG TÍNH TOÁN, ĐO BÓC KHỐI LƯỢNG HOÀN THÀNH ĐƯA VÀO QUYẾT TOÁN</v>
          </cell>
        </row>
      </sheetData>
      <sheetData sheetId="5854">
        <row r="4">
          <cell r="A4" t="str">
            <v>BẢNG TÍNH TOÁN, ĐO BÓC KHỐI LƯỢNG HOÀN THÀNH ĐƯA VÀO QUYẾT TOÁN</v>
          </cell>
        </row>
      </sheetData>
      <sheetData sheetId="5855">
        <row r="4">
          <cell r="A4" t="str">
            <v>BẢNG TÍNH TOÁN, ĐO BÓC KHỐI LƯỢNG HOÀN THÀNH ĐƯA VÀO QUYẾT TOÁN</v>
          </cell>
        </row>
      </sheetData>
      <sheetData sheetId="5856">
        <row r="4">
          <cell r="A4" t="str">
            <v>BẢNG TÍNH TOÁN, ĐO BÓC KHỐI LƯỢNG HOÀN THÀNH ĐƯA VÀO QUYẾT TOÁN</v>
          </cell>
        </row>
      </sheetData>
      <sheetData sheetId="5857">
        <row r="4">
          <cell r="A4" t="str">
            <v>BẢNG TÍNH TOÁN, ĐO BÓC KHỐI LƯỢNG HOÀN THÀNH ĐƯA VÀO QUYẾT TOÁN</v>
          </cell>
        </row>
      </sheetData>
      <sheetData sheetId="5858">
        <row r="4">
          <cell r="A4" t="str">
            <v>BẢNG TÍNH TOÁN, ĐO BÓC KHỐI LƯỢNG HOÀN THÀNH ĐƯA VÀO QUYẾT TOÁN</v>
          </cell>
        </row>
      </sheetData>
      <sheetData sheetId="5859">
        <row r="4">
          <cell r="A4" t="str">
            <v>BẢNG TÍNH TOÁN, ĐO BÓC KHỐI LƯỢNG HOÀN THÀNH ĐƯA VÀO QUYẾT TOÁN</v>
          </cell>
        </row>
      </sheetData>
      <sheetData sheetId="5860">
        <row r="4">
          <cell r="A4" t="str">
            <v>BẢNG TÍNH TOÁN, ĐO BÓC KHỐI LƯỢNG HOÀN THÀNH ĐƯA VÀO QUYẾT TOÁN</v>
          </cell>
        </row>
      </sheetData>
      <sheetData sheetId="5861">
        <row r="4">
          <cell r="A4" t="str">
            <v>BẢNG TÍNH TOÁN, ĐO BÓC KHỐI LƯỢNG HOÀN THÀNH ĐƯA VÀO QUYẾT TOÁN</v>
          </cell>
        </row>
      </sheetData>
      <sheetData sheetId="5862">
        <row r="4">
          <cell r="A4" t="str">
            <v>BẢNG TÍNH TOÁN, ĐO BÓC KHỐI LƯỢNG HOÀN THÀNH ĐƯA VÀO QUYẾT TOÁN</v>
          </cell>
        </row>
      </sheetData>
      <sheetData sheetId="5863">
        <row r="4">
          <cell r="A4" t="str">
            <v>BẢNG TÍNH TOÁN, ĐO BÓC KHỐI LƯỢNG HOÀN THÀNH ĐƯA VÀO QUYẾT TOÁN</v>
          </cell>
        </row>
      </sheetData>
      <sheetData sheetId="5864">
        <row r="4">
          <cell r="A4" t="str">
            <v>BẢNG TÍNH TOÁN, ĐO BÓC KHỐI LƯỢNG HOÀN THÀNH ĐƯA VÀO QUYẾT TOÁN</v>
          </cell>
        </row>
      </sheetData>
      <sheetData sheetId="5865">
        <row r="4">
          <cell r="A4" t="str">
            <v>BẢNG TÍNH TOÁN, ĐO BÓC KHỐI LƯỢNG HOÀN THÀNH ĐƯA VÀO QUYẾT TOÁN</v>
          </cell>
        </row>
      </sheetData>
      <sheetData sheetId="5866">
        <row r="4">
          <cell r="A4" t="str">
            <v>BẢNG TÍNH TOÁN, ĐO BÓC KHỐI LƯỢNG HOÀN THÀNH ĐƯA VÀO QUYẾT TOÁN</v>
          </cell>
        </row>
      </sheetData>
      <sheetData sheetId="5867">
        <row r="4">
          <cell r="A4" t="str">
            <v>BẢNG TÍNH TOÁN, ĐO BÓC KHỐI LƯỢNG HOÀN THÀNH ĐƯA VÀO QUYẾT TOÁN</v>
          </cell>
        </row>
      </sheetData>
      <sheetData sheetId="5868">
        <row r="4">
          <cell r="A4" t="str">
            <v>BẢNG TÍNH TOÁN, ĐO BÓC KHỐI LƯỢNG HOÀN THÀNH ĐƯA VÀO QUYẾT TOÁN</v>
          </cell>
        </row>
      </sheetData>
      <sheetData sheetId="5869">
        <row r="4">
          <cell r="A4" t="str">
            <v>BẢNG TÍNH TOÁN, ĐO BÓC KHỐI LƯỢNG HOÀN THÀNH ĐƯA VÀO QUYẾT TOÁN</v>
          </cell>
        </row>
      </sheetData>
      <sheetData sheetId="5870">
        <row r="4">
          <cell r="A4" t="str">
            <v>BẢNG TÍNH TOÁN, ĐO BÓC KHỐI LƯỢNG HOÀN THÀNH ĐƯA VÀO QUYẾT TOÁN</v>
          </cell>
        </row>
      </sheetData>
      <sheetData sheetId="5871">
        <row r="4">
          <cell r="A4" t="str">
            <v>BẢNG TÍNH TOÁN, ĐO BÓC KHỐI LƯỢNG HOÀN THÀNH ĐƯA VÀO QUYẾT TOÁN</v>
          </cell>
        </row>
      </sheetData>
      <sheetData sheetId="5872">
        <row r="4">
          <cell r="A4" t="str">
            <v>BẢNG TÍNH TOÁN, ĐO BÓC KHỐI LƯỢNG HOÀN THÀNH ĐƯA VÀO QUYẾT TOÁN</v>
          </cell>
        </row>
      </sheetData>
      <sheetData sheetId="5873">
        <row r="4">
          <cell r="A4" t="str">
            <v>BẢNG TÍNH TOÁN, ĐO BÓC KHỐI LƯỢNG HOÀN THÀNH ĐƯA VÀO QUYẾT TOÁN</v>
          </cell>
        </row>
      </sheetData>
      <sheetData sheetId="5874">
        <row r="4">
          <cell r="A4" t="str">
            <v>BẢNG TÍNH TOÁN, ĐO BÓC KHỐI LƯỢNG HOÀN THÀNH ĐƯA VÀO QUYẾT TOÁN</v>
          </cell>
        </row>
      </sheetData>
      <sheetData sheetId="5875">
        <row r="4">
          <cell r="A4" t="str">
            <v>BẢNG TÍNH TOÁN, ĐO BÓC KHỐI LƯỢNG HOÀN THÀNH ĐƯA VÀO QUYẾT TOÁN</v>
          </cell>
        </row>
      </sheetData>
      <sheetData sheetId="5876">
        <row r="4">
          <cell r="A4" t="str">
            <v>BẢNG TÍNH TOÁN, ĐO BÓC KHỐI LƯỢNG HOÀN THÀNH ĐƯA VÀO QUYẾT TOÁN</v>
          </cell>
        </row>
      </sheetData>
      <sheetData sheetId="5877">
        <row r="4">
          <cell r="A4" t="str">
            <v>BẢNG TÍNH TOÁN, ĐO BÓC KHỐI LƯỢNG HOÀN THÀNH ĐƯA VÀO QUYẾT TOÁN</v>
          </cell>
        </row>
      </sheetData>
      <sheetData sheetId="5878">
        <row r="4">
          <cell r="A4" t="str">
            <v>BẢNG TÍNH TOÁN, ĐO BÓC KHỐI LƯỢNG HOÀN THÀNH ĐƯA VÀO QUYẾT TOÁN</v>
          </cell>
        </row>
      </sheetData>
      <sheetData sheetId="5879">
        <row r="4">
          <cell r="A4" t="str">
            <v>BẢNG TÍNH TOÁN, ĐO BÓC KHỐI LƯỢNG HOÀN THÀNH ĐƯA VÀO QUYẾT TOÁN</v>
          </cell>
        </row>
      </sheetData>
      <sheetData sheetId="5880">
        <row r="4">
          <cell r="A4" t="str">
            <v>BẢNG TÍNH TOÁN, ĐO BÓC KHỐI LƯỢNG HOÀN THÀNH ĐƯA VÀO QUYẾT TOÁN</v>
          </cell>
        </row>
      </sheetData>
      <sheetData sheetId="5881">
        <row r="4">
          <cell r="A4" t="str">
            <v>BẢNG TÍNH TOÁN, ĐO BÓC KHỐI LƯỢNG HOÀN THÀNH ĐƯA VÀO QUYẾT TOÁN</v>
          </cell>
        </row>
      </sheetData>
      <sheetData sheetId="5882">
        <row r="4">
          <cell r="A4" t="str">
            <v>BẢNG TÍNH TOÁN, ĐO BÓC KHỐI LƯỢNG HOÀN THÀNH ĐƯA VÀO QUYẾT TOÁN</v>
          </cell>
        </row>
      </sheetData>
      <sheetData sheetId="5883">
        <row r="4">
          <cell r="A4" t="str">
            <v>BẢNG TÍNH TOÁN, ĐO BÓC KHỐI LƯỢNG HOÀN THÀNH ĐƯA VÀO QUYẾT TOÁN</v>
          </cell>
        </row>
      </sheetData>
      <sheetData sheetId="5884">
        <row r="4">
          <cell r="A4" t="str">
            <v>BẢNG TÍNH TOÁN, ĐO BÓC KHỐI LƯỢNG HOÀN THÀNH ĐƯA VÀO QUYẾT TOÁN</v>
          </cell>
        </row>
      </sheetData>
      <sheetData sheetId="5885">
        <row r="4">
          <cell r="A4" t="str">
            <v>BẢNG TÍNH TOÁN, ĐO BÓC KHỐI LƯỢNG HOÀN THÀNH ĐƯA VÀO QUYẾT TOÁN</v>
          </cell>
        </row>
      </sheetData>
      <sheetData sheetId="5886">
        <row r="4">
          <cell r="A4" t="str">
            <v>BẢNG TÍNH TOÁN, ĐO BÓC KHỐI LƯỢNG HOÀN THÀNH ĐƯA VÀO QUYẾT TOÁN</v>
          </cell>
        </row>
      </sheetData>
      <sheetData sheetId="5887">
        <row r="4">
          <cell r="A4" t="str">
            <v>BẢNG TÍNH TOÁN, ĐO BÓC KHỐI LƯỢNG HOÀN THÀNH ĐƯA VÀO QUYẾT TOÁN</v>
          </cell>
        </row>
      </sheetData>
      <sheetData sheetId="5888">
        <row r="4">
          <cell r="A4" t="str">
            <v>BẢNG TÍNH TOÁN, ĐO BÓC KHỐI LƯỢNG HOÀN THÀNH ĐƯA VÀO QUYẾT TOÁN</v>
          </cell>
        </row>
      </sheetData>
      <sheetData sheetId="5889">
        <row r="4">
          <cell r="A4" t="str">
            <v>BẢNG TÍNH TOÁN, ĐO BÓC KHỐI LƯỢNG HOÀN THÀNH ĐƯA VÀO QUYẾT TOÁN</v>
          </cell>
        </row>
      </sheetData>
      <sheetData sheetId="5890">
        <row r="4">
          <cell r="A4" t="str">
            <v>BẢNG TÍNH TOÁN, ĐO BÓC KHỐI LƯỢNG HOÀN THÀNH ĐƯA VÀO QUYẾT TOÁN</v>
          </cell>
        </row>
      </sheetData>
      <sheetData sheetId="5891">
        <row r="4">
          <cell r="A4" t="str">
            <v>BẢNG TÍNH TOÁN, ĐO BÓC KHỐI LƯỢNG HOÀN THÀNH ĐƯA VÀO QUYẾT TOÁN</v>
          </cell>
        </row>
      </sheetData>
      <sheetData sheetId="5892">
        <row r="4">
          <cell r="A4" t="str">
            <v>BẢNG TÍNH TOÁN, ĐO BÓC KHỐI LƯỢNG HOÀN THÀNH ĐƯA VÀO QUYẾT TOÁN</v>
          </cell>
        </row>
      </sheetData>
      <sheetData sheetId="5893">
        <row r="4">
          <cell r="A4" t="str">
            <v>BẢNG TÍNH TOÁN, ĐO BÓC KHỐI LƯỢNG HOÀN THÀNH ĐƯA VÀO QUYẾT TOÁN</v>
          </cell>
        </row>
      </sheetData>
      <sheetData sheetId="5894">
        <row r="4">
          <cell r="A4" t="str">
            <v>BẢNG TÍNH TOÁN, ĐO BÓC KHỐI LƯỢNG HOÀN THÀNH ĐƯA VÀO QUYẾT TOÁN</v>
          </cell>
        </row>
      </sheetData>
      <sheetData sheetId="5895">
        <row r="4">
          <cell r="A4" t="str">
            <v>BẢNG TÍNH TOÁN, ĐO BÓC KHỐI LƯỢNG HOÀN THÀNH ĐƯA VÀO QUYẾT TOÁN</v>
          </cell>
        </row>
      </sheetData>
      <sheetData sheetId="5896">
        <row r="4">
          <cell r="A4" t="str">
            <v>BẢNG TÍNH TOÁN, ĐO BÓC KHỐI LƯỢNG HOÀN THÀNH ĐƯA VÀO QUYẾT TOÁN</v>
          </cell>
        </row>
      </sheetData>
      <sheetData sheetId="5897">
        <row r="4">
          <cell r="A4" t="str">
            <v>BẢNG TÍNH TOÁN, ĐO BÓC KHỐI LƯỢNG HOÀN THÀNH ĐƯA VÀO QUYẾT TOÁN</v>
          </cell>
        </row>
      </sheetData>
      <sheetData sheetId="5898">
        <row r="4">
          <cell r="A4" t="str">
            <v>BẢNG TÍNH TOÁN, ĐO BÓC KHỐI LƯỢNG HOÀN THÀNH ĐƯA VÀO QUYẾT TOÁN</v>
          </cell>
        </row>
      </sheetData>
      <sheetData sheetId="5899">
        <row r="4">
          <cell r="A4" t="str">
            <v>BẢNG TÍNH TOÁN, ĐO BÓC KHỐI LƯỢNG HOÀN THÀNH ĐƯA VÀO QUYẾT TOÁN</v>
          </cell>
        </row>
      </sheetData>
      <sheetData sheetId="5900">
        <row r="4">
          <cell r="A4" t="str">
            <v>BẢNG TÍNH TOÁN, ĐO BÓC KHỐI LƯỢNG HOÀN THÀNH ĐƯA VÀO QUYẾT TOÁN</v>
          </cell>
        </row>
      </sheetData>
      <sheetData sheetId="5901">
        <row r="4">
          <cell r="A4" t="str">
            <v>BẢNG TÍNH TOÁN, ĐO BÓC KHỐI LƯỢNG HOÀN THÀNH ĐƯA VÀO QUYẾT TOÁN</v>
          </cell>
        </row>
      </sheetData>
      <sheetData sheetId="5902">
        <row r="4">
          <cell r="A4" t="str">
            <v>BẢNG TÍNH TOÁN, ĐO BÓC KHỐI LƯỢNG HOÀN THÀNH ĐƯA VÀO QUYẾT TOÁN</v>
          </cell>
        </row>
      </sheetData>
      <sheetData sheetId="5903">
        <row r="4">
          <cell r="A4" t="str">
            <v>BẢNG TÍNH TOÁN, ĐO BÓC KHỐI LƯỢNG HOÀN THÀNH ĐƯA VÀO QUYẾT TOÁN</v>
          </cell>
        </row>
      </sheetData>
      <sheetData sheetId="5904">
        <row r="4">
          <cell r="A4" t="str">
            <v>BẢNG TÍNH TOÁN, ĐO BÓC KHỐI LƯỢNG HOÀN THÀNH ĐƯA VÀO QUYẾT TOÁN</v>
          </cell>
        </row>
      </sheetData>
      <sheetData sheetId="5905">
        <row r="4">
          <cell r="A4" t="str">
            <v>BẢNG TÍNH TOÁN, ĐO BÓC KHỐI LƯỢNG HOÀN THÀNH ĐƯA VÀO QUYẾT TOÁN</v>
          </cell>
        </row>
      </sheetData>
      <sheetData sheetId="5906">
        <row r="4">
          <cell r="A4" t="str">
            <v>BẢNG TÍNH TOÁN, ĐO BÓC KHỐI LƯỢNG HOÀN THÀNH ĐƯA VÀO QUYẾT TOÁN</v>
          </cell>
        </row>
      </sheetData>
      <sheetData sheetId="5907">
        <row r="4">
          <cell r="A4" t="str">
            <v>BẢNG TÍNH TOÁN, ĐO BÓC KHỐI LƯỢNG HOÀN THÀNH ĐƯA VÀO QUYẾT TOÁN</v>
          </cell>
        </row>
      </sheetData>
      <sheetData sheetId="5908">
        <row r="4">
          <cell r="A4" t="str">
            <v>BẢNG TÍNH TOÁN, ĐO BÓC KHỐI LƯỢNG HOÀN THÀNH ĐƯA VÀO QUYẾT TOÁN</v>
          </cell>
        </row>
      </sheetData>
      <sheetData sheetId="5909">
        <row r="4">
          <cell r="A4" t="str">
            <v>BẢNG TÍNH TOÁN, ĐO BÓC KHỐI LƯỢNG HOÀN THÀNH ĐƯA VÀO QUYẾT TOÁN</v>
          </cell>
        </row>
      </sheetData>
      <sheetData sheetId="5910">
        <row r="4">
          <cell r="A4" t="str">
            <v>BẢNG TÍNH TOÁN, ĐO BÓC KHỐI LƯỢNG HOÀN THÀNH ĐƯA VÀO QUYẾT TOÁN</v>
          </cell>
        </row>
      </sheetData>
      <sheetData sheetId="5911">
        <row r="4">
          <cell r="A4" t="str">
            <v>BẢNG TÍNH TOÁN, ĐO BÓC KHỐI LƯỢNG HOÀN THÀNH ĐƯA VÀO QUYẾT TOÁN</v>
          </cell>
        </row>
      </sheetData>
      <sheetData sheetId="5912">
        <row r="4">
          <cell r="A4" t="str">
            <v>BẢNG TÍNH TOÁN, ĐO BÓC KHỐI LƯỢNG HOÀN THÀNH ĐƯA VÀO QUYẾT TOÁN</v>
          </cell>
        </row>
      </sheetData>
      <sheetData sheetId="5913">
        <row r="4">
          <cell r="A4" t="str">
            <v>BẢNG TÍNH TOÁN, ĐO BÓC KHỐI LƯỢNG HOÀN THÀNH ĐƯA VÀO QUYẾT TOÁN</v>
          </cell>
        </row>
      </sheetData>
      <sheetData sheetId="5914">
        <row r="4">
          <cell r="A4" t="str">
            <v>BẢNG TÍNH TOÁN, ĐO BÓC KHỐI LƯỢNG HOÀN THÀNH ĐƯA VÀO QUYẾT TOÁN</v>
          </cell>
        </row>
      </sheetData>
      <sheetData sheetId="5915">
        <row r="4">
          <cell r="A4" t="str">
            <v>BẢNG TÍNH TOÁN, ĐO BÓC KHỐI LƯỢNG HOÀN THÀNH ĐƯA VÀO QUYẾT TOÁN</v>
          </cell>
        </row>
      </sheetData>
      <sheetData sheetId="5916">
        <row r="4">
          <cell r="A4" t="str">
            <v>BẢNG TÍNH TOÁN, ĐO BÓC KHỐI LƯỢNG HOÀN THÀNH ĐƯA VÀO QUYẾT TOÁN</v>
          </cell>
        </row>
      </sheetData>
      <sheetData sheetId="5917">
        <row r="4">
          <cell r="A4" t="str">
            <v>BẢNG TÍNH TOÁN, ĐO BÓC KHỐI LƯỢNG HOÀN THÀNH ĐƯA VÀO QUYẾT TOÁN</v>
          </cell>
        </row>
      </sheetData>
      <sheetData sheetId="5918">
        <row r="4">
          <cell r="A4" t="str">
            <v>BẢNG TÍNH TOÁN, ĐO BÓC KHỐI LƯỢNG HOÀN THÀNH ĐƯA VÀO QUYẾT TOÁN</v>
          </cell>
        </row>
      </sheetData>
      <sheetData sheetId="5919">
        <row r="4">
          <cell r="A4" t="str">
            <v>BẢNG TÍNH TOÁN, ĐO BÓC KHỐI LƯỢNG HOÀN THÀNH ĐƯA VÀO QUYẾT TOÁN</v>
          </cell>
        </row>
      </sheetData>
      <sheetData sheetId="5920">
        <row r="4">
          <cell r="A4" t="str">
            <v>BẢNG TÍNH TOÁN, ĐO BÓC KHỐI LƯỢNG HOÀN THÀNH ĐƯA VÀO QUYẾT TOÁN</v>
          </cell>
        </row>
      </sheetData>
      <sheetData sheetId="5921">
        <row r="4">
          <cell r="A4" t="str">
            <v>BẢNG TÍNH TOÁN, ĐO BÓC KHỐI LƯỢNG HOÀN THÀNH ĐƯA VÀO QUYẾT TOÁN</v>
          </cell>
        </row>
      </sheetData>
      <sheetData sheetId="5922">
        <row r="4">
          <cell r="A4" t="str">
            <v>BẢNG TÍNH TOÁN, ĐO BÓC KHỐI LƯỢNG HOÀN THÀNH ĐƯA VÀO QUYẾT TOÁN</v>
          </cell>
        </row>
      </sheetData>
      <sheetData sheetId="5923">
        <row r="4">
          <cell r="A4" t="str">
            <v>BẢNG TÍNH TOÁN, ĐO BÓC KHỐI LƯỢNG HOÀN THÀNH ĐƯA VÀO QUYẾT TOÁN</v>
          </cell>
        </row>
      </sheetData>
      <sheetData sheetId="5924">
        <row r="4">
          <cell r="A4" t="str">
            <v>BẢNG TÍNH TOÁN, ĐO BÓC KHỐI LƯỢNG HOÀN THÀNH ĐƯA VÀO QUYẾT TOÁN</v>
          </cell>
        </row>
      </sheetData>
      <sheetData sheetId="5925">
        <row r="4">
          <cell r="A4" t="str">
            <v>BẢNG TÍNH TOÁN, ĐO BÓC KHỐI LƯỢNG HOÀN THÀNH ĐƯA VÀO QUYẾT TOÁN</v>
          </cell>
        </row>
      </sheetData>
      <sheetData sheetId="5926">
        <row r="4">
          <cell r="A4" t="str">
            <v>BẢNG TÍNH TOÁN, ĐO BÓC KHỐI LƯỢNG HOÀN THÀNH ĐƯA VÀO QUYẾT TOÁN</v>
          </cell>
        </row>
      </sheetData>
      <sheetData sheetId="5927">
        <row r="4">
          <cell r="A4" t="str">
            <v>BẢNG TÍNH TOÁN, ĐO BÓC KHỐI LƯỢNG HOÀN THÀNH ĐƯA VÀO QUYẾT TOÁN</v>
          </cell>
        </row>
      </sheetData>
      <sheetData sheetId="5928">
        <row r="4">
          <cell r="A4" t="str">
            <v>BẢNG TÍNH TOÁN, ĐO BÓC KHỐI LƯỢNG HOÀN THÀNH ĐƯA VÀO QUYẾT TOÁN</v>
          </cell>
        </row>
      </sheetData>
      <sheetData sheetId="5929">
        <row r="4">
          <cell r="A4" t="str">
            <v>BẢNG TÍNH TOÁN, ĐO BÓC KHỐI LƯỢNG HOÀN THÀNH ĐƯA VÀO QUYẾT TOÁN</v>
          </cell>
        </row>
      </sheetData>
      <sheetData sheetId="5930">
        <row r="4">
          <cell r="A4" t="str">
            <v>BẢNG TÍNH TOÁN, ĐO BÓC KHỐI LƯỢNG HOÀN THÀNH ĐƯA VÀO QUYẾT TOÁN</v>
          </cell>
        </row>
      </sheetData>
      <sheetData sheetId="5931">
        <row r="4">
          <cell r="A4" t="str">
            <v>BẢNG TÍNH TOÁN, ĐO BÓC KHỐI LƯỢNG HOÀN THÀNH ĐƯA VÀO QUYẾT TOÁN</v>
          </cell>
        </row>
      </sheetData>
      <sheetData sheetId="5932">
        <row r="4">
          <cell r="A4" t="str">
            <v>BẢNG TÍNH TOÁN, ĐO BÓC KHỐI LƯỢNG HOÀN THÀNH ĐƯA VÀO QUYẾT TOÁN</v>
          </cell>
        </row>
      </sheetData>
      <sheetData sheetId="5933">
        <row r="4">
          <cell r="A4" t="str">
            <v>BẢNG TÍNH TOÁN, ĐO BÓC KHỐI LƯỢNG HOÀN THÀNH ĐƯA VÀO QUYẾT TOÁN</v>
          </cell>
        </row>
      </sheetData>
      <sheetData sheetId="5934">
        <row r="4">
          <cell r="A4" t="str">
            <v>BẢNG TÍNH TOÁN, ĐO BÓC KHỐI LƯỢNG HOÀN THÀNH ĐƯA VÀO QUYẾT TOÁN</v>
          </cell>
        </row>
      </sheetData>
      <sheetData sheetId="5935">
        <row r="4">
          <cell r="A4" t="str">
            <v>BẢNG TÍNH TOÁN, ĐO BÓC KHỐI LƯỢNG HOÀN THÀNH ĐƯA VÀO QUYẾT TOÁN</v>
          </cell>
        </row>
      </sheetData>
      <sheetData sheetId="5936">
        <row r="4">
          <cell r="A4" t="str">
            <v>BẢNG TÍNH TOÁN, ĐO BÓC KHỐI LƯỢNG HOÀN THÀNH ĐƯA VÀO QUYẾT TOÁN</v>
          </cell>
        </row>
      </sheetData>
      <sheetData sheetId="5937">
        <row r="4">
          <cell r="A4" t="str">
            <v>BẢNG TÍNH TOÁN, ĐO BÓC KHỐI LƯỢNG HOÀN THÀNH ĐƯA VÀO QUYẾT TOÁN</v>
          </cell>
        </row>
      </sheetData>
      <sheetData sheetId="5938">
        <row r="4">
          <cell r="A4" t="str">
            <v>BẢNG TÍNH TOÁN, ĐO BÓC KHỐI LƯỢNG HOÀN THÀNH ĐƯA VÀO QUYẾT TOÁN</v>
          </cell>
        </row>
      </sheetData>
      <sheetData sheetId="5939">
        <row r="4">
          <cell r="A4" t="str">
            <v>BẢNG TÍNH TOÁN, ĐO BÓC KHỐI LƯỢNG HOÀN THÀNH ĐƯA VÀO QUYẾT TOÁN</v>
          </cell>
        </row>
      </sheetData>
      <sheetData sheetId="5940">
        <row r="4">
          <cell r="A4" t="str">
            <v>BẢNG TÍNH TOÁN, ĐO BÓC KHỐI LƯỢNG HOÀN THÀNH ĐƯA VÀO QUYẾT TOÁN</v>
          </cell>
        </row>
      </sheetData>
      <sheetData sheetId="5941">
        <row r="4">
          <cell r="A4" t="str">
            <v>BẢNG TÍNH TOÁN, ĐO BÓC KHỐI LƯỢNG HOÀN THÀNH ĐƯA VÀO QUYẾT TOÁN</v>
          </cell>
        </row>
      </sheetData>
      <sheetData sheetId="5942">
        <row r="4">
          <cell r="A4" t="str">
            <v>BẢNG TÍNH TOÁN, ĐO BÓC KHỐI LƯỢNG HOÀN THÀNH ĐƯA VÀO QUYẾT TOÁN</v>
          </cell>
        </row>
      </sheetData>
      <sheetData sheetId="5943">
        <row r="4">
          <cell r="A4" t="str">
            <v>BẢNG TÍNH TOÁN, ĐO BÓC KHỐI LƯỢNG HOÀN THÀNH ĐƯA VÀO QUYẾT TOÁN</v>
          </cell>
        </row>
      </sheetData>
      <sheetData sheetId="5944">
        <row r="4">
          <cell r="A4" t="str">
            <v>BẢNG TÍNH TOÁN, ĐO BÓC KHỐI LƯỢNG HOÀN THÀNH ĐƯA VÀO QUYẾT TOÁN</v>
          </cell>
        </row>
      </sheetData>
      <sheetData sheetId="5945">
        <row r="4">
          <cell r="A4" t="str">
            <v>BẢNG TÍNH TOÁN, ĐO BÓC KHỐI LƯỢNG HOÀN THÀNH ĐƯA VÀO QUYẾT TOÁN</v>
          </cell>
        </row>
      </sheetData>
      <sheetData sheetId="5946">
        <row r="4">
          <cell r="A4" t="str">
            <v>BẢNG TÍNH TOÁN, ĐO BÓC KHỐI LƯỢNG HOÀN THÀNH ĐƯA VÀO QUYẾT TOÁN</v>
          </cell>
        </row>
      </sheetData>
      <sheetData sheetId="5947">
        <row r="4">
          <cell r="A4" t="str">
            <v>BẢNG TÍNH TOÁN, ĐO BÓC KHỐI LƯỢNG HOÀN THÀNH ĐƯA VÀO QUYẾT TOÁN</v>
          </cell>
        </row>
      </sheetData>
      <sheetData sheetId="5948">
        <row r="4">
          <cell r="A4" t="str">
            <v>BẢNG TÍNH TOÁN, ĐO BÓC KHỐI LƯỢNG HOÀN THÀNH ĐƯA VÀO QUYẾT TOÁN</v>
          </cell>
        </row>
      </sheetData>
      <sheetData sheetId="5949">
        <row r="4">
          <cell r="A4" t="str">
            <v>BẢNG TÍNH TOÁN, ĐO BÓC KHỐI LƯỢNG HOÀN THÀNH ĐƯA VÀO QUYẾT TOÁN</v>
          </cell>
        </row>
      </sheetData>
      <sheetData sheetId="5950">
        <row r="4">
          <cell r="A4" t="str">
            <v>BẢNG TÍNH TOÁN, ĐO BÓC KHỐI LƯỢNG HOÀN THÀNH ĐƯA VÀO QUYẾT TOÁN</v>
          </cell>
        </row>
      </sheetData>
      <sheetData sheetId="5951">
        <row r="4">
          <cell r="A4" t="str">
            <v>BẢNG TÍNH TOÁN, ĐO BÓC KHỐI LƯỢNG HOÀN THÀNH ĐƯA VÀO QUYẾT TOÁN</v>
          </cell>
        </row>
      </sheetData>
      <sheetData sheetId="5952">
        <row r="4">
          <cell r="A4" t="str">
            <v>BẢNG TÍNH TOÁN, ĐO BÓC KHỐI LƯỢNG HOÀN THÀNH ĐƯA VÀO QUYẾT TOÁN</v>
          </cell>
        </row>
      </sheetData>
      <sheetData sheetId="5953">
        <row r="4">
          <cell r="A4" t="str">
            <v>BẢNG TÍNH TOÁN, ĐO BÓC KHỐI LƯỢNG HOÀN THÀNH ĐƯA VÀO QUYẾT TOÁN</v>
          </cell>
        </row>
      </sheetData>
      <sheetData sheetId="5954">
        <row r="4">
          <cell r="A4" t="str">
            <v>BẢNG TÍNH TOÁN, ĐO BÓC KHỐI LƯỢNG HOÀN THÀNH ĐƯA VÀO QUYẾT TOÁN</v>
          </cell>
        </row>
      </sheetData>
      <sheetData sheetId="5955">
        <row r="4">
          <cell r="A4" t="str">
            <v>BẢNG TÍNH TOÁN, ĐO BÓC KHỐI LƯỢNG HOÀN THÀNH ĐƯA VÀO QUYẾT TOÁN</v>
          </cell>
        </row>
      </sheetData>
      <sheetData sheetId="5956">
        <row r="4">
          <cell r="A4" t="str">
            <v>BẢNG TÍNH TOÁN, ĐO BÓC KHỐI LƯỢNG HOÀN THÀNH ĐƯA VÀO QUYẾT TOÁN</v>
          </cell>
        </row>
      </sheetData>
      <sheetData sheetId="5957">
        <row r="4">
          <cell r="A4" t="str">
            <v>BẢNG TÍNH TOÁN, ĐO BÓC KHỐI LƯỢNG HOÀN THÀNH ĐƯA VÀO QUYẾT TOÁN</v>
          </cell>
        </row>
      </sheetData>
      <sheetData sheetId="5958">
        <row r="4">
          <cell r="A4" t="str">
            <v>BẢNG TÍNH TOÁN, ĐO BÓC KHỐI LƯỢNG HOÀN THÀNH ĐƯA VÀO QUYẾT TOÁN</v>
          </cell>
        </row>
      </sheetData>
      <sheetData sheetId="5959">
        <row r="4">
          <cell r="A4" t="str">
            <v>BẢNG TÍNH TOÁN, ĐO BÓC KHỐI LƯỢNG HOÀN THÀNH ĐƯA VÀO QUYẾT TOÁN</v>
          </cell>
        </row>
      </sheetData>
      <sheetData sheetId="5960">
        <row r="4">
          <cell r="A4" t="str">
            <v>BẢNG TÍNH TOÁN, ĐO BÓC KHỐI LƯỢNG HOÀN THÀNH ĐƯA VÀO QUYẾT TOÁN</v>
          </cell>
        </row>
      </sheetData>
      <sheetData sheetId="5961">
        <row r="4">
          <cell r="A4" t="str">
            <v>BẢNG TÍNH TOÁN, ĐO BÓC KHỐI LƯỢNG HOÀN THÀNH ĐƯA VÀO QUYẾT TOÁN</v>
          </cell>
        </row>
      </sheetData>
      <sheetData sheetId="5962">
        <row r="4">
          <cell r="A4" t="str">
            <v>BẢNG TÍNH TOÁN, ĐO BÓC KHỐI LƯỢNG HOÀN THÀNH ĐƯA VÀO QUYẾT TOÁN</v>
          </cell>
        </row>
      </sheetData>
      <sheetData sheetId="5963">
        <row r="4">
          <cell r="A4" t="str">
            <v>BẢNG TÍNH TOÁN, ĐO BÓC KHỐI LƯỢNG HOÀN THÀNH ĐƯA VÀO QUYẾT TOÁN</v>
          </cell>
        </row>
      </sheetData>
      <sheetData sheetId="5964">
        <row r="4">
          <cell r="A4" t="str">
            <v>BẢNG TÍNH TOÁN, ĐO BÓC KHỐI LƯỢNG HOÀN THÀNH ĐƯA VÀO QUYẾT TOÁN</v>
          </cell>
        </row>
      </sheetData>
      <sheetData sheetId="5965">
        <row r="4">
          <cell r="A4" t="str">
            <v>BẢNG TÍNH TOÁN, ĐO BÓC KHỐI LƯỢNG HOÀN THÀNH ĐƯA VÀO QUYẾT TOÁN</v>
          </cell>
        </row>
      </sheetData>
      <sheetData sheetId="5966">
        <row r="4">
          <cell r="A4" t="str">
            <v>BẢNG TÍNH TOÁN, ĐO BÓC KHỐI LƯỢNG HOÀN THÀNH ĐƯA VÀO QUYẾT TOÁN</v>
          </cell>
        </row>
      </sheetData>
      <sheetData sheetId="5967">
        <row r="4">
          <cell r="A4" t="str">
            <v>BẢNG TÍNH TOÁN, ĐO BÓC KHỐI LƯỢNG HOÀN THÀNH ĐƯA VÀO QUYẾT TOÁN</v>
          </cell>
        </row>
      </sheetData>
      <sheetData sheetId="5968">
        <row r="4">
          <cell r="A4" t="str">
            <v>BẢNG TÍNH TOÁN, ĐO BÓC KHỐI LƯỢNG HOÀN THÀNH ĐƯA VÀO QUYẾT TOÁN</v>
          </cell>
        </row>
      </sheetData>
      <sheetData sheetId="5969">
        <row r="4">
          <cell r="A4" t="str">
            <v>BẢNG TÍNH TOÁN, ĐO BÓC KHỐI LƯỢNG HOÀN THÀNH ĐƯA VÀO QUYẾT TOÁN</v>
          </cell>
        </row>
      </sheetData>
      <sheetData sheetId="5970">
        <row r="4">
          <cell r="A4" t="str">
            <v>BẢNG TÍNH TOÁN, ĐO BÓC KHỐI LƯỢNG HOÀN THÀNH ĐƯA VÀO QUYẾT TOÁN</v>
          </cell>
        </row>
      </sheetData>
      <sheetData sheetId="5971">
        <row r="4">
          <cell r="A4" t="str">
            <v>BẢNG TÍNH TOÁN, ĐO BÓC KHỐI LƯỢNG HOÀN THÀNH ĐƯA VÀO QUYẾT TOÁN</v>
          </cell>
        </row>
      </sheetData>
      <sheetData sheetId="5972">
        <row r="4">
          <cell r="A4" t="str">
            <v>BẢNG TÍNH TOÁN, ĐO BÓC KHỐI LƯỢNG HOÀN THÀNH ĐƯA VÀO QUYẾT TOÁN</v>
          </cell>
        </row>
      </sheetData>
      <sheetData sheetId="5973">
        <row r="4">
          <cell r="A4" t="str">
            <v>BẢNG TÍNH TOÁN, ĐO BÓC KHỐI LƯỢNG HOÀN THÀNH ĐƯA VÀO QUYẾT TOÁN</v>
          </cell>
        </row>
      </sheetData>
      <sheetData sheetId="5974">
        <row r="4">
          <cell r="A4" t="str">
            <v>BẢNG TÍNH TOÁN, ĐO BÓC KHỐI LƯỢNG HOÀN THÀNH ĐƯA VÀO QUYẾT TOÁN</v>
          </cell>
        </row>
      </sheetData>
      <sheetData sheetId="5975">
        <row r="4">
          <cell r="A4" t="str">
            <v>BẢNG TÍNH TOÁN, ĐO BÓC KHỐI LƯỢNG HOÀN THÀNH ĐƯA VÀO QUYẾT TOÁN</v>
          </cell>
        </row>
      </sheetData>
      <sheetData sheetId="5976">
        <row r="4">
          <cell r="A4" t="str">
            <v>BẢNG TÍNH TOÁN, ĐO BÓC KHỐI LƯỢNG HOÀN THÀNH ĐƯA VÀO QUYẾT TOÁN</v>
          </cell>
        </row>
      </sheetData>
      <sheetData sheetId="5977">
        <row r="4">
          <cell r="A4" t="str">
            <v>BẢNG TÍNH TOÁN, ĐO BÓC KHỐI LƯỢNG HOÀN THÀNH ĐƯA VÀO QUYẾT TOÁN</v>
          </cell>
        </row>
      </sheetData>
      <sheetData sheetId="5978">
        <row r="4">
          <cell r="A4" t="str">
            <v>BẢNG TÍNH TOÁN, ĐO BÓC KHỐI LƯỢNG HOÀN THÀNH ĐƯA VÀO QUYẾT TOÁN</v>
          </cell>
        </row>
      </sheetData>
      <sheetData sheetId="5979">
        <row r="4">
          <cell r="A4" t="str">
            <v>BẢNG TÍNH TOÁN, ĐO BÓC KHỐI LƯỢNG HOÀN THÀNH ĐƯA VÀO QUYẾT TOÁN</v>
          </cell>
        </row>
      </sheetData>
      <sheetData sheetId="5980">
        <row r="4">
          <cell r="A4" t="str">
            <v>BẢNG TÍNH TOÁN, ĐO BÓC KHỐI LƯỢNG HOÀN THÀNH ĐƯA VÀO QUYẾT TOÁN</v>
          </cell>
        </row>
      </sheetData>
      <sheetData sheetId="5981">
        <row r="4">
          <cell r="A4" t="str">
            <v>BẢNG TÍNH TOÁN, ĐO BÓC KHỐI LƯỢNG HOÀN THÀNH ĐƯA VÀO QUYẾT TOÁN</v>
          </cell>
        </row>
      </sheetData>
      <sheetData sheetId="5982">
        <row r="4">
          <cell r="A4" t="str">
            <v>BẢNG TÍNH TOÁN, ĐO BÓC KHỐI LƯỢNG HOÀN THÀNH ĐƯA VÀO QUYẾT TOÁN</v>
          </cell>
        </row>
      </sheetData>
      <sheetData sheetId="5983">
        <row r="4">
          <cell r="A4" t="str">
            <v>BẢNG TÍNH TOÁN, ĐO BÓC KHỐI LƯỢNG HOÀN THÀNH ĐƯA VÀO QUYẾT TOÁN</v>
          </cell>
        </row>
      </sheetData>
      <sheetData sheetId="5984">
        <row r="4">
          <cell r="A4" t="str">
            <v>BẢNG TÍNH TOÁN, ĐO BÓC KHỐI LƯỢNG HOÀN THÀNH ĐƯA VÀO QUYẾT TOÁN</v>
          </cell>
        </row>
      </sheetData>
      <sheetData sheetId="5985">
        <row r="4">
          <cell r="A4" t="str">
            <v>BẢNG TÍNH TOÁN, ĐO BÓC KHỐI LƯỢNG HOÀN THÀNH ĐƯA VÀO QUYẾT TOÁN</v>
          </cell>
        </row>
      </sheetData>
      <sheetData sheetId="5986">
        <row r="4">
          <cell r="A4" t="str">
            <v>BẢNG TÍNH TOÁN, ĐO BÓC KHỐI LƯỢNG HOÀN THÀNH ĐƯA VÀO QUYẾT TOÁN</v>
          </cell>
        </row>
      </sheetData>
      <sheetData sheetId="5987">
        <row r="4">
          <cell r="A4" t="str">
            <v>BẢNG TÍNH TOÁN, ĐO BÓC KHỐI LƯỢNG HOÀN THÀNH ĐƯA VÀO QUYẾT TOÁN</v>
          </cell>
        </row>
      </sheetData>
      <sheetData sheetId="5988">
        <row r="4">
          <cell r="A4" t="str">
            <v>BẢNG TÍNH TOÁN, ĐO BÓC KHỐI LƯỢNG HOÀN THÀNH ĐƯA VÀO QUYẾT TOÁN</v>
          </cell>
        </row>
      </sheetData>
      <sheetData sheetId="5989">
        <row r="4">
          <cell r="A4" t="str">
            <v>BẢNG TÍNH TOÁN, ĐO BÓC KHỐI LƯỢNG HOÀN THÀNH ĐƯA VÀO QUYẾT TOÁN</v>
          </cell>
        </row>
      </sheetData>
      <sheetData sheetId="5990">
        <row r="4">
          <cell r="A4" t="str">
            <v>BẢNG TÍNH TOÁN, ĐO BÓC KHỐI LƯỢNG HOÀN THÀNH ĐƯA VÀO QUYẾT TOÁN</v>
          </cell>
        </row>
      </sheetData>
      <sheetData sheetId="5991">
        <row r="4">
          <cell r="A4" t="str">
            <v>BẢNG TÍNH TOÁN, ĐO BÓC KHỐI LƯỢNG HOÀN THÀNH ĐƯA VÀO QUYẾT TOÁN</v>
          </cell>
        </row>
      </sheetData>
      <sheetData sheetId="5992">
        <row r="4">
          <cell r="A4" t="str">
            <v>BẢNG TÍNH TOÁN, ĐO BÓC KHỐI LƯỢNG HOÀN THÀNH ĐƯA VÀO QUYẾT TOÁN</v>
          </cell>
        </row>
      </sheetData>
      <sheetData sheetId="5993">
        <row r="4">
          <cell r="A4" t="str">
            <v>BẢNG TÍNH TOÁN, ĐO BÓC KHỐI LƯỢNG HOÀN THÀNH ĐƯA VÀO QUYẾT TOÁN</v>
          </cell>
        </row>
      </sheetData>
      <sheetData sheetId="5994">
        <row r="4">
          <cell r="A4" t="str">
            <v>BẢNG TÍNH TOÁN, ĐO BÓC KHỐI LƯỢNG HOÀN THÀNH ĐƯA VÀO QUYẾT TOÁN</v>
          </cell>
        </row>
      </sheetData>
      <sheetData sheetId="5995">
        <row r="4">
          <cell r="A4" t="str">
            <v>BẢNG TÍNH TOÁN, ĐO BÓC KHỐI LƯỢNG HOÀN THÀNH ĐƯA VÀO QUYẾT TOÁN</v>
          </cell>
        </row>
      </sheetData>
      <sheetData sheetId="5996">
        <row r="4">
          <cell r="A4" t="str">
            <v>BẢNG TÍNH TOÁN, ĐO BÓC KHỐI LƯỢNG HOÀN THÀNH ĐƯA VÀO QUYẾT TOÁN</v>
          </cell>
        </row>
      </sheetData>
      <sheetData sheetId="5997">
        <row r="4">
          <cell r="A4" t="str">
            <v>BẢNG TÍNH TOÁN, ĐO BÓC KHỐI LƯỢNG HOÀN THÀNH ĐƯA VÀO QUYẾT TOÁN</v>
          </cell>
        </row>
      </sheetData>
      <sheetData sheetId="5998">
        <row r="4">
          <cell r="A4" t="str">
            <v>BẢNG TÍNH TOÁN, ĐO BÓC KHỐI LƯỢNG HOÀN THÀNH ĐƯA VÀO QUYẾT TOÁN</v>
          </cell>
        </row>
      </sheetData>
      <sheetData sheetId="5999">
        <row r="4">
          <cell r="A4" t="str">
            <v>BẢNG TÍNH TOÁN, ĐO BÓC KHỐI LƯỢNG HOÀN THÀNH ĐƯA VÀO QUYẾT TOÁN</v>
          </cell>
        </row>
      </sheetData>
      <sheetData sheetId="6000">
        <row r="4">
          <cell r="A4" t="str">
            <v>BẢNG TÍNH TOÁN, ĐO BÓC KHỐI LƯỢNG HOÀN THÀNH ĐƯA VÀO QUYẾT TOÁN</v>
          </cell>
        </row>
      </sheetData>
      <sheetData sheetId="6001">
        <row r="4">
          <cell r="A4" t="str">
            <v>BẢNG TÍNH TOÁN, ĐO BÓC KHỐI LƯỢNG HOÀN THÀNH ĐƯA VÀO QUYẾT TOÁN</v>
          </cell>
        </row>
      </sheetData>
      <sheetData sheetId="6002">
        <row r="4">
          <cell r="A4" t="str">
            <v>BẢNG TÍNH TOÁN, ĐO BÓC KHỐI LƯỢNG HOÀN THÀNH ĐƯA VÀO QUYẾT TOÁN</v>
          </cell>
        </row>
      </sheetData>
      <sheetData sheetId="6003">
        <row r="4">
          <cell r="A4" t="str">
            <v>BẢNG TÍNH TOÁN, ĐO BÓC KHỐI LƯỢNG HOÀN THÀNH ĐƯA VÀO QUYẾT TOÁN</v>
          </cell>
        </row>
      </sheetData>
      <sheetData sheetId="6004">
        <row r="4">
          <cell r="A4" t="str">
            <v>BẢNG TÍNH TOÁN, ĐO BÓC KHỐI LƯỢNG HOÀN THÀNH ĐƯA VÀO QUYẾT TOÁN</v>
          </cell>
        </row>
      </sheetData>
      <sheetData sheetId="6005">
        <row r="4">
          <cell r="A4" t="str">
            <v>BẢNG TÍNH TOÁN, ĐO BÓC KHỐI LƯỢNG HOÀN THÀNH ĐƯA VÀO QUYẾT TOÁN</v>
          </cell>
        </row>
      </sheetData>
      <sheetData sheetId="6006">
        <row r="4">
          <cell r="A4" t="str">
            <v>BẢNG TÍNH TOÁN, ĐO BÓC KHỐI LƯỢNG HOÀN THÀNH ĐƯA VÀO QUYẾT TOÁN</v>
          </cell>
        </row>
      </sheetData>
      <sheetData sheetId="6007">
        <row r="4">
          <cell r="A4" t="str">
            <v>BẢNG TÍNH TOÁN, ĐO BÓC KHỐI LƯỢNG HOÀN THÀNH ĐƯA VÀO QUYẾT TOÁN</v>
          </cell>
        </row>
      </sheetData>
      <sheetData sheetId="6008">
        <row r="4">
          <cell r="A4" t="str">
            <v>BẢNG TÍNH TOÁN, ĐO BÓC KHỐI LƯỢNG HOÀN THÀNH ĐƯA VÀO QUYẾT TOÁN</v>
          </cell>
        </row>
      </sheetData>
      <sheetData sheetId="6009">
        <row r="4">
          <cell r="A4" t="str">
            <v>BẢNG TÍNH TOÁN, ĐO BÓC KHỐI LƯỢNG HOÀN THÀNH ĐƯA VÀO QUYẾT TOÁN</v>
          </cell>
        </row>
      </sheetData>
      <sheetData sheetId="6010">
        <row r="4">
          <cell r="A4" t="str">
            <v>BẢNG TÍNH TOÁN, ĐO BÓC KHỐI LƯỢNG HOÀN THÀNH ĐƯA VÀO QUYẾT TOÁN</v>
          </cell>
        </row>
      </sheetData>
      <sheetData sheetId="6011">
        <row r="4">
          <cell r="A4" t="str">
            <v>BẢNG TÍNH TOÁN, ĐO BÓC KHỐI LƯỢNG HOÀN THÀNH ĐƯA VÀO QUYẾT TOÁN</v>
          </cell>
        </row>
      </sheetData>
      <sheetData sheetId="6012">
        <row r="4">
          <cell r="A4" t="str">
            <v>BẢNG TÍNH TOÁN, ĐO BÓC KHỐI LƯỢNG HOÀN THÀNH ĐƯA VÀO QUYẾT TOÁN</v>
          </cell>
        </row>
      </sheetData>
      <sheetData sheetId="6013">
        <row r="4">
          <cell r="A4" t="str">
            <v>BẢNG TÍNH TOÁN, ĐO BÓC KHỐI LƯỢNG HOÀN THÀNH ĐƯA VÀO QUYẾT TOÁN</v>
          </cell>
        </row>
      </sheetData>
      <sheetData sheetId="6014">
        <row r="4">
          <cell r="A4" t="str">
            <v>BẢNG TÍNH TOÁN, ĐO BÓC KHỐI LƯỢNG HOÀN THÀNH ĐƯA VÀO QUYẾT TOÁN</v>
          </cell>
        </row>
      </sheetData>
      <sheetData sheetId="6015">
        <row r="4">
          <cell r="A4" t="str">
            <v>BẢNG TÍNH TOÁN, ĐO BÓC KHỐI LƯỢNG HOÀN THÀNH ĐƯA VÀO QUYẾT TOÁN</v>
          </cell>
        </row>
      </sheetData>
      <sheetData sheetId="6016">
        <row r="4">
          <cell r="A4" t="str">
            <v>BẢNG TÍNH TOÁN, ĐO BÓC KHỐI LƯỢNG HOÀN THÀNH ĐƯA VÀO QUYẾT TOÁN</v>
          </cell>
        </row>
      </sheetData>
      <sheetData sheetId="6017">
        <row r="4">
          <cell r="A4" t="str">
            <v>BẢNG TÍNH TOÁN, ĐO BÓC KHỐI LƯỢNG HOÀN THÀNH ĐƯA VÀO QUYẾT TOÁN</v>
          </cell>
        </row>
      </sheetData>
      <sheetData sheetId="6018">
        <row r="4">
          <cell r="A4" t="str">
            <v>BẢNG TÍNH TOÁN, ĐO BÓC KHỐI LƯỢNG HOÀN THÀNH ĐƯA VÀO QUYẾT TOÁN</v>
          </cell>
        </row>
      </sheetData>
      <sheetData sheetId="6019">
        <row r="4">
          <cell r="A4" t="str">
            <v>BẢNG TÍNH TOÁN, ĐO BÓC KHỐI LƯỢNG HOÀN THÀNH ĐƯA VÀO QUYẾT TOÁN</v>
          </cell>
        </row>
      </sheetData>
      <sheetData sheetId="6020">
        <row r="4">
          <cell r="A4" t="str">
            <v>BẢNG TÍNH TOÁN, ĐO BÓC KHỐI LƯỢNG HOÀN THÀNH ĐƯA VÀO QUYẾT TOÁN</v>
          </cell>
        </row>
      </sheetData>
      <sheetData sheetId="6021">
        <row r="4">
          <cell r="A4" t="str">
            <v>BẢNG TÍNH TOÁN, ĐO BÓC KHỐI LƯỢNG HOÀN THÀNH ĐƯA VÀO QUYẾT TOÁN</v>
          </cell>
        </row>
      </sheetData>
      <sheetData sheetId="6022">
        <row r="4">
          <cell r="A4" t="str">
            <v>BẢNG TÍNH TOÁN, ĐO BÓC KHỐI LƯỢNG HOÀN THÀNH ĐƯA VÀO QUYẾT TOÁN</v>
          </cell>
        </row>
      </sheetData>
      <sheetData sheetId="6023">
        <row r="4">
          <cell r="A4" t="str">
            <v>BẢNG TÍNH TOÁN, ĐO BÓC KHỐI LƯỢNG HOÀN THÀNH ĐƯA VÀO QUYẾT TOÁN</v>
          </cell>
        </row>
      </sheetData>
      <sheetData sheetId="6024">
        <row r="4">
          <cell r="A4" t="str">
            <v>BẢNG TÍNH TOÁN, ĐO BÓC KHỐI LƯỢNG HOÀN THÀNH ĐƯA VÀO QUYẾT TOÁN</v>
          </cell>
        </row>
      </sheetData>
      <sheetData sheetId="6025">
        <row r="4">
          <cell r="A4" t="str">
            <v>BẢNG TÍNH TOÁN, ĐO BÓC KHỐI LƯỢNG HOÀN THÀNH ĐƯA VÀO QUYẾT TOÁN</v>
          </cell>
        </row>
      </sheetData>
      <sheetData sheetId="6026">
        <row r="4">
          <cell r="A4" t="str">
            <v>BẢNG TÍNH TOÁN, ĐO BÓC KHỐI LƯỢNG HOÀN THÀNH ĐƯA VÀO QUYẾT TOÁN</v>
          </cell>
        </row>
      </sheetData>
      <sheetData sheetId="6027">
        <row r="4">
          <cell r="A4" t="str">
            <v>BẢNG TÍNH TOÁN, ĐO BÓC KHỐI LƯỢNG HOÀN THÀNH ĐƯA VÀO QUYẾT TOÁN</v>
          </cell>
        </row>
      </sheetData>
      <sheetData sheetId="6028">
        <row r="4">
          <cell r="A4" t="str">
            <v>BẢNG TÍNH TOÁN, ĐO BÓC KHỐI LƯỢNG HOÀN THÀNH ĐƯA VÀO QUYẾT TOÁN</v>
          </cell>
        </row>
      </sheetData>
      <sheetData sheetId="6029">
        <row r="4">
          <cell r="A4" t="str">
            <v>BẢNG TÍNH TOÁN, ĐO BÓC KHỐI LƯỢNG HOÀN THÀNH ĐƯA VÀO QUYẾT TOÁN</v>
          </cell>
        </row>
      </sheetData>
      <sheetData sheetId="6030">
        <row r="4">
          <cell r="A4" t="str">
            <v>BẢNG TÍNH TOÁN, ĐO BÓC KHỐI LƯỢNG HOÀN THÀNH ĐƯA VÀO QUYẾT TOÁN</v>
          </cell>
        </row>
      </sheetData>
      <sheetData sheetId="6031">
        <row r="4">
          <cell r="A4" t="str">
            <v>BẢNG TÍNH TOÁN, ĐO BÓC KHỐI LƯỢNG HOÀN THÀNH ĐƯA VÀO QUYẾT TOÁN</v>
          </cell>
        </row>
      </sheetData>
      <sheetData sheetId="6032">
        <row r="4">
          <cell r="A4" t="str">
            <v>BẢNG TÍNH TOÁN, ĐO BÓC KHỐI LƯỢNG HOÀN THÀNH ĐƯA VÀO QUYẾT TOÁN</v>
          </cell>
        </row>
      </sheetData>
      <sheetData sheetId="6033">
        <row r="4">
          <cell r="A4" t="str">
            <v>BẢNG TÍNH TOÁN, ĐO BÓC KHỐI LƯỢNG HOÀN THÀNH ĐƯA VÀO QUYẾT TOÁN</v>
          </cell>
        </row>
      </sheetData>
      <sheetData sheetId="6034">
        <row r="4">
          <cell r="A4" t="str">
            <v>BẢNG TÍNH TOÁN, ĐO BÓC KHỐI LƯỢNG HOÀN THÀNH ĐƯA VÀO QUYẾT TOÁN</v>
          </cell>
        </row>
      </sheetData>
      <sheetData sheetId="6035">
        <row r="4">
          <cell r="A4" t="str">
            <v>BẢNG TÍNH TOÁN, ĐO BÓC KHỐI LƯỢNG HOÀN THÀNH ĐƯA VÀO QUYẾT TOÁN</v>
          </cell>
        </row>
      </sheetData>
      <sheetData sheetId="6036">
        <row r="4">
          <cell r="A4" t="str">
            <v>BẢNG TÍNH TOÁN, ĐO BÓC KHỐI LƯỢNG HOÀN THÀNH ĐƯA VÀO QUYẾT TOÁN</v>
          </cell>
        </row>
      </sheetData>
      <sheetData sheetId="6037">
        <row r="4">
          <cell r="A4" t="str">
            <v>BẢNG TÍNH TOÁN, ĐO BÓC KHỐI LƯỢNG HOÀN THÀNH ĐƯA VÀO QUYẾT TOÁN</v>
          </cell>
        </row>
      </sheetData>
      <sheetData sheetId="6038">
        <row r="4">
          <cell r="A4" t="str">
            <v>BẢNG TÍNH TOÁN, ĐO BÓC KHỐI LƯỢNG HOÀN THÀNH ĐƯA VÀO QUYẾT TOÁN</v>
          </cell>
        </row>
      </sheetData>
      <sheetData sheetId="6039">
        <row r="4">
          <cell r="A4" t="str">
            <v>BẢNG TÍNH TOÁN, ĐO BÓC KHỐI LƯỢNG HOÀN THÀNH ĐƯA VÀO QUYẾT TOÁN</v>
          </cell>
        </row>
      </sheetData>
      <sheetData sheetId="6040">
        <row r="4">
          <cell r="A4" t="str">
            <v>BẢNG TÍNH TOÁN, ĐO BÓC KHỐI LƯỢNG HOÀN THÀNH ĐƯA VÀO QUYẾT TOÁN</v>
          </cell>
        </row>
      </sheetData>
      <sheetData sheetId="6041">
        <row r="4">
          <cell r="A4" t="str">
            <v>BẢNG TÍNH TOÁN, ĐO BÓC KHỐI LƯỢNG HOÀN THÀNH ĐƯA VÀO QUYẾT TOÁN</v>
          </cell>
        </row>
      </sheetData>
      <sheetData sheetId="6042">
        <row r="4">
          <cell r="A4" t="str">
            <v>BẢNG TÍNH TOÁN, ĐO BÓC KHỐI LƯỢNG HOÀN THÀNH ĐƯA VÀO QUYẾT TOÁN</v>
          </cell>
        </row>
      </sheetData>
      <sheetData sheetId="6043">
        <row r="4">
          <cell r="A4" t="str">
            <v>BẢNG TÍNH TOÁN, ĐO BÓC KHỐI LƯỢNG HOÀN THÀNH ĐƯA VÀO QUYẾT TOÁN</v>
          </cell>
        </row>
      </sheetData>
      <sheetData sheetId="6044">
        <row r="4">
          <cell r="A4" t="str">
            <v>BẢNG TÍNH TOÁN, ĐO BÓC KHỐI LƯỢNG HOÀN THÀNH ĐƯA VÀO QUYẾT TOÁN</v>
          </cell>
        </row>
      </sheetData>
      <sheetData sheetId="6045">
        <row r="4">
          <cell r="A4" t="str">
            <v>BẢNG TÍNH TOÁN, ĐO BÓC KHỐI LƯỢNG HOÀN THÀNH ĐƯA VÀO QUYẾT TOÁN</v>
          </cell>
        </row>
      </sheetData>
      <sheetData sheetId="6046">
        <row r="4">
          <cell r="A4" t="str">
            <v>BẢNG TÍNH TOÁN, ĐO BÓC KHỐI LƯỢNG HOÀN THÀNH ĐƯA VÀO QUYẾT TOÁN</v>
          </cell>
        </row>
      </sheetData>
      <sheetData sheetId="6047">
        <row r="4">
          <cell r="A4" t="str">
            <v>BẢNG TÍNH TOÁN, ĐO BÓC KHỐI LƯỢNG HOÀN THÀNH ĐƯA VÀO QUYẾT TOÁN</v>
          </cell>
        </row>
      </sheetData>
      <sheetData sheetId="6048">
        <row r="4">
          <cell r="A4" t="str">
            <v>BẢNG TÍNH TOÁN, ĐO BÓC KHỐI LƯỢNG HOÀN THÀNH ĐƯA VÀO QUYẾT TOÁN</v>
          </cell>
        </row>
      </sheetData>
      <sheetData sheetId="6049">
        <row r="4">
          <cell r="A4" t="str">
            <v>BẢNG TÍNH TOÁN, ĐO BÓC KHỐI LƯỢNG HOÀN THÀNH ĐƯA VÀO QUYẾT TOÁN</v>
          </cell>
        </row>
      </sheetData>
      <sheetData sheetId="6050">
        <row r="4">
          <cell r="A4" t="str">
            <v>BẢNG TÍNH TOÁN, ĐO BÓC KHỐI LƯỢNG HOÀN THÀNH ĐƯA VÀO QUYẾT TOÁN</v>
          </cell>
        </row>
      </sheetData>
      <sheetData sheetId="6051">
        <row r="4">
          <cell r="A4" t="str">
            <v>BẢNG TÍNH TOÁN, ĐO BÓC KHỐI LƯỢNG HOÀN THÀNH ĐƯA VÀO QUYẾT TOÁN</v>
          </cell>
        </row>
      </sheetData>
      <sheetData sheetId="6052">
        <row r="4">
          <cell r="A4" t="str">
            <v>BẢNG TÍNH TOÁN, ĐO BÓC KHỐI LƯỢNG HOÀN THÀNH ĐƯA VÀO QUYẾT TOÁN</v>
          </cell>
        </row>
      </sheetData>
      <sheetData sheetId="6053">
        <row r="4">
          <cell r="A4" t="str">
            <v>BẢNG TÍNH TOÁN, ĐO BÓC KHỐI LƯỢNG HOÀN THÀNH ĐƯA VÀO QUYẾT TOÁN</v>
          </cell>
        </row>
      </sheetData>
      <sheetData sheetId="6054">
        <row r="4">
          <cell r="A4" t="str">
            <v>BẢNG TÍNH TOÁN, ĐO BÓC KHỐI LƯỢNG HOÀN THÀNH ĐƯA VÀO QUYẾT TOÁN</v>
          </cell>
        </row>
      </sheetData>
      <sheetData sheetId="6055">
        <row r="4">
          <cell r="A4" t="str">
            <v>BẢNG TÍNH TOÁN, ĐO BÓC KHỐI LƯỢNG HOÀN THÀNH ĐƯA VÀO QUYẾT TOÁN</v>
          </cell>
        </row>
      </sheetData>
      <sheetData sheetId="6056">
        <row r="4">
          <cell r="A4" t="str">
            <v>BẢNG TÍNH TOÁN, ĐO BÓC KHỐI LƯỢNG HOÀN THÀNH ĐƯA VÀO QUYẾT TOÁN</v>
          </cell>
        </row>
      </sheetData>
      <sheetData sheetId="6057">
        <row r="4">
          <cell r="A4" t="str">
            <v>BẢNG TÍNH TOÁN, ĐO BÓC KHỐI LƯỢNG HOÀN THÀNH ĐƯA VÀO QUYẾT TOÁN</v>
          </cell>
        </row>
      </sheetData>
      <sheetData sheetId="6058">
        <row r="4">
          <cell r="A4" t="str">
            <v>BẢNG TÍNH TOÁN, ĐO BÓC KHỐI LƯỢNG HOÀN THÀNH ĐƯA VÀO QUYẾT TOÁN</v>
          </cell>
        </row>
      </sheetData>
      <sheetData sheetId="6059">
        <row r="4">
          <cell r="A4" t="str">
            <v>BẢNG TÍNH TOÁN, ĐO BÓC KHỐI LƯỢNG HOÀN THÀNH ĐƯA VÀO QUYẾT TOÁN</v>
          </cell>
        </row>
      </sheetData>
      <sheetData sheetId="6060">
        <row r="4">
          <cell r="A4" t="str">
            <v>BẢNG TÍNH TOÁN, ĐO BÓC KHỐI LƯỢNG HOÀN THÀNH ĐƯA VÀO QUYẾT TOÁN</v>
          </cell>
        </row>
      </sheetData>
      <sheetData sheetId="6061">
        <row r="4">
          <cell r="A4" t="str">
            <v>BẢNG TÍNH TOÁN, ĐO BÓC KHỐI LƯỢNG HOÀN THÀNH ĐƯA VÀO QUYẾT TOÁN</v>
          </cell>
        </row>
      </sheetData>
      <sheetData sheetId="6062">
        <row r="4">
          <cell r="A4" t="str">
            <v>BẢNG TÍNH TOÁN, ĐO BÓC KHỐI LƯỢNG HOÀN THÀNH ĐƯA VÀO QUYẾT TOÁN</v>
          </cell>
        </row>
      </sheetData>
      <sheetData sheetId="6063">
        <row r="4">
          <cell r="A4" t="str">
            <v>BẢNG TÍNH TOÁN, ĐO BÓC KHỐI LƯỢNG HOÀN THÀNH ĐƯA VÀO QUYẾT TOÁN</v>
          </cell>
        </row>
      </sheetData>
      <sheetData sheetId="6064">
        <row r="4">
          <cell r="A4" t="str">
            <v>BẢNG TÍNH TOÁN, ĐO BÓC KHỐI LƯỢNG HOÀN THÀNH ĐƯA VÀO QUYẾT TOÁN</v>
          </cell>
        </row>
      </sheetData>
      <sheetData sheetId="6065">
        <row r="4">
          <cell r="A4" t="str">
            <v>BẢNG TÍNH TOÁN, ĐO BÓC KHỐI LƯỢNG HOÀN THÀNH ĐƯA VÀO QUYẾT TOÁN</v>
          </cell>
        </row>
      </sheetData>
      <sheetData sheetId="6066">
        <row r="4">
          <cell r="A4" t="str">
            <v>BẢNG TÍNH TOÁN, ĐO BÓC KHỐI LƯỢNG HOÀN THÀNH ĐƯA VÀO QUYẾT TOÁN</v>
          </cell>
        </row>
      </sheetData>
      <sheetData sheetId="6067">
        <row r="4">
          <cell r="A4" t="str">
            <v>BẢNG TÍNH TOÁN, ĐO BÓC KHỐI LƯỢNG HOÀN THÀNH ĐƯA VÀO QUYẾT TOÁN</v>
          </cell>
        </row>
      </sheetData>
      <sheetData sheetId="6068">
        <row r="4">
          <cell r="A4" t="str">
            <v>BẢNG TÍNH TOÁN, ĐO BÓC KHỐI LƯỢNG HOÀN THÀNH ĐƯA VÀO QUYẾT TOÁN</v>
          </cell>
        </row>
      </sheetData>
      <sheetData sheetId="6069">
        <row r="4">
          <cell r="A4" t="str">
            <v>BẢNG TÍNH TOÁN, ĐO BÓC KHỐI LƯỢNG HOÀN THÀNH ĐƯA VÀO QUYẾT TOÁN</v>
          </cell>
        </row>
      </sheetData>
      <sheetData sheetId="6070">
        <row r="4">
          <cell r="A4" t="str">
            <v>BẢNG TÍNH TOÁN, ĐO BÓC KHỐI LƯỢNG HOÀN THÀNH ĐƯA VÀO QUYẾT TOÁN</v>
          </cell>
        </row>
      </sheetData>
      <sheetData sheetId="6071">
        <row r="4">
          <cell r="A4" t="str">
            <v>BẢNG TÍNH TOÁN, ĐO BÓC KHỐI LƯỢNG HOÀN THÀNH ĐƯA VÀO QUYẾT TOÁN</v>
          </cell>
        </row>
      </sheetData>
      <sheetData sheetId="6072">
        <row r="4">
          <cell r="A4" t="str">
            <v>BẢNG TÍNH TOÁN, ĐO BÓC KHỐI LƯỢNG HOÀN THÀNH ĐƯA VÀO QUYẾT TOÁN</v>
          </cell>
        </row>
      </sheetData>
      <sheetData sheetId="6073">
        <row r="4">
          <cell r="A4" t="str">
            <v>BẢNG TÍNH TOÁN, ĐO BÓC KHỐI LƯỢNG HOÀN THÀNH ĐƯA VÀO QUYẾT TOÁN</v>
          </cell>
        </row>
      </sheetData>
      <sheetData sheetId="6074">
        <row r="4">
          <cell r="A4" t="str">
            <v>BẢNG TÍNH TOÁN, ĐO BÓC KHỐI LƯỢNG HOÀN THÀNH ĐƯA VÀO QUYẾT TOÁN</v>
          </cell>
        </row>
      </sheetData>
      <sheetData sheetId="6075">
        <row r="4">
          <cell r="A4" t="str">
            <v>BẢNG TÍNH TOÁN, ĐO BÓC KHỐI LƯỢNG HOÀN THÀNH ĐƯA VÀO QUYẾT TOÁN</v>
          </cell>
        </row>
      </sheetData>
      <sheetData sheetId="6076">
        <row r="4">
          <cell r="A4" t="str">
            <v>BẢNG TÍNH TOÁN, ĐO BÓC KHỐI LƯỢNG HOÀN THÀNH ĐƯA VÀO QUYẾT TOÁN</v>
          </cell>
        </row>
      </sheetData>
      <sheetData sheetId="6077">
        <row r="4">
          <cell r="A4" t="str">
            <v>BẢNG TÍNH TOÁN, ĐO BÓC KHỐI LƯỢNG HOÀN THÀNH ĐƯA VÀO QUYẾT TOÁN</v>
          </cell>
        </row>
      </sheetData>
      <sheetData sheetId="6078">
        <row r="4">
          <cell r="A4" t="str">
            <v>BẢNG TÍNH TOÁN, ĐO BÓC KHỐI LƯỢNG HOÀN THÀNH ĐƯA VÀO QUYẾT TOÁN</v>
          </cell>
        </row>
      </sheetData>
      <sheetData sheetId="6079">
        <row r="4">
          <cell r="A4" t="str">
            <v>BẢNG TÍNH TOÁN, ĐO BÓC KHỐI LƯỢNG HOÀN THÀNH ĐƯA VÀO QUYẾT TOÁN</v>
          </cell>
        </row>
      </sheetData>
      <sheetData sheetId="6080">
        <row r="4">
          <cell r="A4" t="str">
            <v>BẢNG TÍNH TOÁN, ĐO BÓC KHỐI LƯỢNG HOÀN THÀNH ĐƯA VÀO QUYẾT TOÁN</v>
          </cell>
        </row>
      </sheetData>
      <sheetData sheetId="6081">
        <row r="4">
          <cell r="A4" t="str">
            <v>BẢNG TÍNH TOÁN, ĐO BÓC KHỐI LƯỢNG HOÀN THÀNH ĐƯA VÀO QUYẾT TOÁN</v>
          </cell>
        </row>
      </sheetData>
      <sheetData sheetId="6082">
        <row r="4">
          <cell r="A4" t="str">
            <v>BẢNG TÍNH TOÁN, ĐO BÓC KHỐI LƯỢNG HOÀN THÀNH ĐƯA VÀO QUYẾT TOÁN</v>
          </cell>
        </row>
      </sheetData>
      <sheetData sheetId="6083">
        <row r="4">
          <cell r="A4" t="str">
            <v>BẢNG TÍNH TOÁN, ĐO BÓC KHỐI LƯỢNG HOÀN THÀNH ĐƯA VÀO QUYẾT TOÁN</v>
          </cell>
        </row>
      </sheetData>
      <sheetData sheetId="6084">
        <row r="4">
          <cell r="A4" t="str">
            <v>BẢNG TÍNH TOÁN, ĐO BÓC KHỐI LƯỢNG HOÀN THÀNH ĐƯA VÀO QUYẾT TOÁN</v>
          </cell>
        </row>
      </sheetData>
      <sheetData sheetId="6085">
        <row r="4">
          <cell r="A4" t="str">
            <v>BẢNG TÍNH TOÁN, ĐO BÓC KHỐI LƯỢNG HOÀN THÀNH ĐƯA VÀO QUYẾT TOÁN</v>
          </cell>
        </row>
      </sheetData>
      <sheetData sheetId="6086">
        <row r="4">
          <cell r="A4" t="str">
            <v>BẢNG TÍNH TOÁN, ĐO BÓC KHỐI LƯỢNG HOÀN THÀNH ĐƯA VÀO QUYẾT TOÁN</v>
          </cell>
        </row>
      </sheetData>
      <sheetData sheetId="6087">
        <row r="4">
          <cell r="A4" t="str">
            <v>BẢNG TÍNH TOÁN, ĐO BÓC KHỐI LƯỢNG HOÀN THÀNH ĐƯA VÀO QUYẾT TOÁN</v>
          </cell>
        </row>
      </sheetData>
      <sheetData sheetId="6088">
        <row r="4">
          <cell r="A4" t="str">
            <v>BẢNG TÍNH TOÁN, ĐO BÓC KHỐI LƯỢNG HOÀN THÀNH ĐƯA VÀO QUYẾT TOÁN</v>
          </cell>
        </row>
      </sheetData>
      <sheetData sheetId="6089">
        <row r="4">
          <cell r="A4" t="str">
            <v>BẢNG TÍNH TOÁN, ĐO BÓC KHỐI LƯỢNG HOÀN THÀNH ĐƯA VÀO QUYẾT TOÁN</v>
          </cell>
        </row>
      </sheetData>
      <sheetData sheetId="6090">
        <row r="4">
          <cell r="A4" t="str">
            <v>BẢNG TÍNH TOÁN, ĐO BÓC KHỐI LƯỢNG HOÀN THÀNH ĐƯA VÀO QUYẾT TOÁN</v>
          </cell>
        </row>
      </sheetData>
      <sheetData sheetId="6091">
        <row r="4">
          <cell r="A4" t="str">
            <v>BẢNG TÍNH TOÁN, ĐO BÓC KHỐI LƯỢNG HOÀN THÀNH ĐƯA VÀO QUYẾT TOÁN</v>
          </cell>
        </row>
      </sheetData>
      <sheetData sheetId="6092">
        <row r="4">
          <cell r="A4" t="str">
            <v>BẢNG TÍNH TOÁN, ĐO BÓC KHỐI LƯỢNG HOÀN THÀNH ĐƯA VÀO QUYẾT TOÁN</v>
          </cell>
        </row>
      </sheetData>
      <sheetData sheetId="6093">
        <row r="4">
          <cell r="A4" t="str">
            <v>BẢNG TÍNH TOÁN, ĐO BÓC KHỐI LƯỢNG HOÀN THÀNH ĐƯA VÀO QUYẾT TOÁN</v>
          </cell>
        </row>
      </sheetData>
      <sheetData sheetId="6094">
        <row r="4">
          <cell r="A4" t="str">
            <v>BẢNG TÍNH TOÁN, ĐO BÓC KHỐI LƯỢNG HOÀN THÀNH ĐƯA VÀO QUYẾT TOÁN</v>
          </cell>
        </row>
      </sheetData>
      <sheetData sheetId="6095">
        <row r="4">
          <cell r="A4" t="str">
            <v>BẢNG TÍNH TOÁN, ĐO BÓC KHỐI LƯỢNG HOÀN THÀNH ĐƯA VÀO QUYẾT TOÁN</v>
          </cell>
        </row>
      </sheetData>
      <sheetData sheetId="6096">
        <row r="4">
          <cell r="A4" t="str">
            <v>BẢNG TÍNH TOÁN, ĐO BÓC KHỐI LƯỢNG HOÀN THÀNH ĐƯA VÀO QUYẾT TOÁN</v>
          </cell>
        </row>
      </sheetData>
      <sheetData sheetId="6097">
        <row r="4">
          <cell r="A4" t="str">
            <v>BẢNG TÍNH TOÁN, ĐO BÓC KHỐI LƯỢNG HOÀN THÀNH ĐƯA VÀO QUYẾT TOÁN</v>
          </cell>
        </row>
      </sheetData>
      <sheetData sheetId="6098">
        <row r="4">
          <cell r="A4" t="str">
            <v>BẢNG TÍNH TOÁN, ĐO BÓC KHỐI LƯỢNG HOÀN THÀNH ĐƯA VÀO QUYẾT TOÁN</v>
          </cell>
        </row>
      </sheetData>
      <sheetData sheetId="6099">
        <row r="4">
          <cell r="A4" t="str">
            <v>BẢNG TÍNH TOÁN, ĐO BÓC KHỐI LƯỢNG HOÀN THÀNH ĐƯA VÀO QUYẾT TOÁN</v>
          </cell>
        </row>
      </sheetData>
      <sheetData sheetId="6100">
        <row r="4">
          <cell r="A4" t="str">
            <v>BẢNG TÍNH TOÁN, ĐO BÓC KHỐI LƯỢNG HOÀN THÀNH ĐƯA VÀO QUYẾT TOÁN</v>
          </cell>
        </row>
      </sheetData>
      <sheetData sheetId="6101">
        <row r="4">
          <cell r="A4" t="str">
            <v>BẢNG TÍNH TOÁN, ĐO BÓC KHỐI LƯỢNG HOÀN THÀNH ĐƯA VÀO QUYẾT TOÁN</v>
          </cell>
        </row>
      </sheetData>
      <sheetData sheetId="6102">
        <row r="4">
          <cell r="A4" t="str">
            <v>BẢNG TÍNH TOÁN, ĐO BÓC KHỐI LƯỢNG HOÀN THÀNH ĐƯA VÀO QUYẾT TOÁN</v>
          </cell>
        </row>
      </sheetData>
      <sheetData sheetId="6103">
        <row r="4">
          <cell r="A4" t="str">
            <v>BẢNG TÍNH TOÁN, ĐO BÓC KHỐI LƯỢNG HOÀN THÀNH ĐƯA VÀO QUYẾT TOÁN</v>
          </cell>
        </row>
      </sheetData>
      <sheetData sheetId="6104">
        <row r="4">
          <cell r="A4" t="str">
            <v>BẢNG TÍNH TOÁN, ĐO BÓC KHỐI LƯỢNG HOÀN THÀNH ĐƯA VÀO QUYẾT TOÁN</v>
          </cell>
        </row>
      </sheetData>
      <sheetData sheetId="6105">
        <row r="4">
          <cell r="A4" t="str">
            <v>BẢNG TÍNH TOÁN, ĐO BÓC KHỐI LƯỢNG HOÀN THÀNH ĐƯA VÀO QUYẾT TOÁN</v>
          </cell>
        </row>
      </sheetData>
      <sheetData sheetId="6106">
        <row r="4">
          <cell r="A4" t="str">
            <v>BẢNG TÍNH TOÁN, ĐO BÓC KHỐI LƯỢNG HOÀN THÀNH ĐƯA VÀO QUYẾT TOÁN</v>
          </cell>
        </row>
      </sheetData>
      <sheetData sheetId="6107">
        <row r="4">
          <cell r="A4" t="str">
            <v>BẢNG TÍNH TOÁN, ĐO BÓC KHỐI LƯỢNG HOÀN THÀNH ĐƯA VÀO QUYẾT TOÁN</v>
          </cell>
        </row>
      </sheetData>
      <sheetData sheetId="6108">
        <row r="4">
          <cell r="A4" t="str">
            <v>BẢNG TÍNH TOÁN, ĐO BÓC KHỐI LƯỢNG HOÀN THÀNH ĐƯA VÀO QUYẾT TOÁN</v>
          </cell>
        </row>
      </sheetData>
      <sheetData sheetId="6109">
        <row r="4">
          <cell r="A4" t="str">
            <v>BẢNG TÍNH TOÁN, ĐO BÓC KHỐI LƯỢNG HOÀN THÀNH ĐƯA VÀO QUYẾT TOÁN</v>
          </cell>
        </row>
      </sheetData>
      <sheetData sheetId="6110">
        <row r="4">
          <cell r="A4" t="str">
            <v>BẢNG TÍNH TOÁN, ĐO BÓC KHỐI LƯỢNG HOÀN THÀNH ĐƯA VÀO QUYẾT TOÁN</v>
          </cell>
        </row>
      </sheetData>
      <sheetData sheetId="6111">
        <row r="4">
          <cell r="A4" t="str">
            <v>BẢNG TÍNH TOÁN, ĐO BÓC KHỐI LƯỢNG HOÀN THÀNH ĐƯA VÀO QUYẾT TOÁN</v>
          </cell>
        </row>
      </sheetData>
      <sheetData sheetId="6112">
        <row r="4">
          <cell r="A4" t="str">
            <v>BẢNG TÍNH TOÁN, ĐO BÓC KHỐI LƯỢNG HOÀN THÀNH ĐƯA VÀO QUYẾT TOÁN</v>
          </cell>
        </row>
      </sheetData>
      <sheetData sheetId="6113">
        <row r="4">
          <cell r="A4" t="str">
            <v>BẢNG TÍNH TOÁN, ĐO BÓC KHỐI LƯỢNG HOÀN THÀNH ĐƯA VÀO QUYẾT TOÁN</v>
          </cell>
        </row>
      </sheetData>
      <sheetData sheetId="6114">
        <row r="4">
          <cell r="A4" t="str">
            <v>BẢNG TÍNH TOÁN, ĐO BÓC KHỐI LƯỢNG HOÀN THÀNH ĐƯA VÀO QUYẾT TOÁN</v>
          </cell>
        </row>
      </sheetData>
      <sheetData sheetId="6115">
        <row r="4">
          <cell r="A4" t="str">
            <v>BẢNG TÍNH TOÁN, ĐO BÓC KHỐI LƯỢNG HOÀN THÀNH ĐƯA VÀO QUYẾT TOÁN</v>
          </cell>
        </row>
      </sheetData>
      <sheetData sheetId="6116">
        <row r="4">
          <cell r="A4" t="str">
            <v>BẢNG TÍNH TOÁN, ĐO BÓC KHỐI LƯỢNG HOÀN THÀNH ĐƯA VÀO QUYẾT TOÁN</v>
          </cell>
        </row>
      </sheetData>
      <sheetData sheetId="6117">
        <row r="4">
          <cell r="A4" t="str">
            <v>BẢNG TÍNH TOÁN, ĐO BÓC KHỐI LƯỢNG HOÀN THÀNH ĐƯA VÀO QUYẾT TOÁN</v>
          </cell>
        </row>
      </sheetData>
      <sheetData sheetId="6118">
        <row r="4">
          <cell r="A4" t="str">
            <v>BẢNG TÍNH TOÁN, ĐO BÓC KHỐI LƯỢNG HOÀN THÀNH ĐƯA VÀO QUYẾT TOÁN</v>
          </cell>
        </row>
      </sheetData>
      <sheetData sheetId="6119">
        <row r="4">
          <cell r="A4" t="str">
            <v>BẢNG TÍNH TOÁN, ĐO BÓC KHỐI LƯỢNG HOÀN THÀNH ĐƯA VÀO QUYẾT TOÁN</v>
          </cell>
        </row>
      </sheetData>
      <sheetData sheetId="6120">
        <row r="4">
          <cell r="A4" t="str">
            <v>BẢNG TÍNH TOÁN, ĐO BÓC KHỐI LƯỢNG HOÀN THÀNH ĐƯA VÀO QUYẾT TOÁN</v>
          </cell>
        </row>
      </sheetData>
      <sheetData sheetId="6121">
        <row r="4">
          <cell r="A4" t="str">
            <v>BẢNG TÍNH TOÁN, ĐO BÓC KHỐI LƯỢNG HOÀN THÀNH ĐƯA VÀO QUYẾT TOÁN</v>
          </cell>
        </row>
      </sheetData>
      <sheetData sheetId="6122">
        <row r="4">
          <cell r="A4" t="str">
            <v>BẢNG TÍNH TOÁN, ĐO BÓC KHỐI LƯỢNG HOÀN THÀNH ĐƯA VÀO QUYẾT TOÁN</v>
          </cell>
        </row>
      </sheetData>
      <sheetData sheetId="6123">
        <row r="4">
          <cell r="A4" t="str">
            <v>BẢNG TÍNH TOÁN, ĐO BÓC KHỐI LƯỢNG HOÀN THÀNH ĐƯA VÀO QUYẾT TOÁN</v>
          </cell>
        </row>
      </sheetData>
      <sheetData sheetId="6124">
        <row r="4">
          <cell r="A4" t="str">
            <v>BẢNG TÍNH TOÁN, ĐO BÓC KHỐI LƯỢNG HOÀN THÀNH ĐƯA VÀO QUYẾT TOÁN</v>
          </cell>
        </row>
      </sheetData>
      <sheetData sheetId="6125">
        <row r="4">
          <cell r="A4" t="str">
            <v>BẢNG TÍNH TOÁN, ĐO BÓC KHỐI LƯỢNG HOÀN THÀNH ĐƯA VÀO QUYẾT TOÁN</v>
          </cell>
        </row>
      </sheetData>
      <sheetData sheetId="6126">
        <row r="4">
          <cell r="A4" t="str">
            <v>BẢNG TÍNH TOÁN, ĐO BÓC KHỐI LƯỢNG HOÀN THÀNH ĐƯA VÀO QUYẾT TOÁN</v>
          </cell>
        </row>
      </sheetData>
      <sheetData sheetId="6127">
        <row r="4">
          <cell r="A4" t="str">
            <v>BẢNG TÍNH TOÁN, ĐO BÓC KHỐI LƯỢNG HOÀN THÀNH ĐƯA VÀO QUYẾT TOÁN</v>
          </cell>
        </row>
      </sheetData>
      <sheetData sheetId="6128">
        <row r="4">
          <cell r="A4" t="str">
            <v>BẢNG TÍNH TOÁN, ĐO BÓC KHỐI LƯỢNG HOÀN THÀNH ĐƯA VÀO QUYẾT TOÁN</v>
          </cell>
        </row>
      </sheetData>
      <sheetData sheetId="6129">
        <row r="4">
          <cell r="A4" t="str">
            <v>BẢNG TÍNH TOÁN, ĐO BÓC KHỐI LƯỢNG HOÀN THÀNH ĐƯA VÀO QUYẾT TOÁN</v>
          </cell>
        </row>
      </sheetData>
      <sheetData sheetId="6130">
        <row r="4">
          <cell r="A4" t="str">
            <v>BẢNG TÍNH TOÁN, ĐO BÓC KHỐI LƯỢNG HOÀN THÀNH ĐƯA VÀO QUYẾT TOÁN</v>
          </cell>
        </row>
      </sheetData>
      <sheetData sheetId="6131">
        <row r="4">
          <cell r="A4" t="str">
            <v>BẢNG TÍNH TOÁN, ĐO BÓC KHỐI LƯỢNG HOÀN THÀNH ĐƯA VÀO QUYẾT TOÁN</v>
          </cell>
        </row>
      </sheetData>
      <sheetData sheetId="6132">
        <row r="4">
          <cell r="A4" t="str">
            <v>BẢNG TÍNH TOÁN, ĐO BÓC KHỐI LƯỢNG HOÀN THÀNH ĐƯA VÀO QUYẾT TOÁN</v>
          </cell>
        </row>
      </sheetData>
      <sheetData sheetId="6133">
        <row r="4">
          <cell r="A4" t="str">
            <v>BẢNG TÍNH TOÁN, ĐO BÓC KHỐI LƯỢNG HOÀN THÀNH ĐƯA VÀO QUYẾT TOÁN</v>
          </cell>
        </row>
      </sheetData>
      <sheetData sheetId="6134">
        <row r="4">
          <cell r="A4" t="str">
            <v>BẢNG TÍNH TOÁN, ĐO BÓC KHỐI LƯỢNG HOÀN THÀNH ĐƯA VÀO QUYẾT TOÁN</v>
          </cell>
        </row>
      </sheetData>
      <sheetData sheetId="6135">
        <row r="4">
          <cell r="A4" t="str">
            <v>BẢNG TÍNH TOÁN, ĐO BÓC KHỐI LƯỢNG HOÀN THÀNH ĐƯA VÀO QUYẾT TOÁN</v>
          </cell>
        </row>
      </sheetData>
      <sheetData sheetId="6136">
        <row r="4">
          <cell r="A4" t="str">
            <v>BẢNG TÍNH TOÁN, ĐO BÓC KHỐI LƯỢNG HOÀN THÀNH ĐƯA VÀO QUYẾT TOÁN</v>
          </cell>
        </row>
      </sheetData>
      <sheetData sheetId="6137">
        <row r="4">
          <cell r="A4" t="str">
            <v>BẢNG TÍNH TOÁN, ĐO BÓC KHỐI LƯỢNG HOÀN THÀNH ĐƯA VÀO QUYẾT TOÁN</v>
          </cell>
        </row>
      </sheetData>
      <sheetData sheetId="6138">
        <row r="4">
          <cell r="A4" t="str">
            <v>BẢNG TÍNH TOÁN, ĐO BÓC KHỐI LƯỢNG HOÀN THÀNH ĐƯA VÀO QUYẾT TOÁN</v>
          </cell>
        </row>
      </sheetData>
      <sheetData sheetId="6139">
        <row r="4">
          <cell r="A4" t="str">
            <v>BẢNG TÍNH TOÁN, ĐO BÓC KHỐI LƯỢNG HOÀN THÀNH ĐƯA VÀO QUYẾT TOÁN</v>
          </cell>
        </row>
      </sheetData>
      <sheetData sheetId="6140">
        <row r="4">
          <cell r="A4" t="str">
            <v>BẢNG TÍNH TOÁN, ĐO BÓC KHỐI LƯỢNG HOÀN THÀNH ĐƯA VÀO QUYẾT TOÁN</v>
          </cell>
        </row>
      </sheetData>
      <sheetData sheetId="6141">
        <row r="4">
          <cell r="A4" t="str">
            <v>BẢNG TÍNH TOÁN, ĐO BÓC KHỐI LƯỢNG HOÀN THÀNH ĐƯA VÀO QUYẾT TOÁN</v>
          </cell>
        </row>
      </sheetData>
      <sheetData sheetId="6142">
        <row r="4">
          <cell r="A4" t="str">
            <v>BẢNG TÍNH TOÁN, ĐO BÓC KHỐI LƯỢNG HOÀN THÀNH ĐƯA VÀO QUYẾT TOÁN</v>
          </cell>
        </row>
      </sheetData>
      <sheetData sheetId="6143">
        <row r="4">
          <cell r="A4" t="str">
            <v>BẢNG TÍNH TOÁN, ĐO BÓC KHỐI LƯỢNG HOÀN THÀNH ĐƯA VÀO QUYẾT TOÁN</v>
          </cell>
        </row>
      </sheetData>
      <sheetData sheetId="6144">
        <row r="4">
          <cell r="A4" t="str">
            <v>BẢNG TÍNH TOÁN, ĐO BÓC KHỐI LƯỢNG HOÀN THÀNH ĐƯA VÀO QUYẾT TOÁN</v>
          </cell>
        </row>
      </sheetData>
      <sheetData sheetId="6145">
        <row r="4">
          <cell r="A4" t="str">
            <v>BẢNG TÍNH TOÁN, ĐO BÓC KHỐI LƯỢNG HOÀN THÀNH ĐƯA VÀO QUYẾT TOÁN</v>
          </cell>
        </row>
      </sheetData>
      <sheetData sheetId="6146">
        <row r="4">
          <cell r="A4" t="str">
            <v>BẢNG TÍNH TOÁN, ĐO BÓC KHỐI LƯỢNG HOÀN THÀNH ĐƯA VÀO QUYẾT TOÁN</v>
          </cell>
        </row>
      </sheetData>
      <sheetData sheetId="6147">
        <row r="4">
          <cell r="A4" t="str">
            <v>BẢNG TÍNH TOÁN, ĐO BÓC KHỐI LƯỢNG HOÀN THÀNH ĐƯA VÀO QUYẾT TOÁN</v>
          </cell>
        </row>
      </sheetData>
      <sheetData sheetId="6148">
        <row r="4">
          <cell r="A4" t="str">
            <v>BẢNG TÍNH TOÁN, ĐO BÓC KHỐI LƯỢNG HOÀN THÀNH ĐƯA VÀO QUYẾT TOÁN</v>
          </cell>
        </row>
      </sheetData>
      <sheetData sheetId="6149">
        <row r="4">
          <cell r="A4" t="str">
            <v>BẢNG TÍNH TOÁN, ĐO BÓC KHỐI LƯỢNG HOÀN THÀNH ĐƯA VÀO QUYẾT TOÁN</v>
          </cell>
        </row>
      </sheetData>
      <sheetData sheetId="6150">
        <row r="4">
          <cell r="A4" t="str">
            <v>BẢNG TÍNH TOÁN, ĐO BÓC KHỐI LƯỢNG HOÀN THÀNH ĐƯA VÀO QUYẾT TOÁN</v>
          </cell>
        </row>
      </sheetData>
      <sheetData sheetId="6151">
        <row r="4">
          <cell r="A4" t="str">
            <v>BẢNG TÍNH TOÁN, ĐO BÓC KHỐI LƯỢNG HOÀN THÀNH ĐƯA VÀO QUYẾT TOÁN</v>
          </cell>
        </row>
      </sheetData>
      <sheetData sheetId="6152">
        <row r="4">
          <cell r="A4" t="str">
            <v>BẢNG TÍNH TOÁN, ĐO BÓC KHỐI LƯỢNG HOÀN THÀNH ĐƯA VÀO QUYẾT TOÁN</v>
          </cell>
        </row>
      </sheetData>
      <sheetData sheetId="6153">
        <row r="4">
          <cell r="A4" t="str">
            <v>BẢNG TÍNH TOÁN, ĐO BÓC KHỐI LƯỢNG HOÀN THÀNH ĐƯA VÀO QUYẾT TOÁN</v>
          </cell>
        </row>
      </sheetData>
      <sheetData sheetId="6154">
        <row r="4">
          <cell r="A4" t="str">
            <v>BẢNG TÍNH TOÁN, ĐO BÓC KHỐI LƯỢNG HOÀN THÀNH ĐƯA VÀO QUYẾT TOÁN</v>
          </cell>
        </row>
      </sheetData>
      <sheetData sheetId="6155">
        <row r="4">
          <cell r="A4" t="str">
            <v>BẢNG TÍNH TOÁN, ĐO BÓC KHỐI LƯỢNG HOÀN THÀNH ĐƯA VÀO QUYẾT TOÁN</v>
          </cell>
        </row>
      </sheetData>
      <sheetData sheetId="6156">
        <row r="4">
          <cell r="A4" t="str">
            <v>BẢNG TÍNH TOÁN, ĐO BÓC KHỐI LƯỢNG HOÀN THÀNH ĐƯA VÀO QUYẾT TOÁN</v>
          </cell>
        </row>
      </sheetData>
      <sheetData sheetId="6157">
        <row r="4">
          <cell r="A4" t="str">
            <v>BẢNG TÍNH TOÁN, ĐO BÓC KHỐI LƯỢNG HOÀN THÀNH ĐƯA VÀO QUYẾT TOÁN</v>
          </cell>
        </row>
      </sheetData>
      <sheetData sheetId="6158">
        <row r="4">
          <cell r="A4" t="str">
            <v>BẢNG TÍNH TOÁN, ĐO BÓC KHỐI LƯỢNG HOÀN THÀNH ĐƯA VÀO QUYẾT TOÁN</v>
          </cell>
        </row>
      </sheetData>
      <sheetData sheetId="6159">
        <row r="4">
          <cell r="A4" t="str">
            <v>BẢNG TÍNH TOÁN, ĐO BÓC KHỐI LƯỢNG HOÀN THÀNH ĐƯA VÀO QUYẾT TOÁN</v>
          </cell>
        </row>
      </sheetData>
      <sheetData sheetId="6160">
        <row r="4">
          <cell r="A4" t="str">
            <v>BẢNG TÍNH TOÁN, ĐO BÓC KHỐI LƯỢNG HOÀN THÀNH ĐƯA VÀO QUYẾT TOÁN</v>
          </cell>
        </row>
      </sheetData>
      <sheetData sheetId="6161">
        <row r="4">
          <cell r="A4" t="str">
            <v>BẢNG TÍNH TOÁN, ĐO BÓC KHỐI LƯỢNG HOÀN THÀNH ĐƯA VÀO QUYẾT TOÁN</v>
          </cell>
        </row>
      </sheetData>
      <sheetData sheetId="6162">
        <row r="4">
          <cell r="A4" t="str">
            <v>BẢNG TÍNH TOÁN, ĐO BÓC KHỐI LƯỢNG HOÀN THÀNH ĐƯA VÀO QUYẾT TOÁN</v>
          </cell>
        </row>
      </sheetData>
      <sheetData sheetId="6163">
        <row r="4">
          <cell r="A4" t="str">
            <v>BẢNG TÍNH TOÁN, ĐO BÓC KHỐI LƯỢNG HOÀN THÀNH ĐƯA VÀO QUYẾT TOÁN</v>
          </cell>
        </row>
      </sheetData>
      <sheetData sheetId="6164">
        <row r="4">
          <cell r="A4" t="str">
            <v>BẢNG TÍNH TOÁN, ĐO BÓC KHỐI LƯỢNG HOÀN THÀNH ĐƯA VÀO QUYẾT TOÁN</v>
          </cell>
        </row>
      </sheetData>
      <sheetData sheetId="6165">
        <row r="4">
          <cell r="A4" t="str">
            <v>BẢNG TÍNH TOÁN, ĐO BÓC KHỐI LƯỢNG HOÀN THÀNH ĐƯA VÀO QUYẾT TOÁN</v>
          </cell>
        </row>
      </sheetData>
      <sheetData sheetId="6166">
        <row r="4">
          <cell r="A4" t="str">
            <v>BẢNG TÍNH TOÁN, ĐO BÓC KHỐI LƯỢNG HOÀN THÀNH ĐƯA VÀO QUYẾT TOÁN</v>
          </cell>
        </row>
      </sheetData>
      <sheetData sheetId="6167">
        <row r="4">
          <cell r="A4" t="str">
            <v>BẢNG TÍNH TOÁN, ĐO BÓC KHỐI LƯỢNG HOÀN THÀNH ĐƯA VÀO QUYẾT TOÁN</v>
          </cell>
        </row>
      </sheetData>
      <sheetData sheetId="6168">
        <row r="4">
          <cell r="A4" t="str">
            <v>BẢNG TÍNH TOÁN, ĐO BÓC KHỐI LƯỢNG HOÀN THÀNH ĐƯA VÀO QUYẾT TOÁN</v>
          </cell>
        </row>
      </sheetData>
      <sheetData sheetId="6169">
        <row r="4">
          <cell r="A4" t="str">
            <v>BẢNG TÍNH TOÁN, ĐO BÓC KHỐI LƯỢNG HOÀN THÀNH ĐƯA VÀO QUYẾT TOÁN</v>
          </cell>
        </row>
      </sheetData>
      <sheetData sheetId="6170">
        <row r="4">
          <cell r="A4" t="str">
            <v>BẢNG TÍNH TOÁN, ĐO BÓC KHỐI LƯỢNG HOÀN THÀNH ĐƯA VÀO QUYẾT TOÁN</v>
          </cell>
        </row>
      </sheetData>
      <sheetData sheetId="6171">
        <row r="4">
          <cell r="A4" t="str">
            <v>BẢNG TÍNH TOÁN, ĐO BÓC KHỐI LƯỢNG HOÀN THÀNH ĐƯA VÀO QUYẾT TOÁN</v>
          </cell>
        </row>
      </sheetData>
      <sheetData sheetId="6172">
        <row r="4">
          <cell r="A4" t="str">
            <v>BẢNG TÍNH TOÁN, ĐO BÓC KHỐI LƯỢNG HOÀN THÀNH ĐƯA VÀO QUYẾT TOÁN</v>
          </cell>
        </row>
      </sheetData>
      <sheetData sheetId="6173">
        <row r="4">
          <cell r="A4" t="str">
            <v>BẢNG TÍNH TOÁN, ĐO BÓC KHỐI LƯỢNG HOÀN THÀNH ĐƯA VÀO QUYẾT TOÁN</v>
          </cell>
        </row>
      </sheetData>
      <sheetData sheetId="6174">
        <row r="4">
          <cell r="A4" t="str">
            <v>BẢNG TÍNH TOÁN, ĐO BÓC KHỐI LƯỢNG HOÀN THÀNH ĐƯA VÀO QUYẾT TOÁN</v>
          </cell>
        </row>
      </sheetData>
      <sheetData sheetId="6175">
        <row r="4">
          <cell r="A4" t="str">
            <v>BẢNG TÍNH TOÁN, ĐO BÓC KHỐI LƯỢNG HOÀN THÀNH ĐƯA VÀO QUYẾT TOÁN</v>
          </cell>
        </row>
      </sheetData>
      <sheetData sheetId="6176">
        <row r="4">
          <cell r="A4" t="str">
            <v>BẢNG TÍNH TOÁN, ĐO BÓC KHỐI LƯỢNG HOÀN THÀNH ĐƯA VÀO QUYẾT TOÁN</v>
          </cell>
        </row>
      </sheetData>
      <sheetData sheetId="6177">
        <row r="4">
          <cell r="A4" t="str">
            <v>BẢNG TÍNH TOÁN, ĐO BÓC KHỐI LƯỢNG HOÀN THÀNH ĐƯA VÀO QUYẾT TOÁN</v>
          </cell>
        </row>
      </sheetData>
      <sheetData sheetId="6178">
        <row r="4">
          <cell r="A4" t="str">
            <v>BẢNG TÍNH TOÁN, ĐO BÓC KHỐI LƯỢNG HOÀN THÀNH ĐƯA VÀO QUYẾT TOÁN</v>
          </cell>
        </row>
      </sheetData>
      <sheetData sheetId="6179">
        <row r="4">
          <cell r="A4" t="str">
            <v>BẢNG TÍNH TOÁN, ĐO BÓC KHỐI LƯỢNG HOÀN THÀNH ĐƯA VÀO QUYẾT TOÁN</v>
          </cell>
        </row>
      </sheetData>
      <sheetData sheetId="6180">
        <row r="4">
          <cell r="A4" t="str">
            <v>BẢNG TÍNH TOÁN, ĐO BÓC KHỐI LƯỢNG HOÀN THÀNH ĐƯA VÀO QUYẾT TOÁN</v>
          </cell>
        </row>
      </sheetData>
      <sheetData sheetId="6181">
        <row r="4">
          <cell r="A4" t="str">
            <v>BẢNG TÍNH TOÁN, ĐO BÓC KHỐI LƯỢNG HOÀN THÀNH ĐƯA VÀO QUYẾT TOÁN</v>
          </cell>
        </row>
      </sheetData>
      <sheetData sheetId="6182">
        <row r="4">
          <cell r="A4" t="str">
            <v>BẢNG TÍNH TOÁN, ĐO BÓC KHỐI LƯỢNG HOÀN THÀNH ĐƯA VÀO QUYẾT TOÁN</v>
          </cell>
        </row>
      </sheetData>
      <sheetData sheetId="6183">
        <row r="4">
          <cell r="A4" t="str">
            <v>BẢNG TÍNH TOÁN, ĐO BÓC KHỐI LƯỢNG HOÀN THÀNH ĐƯA VÀO QUYẾT TOÁN</v>
          </cell>
        </row>
      </sheetData>
      <sheetData sheetId="6184">
        <row r="4">
          <cell r="A4" t="str">
            <v>BẢNG TÍNH TOÁN, ĐO BÓC KHỐI LƯỢNG HOÀN THÀNH ĐƯA VÀO QUYẾT TOÁN</v>
          </cell>
        </row>
      </sheetData>
      <sheetData sheetId="6185">
        <row r="4">
          <cell r="A4" t="str">
            <v>BẢNG TÍNH TOÁN, ĐO BÓC KHỐI LƯỢNG HOÀN THÀNH ĐƯA VÀO QUYẾT TOÁN</v>
          </cell>
        </row>
      </sheetData>
      <sheetData sheetId="6186">
        <row r="4">
          <cell r="A4" t="str">
            <v>BẢNG TÍNH TOÁN, ĐO BÓC KHỐI LƯỢNG HOÀN THÀNH ĐƯA VÀO QUYẾT TOÁN</v>
          </cell>
        </row>
      </sheetData>
      <sheetData sheetId="6187">
        <row r="4">
          <cell r="A4" t="str">
            <v>BẢNG TÍNH TOÁN, ĐO BÓC KHỐI LƯỢNG HOÀN THÀNH ĐƯA VÀO QUYẾT TOÁN</v>
          </cell>
        </row>
      </sheetData>
      <sheetData sheetId="6188">
        <row r="4">
          <cell r="A4" t="str">
            <v>BẢNG TÍNH TOÁN, ĐO BÓC KHỐI LƯỢNG HOÀN THÀNH ĐƯA VÀO QUYẾT TOÁN</v>
          </cell>
        </row>
      </sheetData>
      <sheetData sheetId="6189">
        <row r="4">
          <cell r="A4" t="str">
            <v>BẢNG TÍNH TOÁN, ĐO BÓC KHỐI LƯỢNG HOÀN THÀNH ĐƯA VÀO QUYẾT TOÁN</v>
          </cell>
        </row>
      </sheetData>
      <sheetData sheetId="6190">
        <row r="4">
          <cell r="A4" t="str">
            <v>BẢNG TÍNH TOÁN, ĐO BÓC KHỐI LƯỢNG HOÀN THÀNH ĐƯA VÀO QUYẾT TOÁN</v>
          </cell>
        </row>
      </sheetData>
      <sheetData sheetId="6191">
        <row r="4">
          <cell r="A4" t="str">
            <v>BẢNG TÍNH TOÁN, ĐO BÓC KHỐI LƯỢNG HOÀN THÀNH ĐƯA VÀO QUYẾT TOÁN</v>
          </cell>
        </row>
      </sheetData>
      <sheetData sheetId="6192">
        <row r="4">
          <cell r="A4" t="str">
            <v>BẢNG TÍNH TOÁN, ĐO BÓC KHỐI LƯỢNG HOÀN THÀNH ĐƯA VÀO QUYẾT TOÁN</v>
          </cell>
        </row>
      </sheetData>
      <sheetData sheetId="6193">
        <row r="4">
          <cell r="A4" t="str">
            <v>BẢNG TÍNH TOÁN, ĐO BÓC KHỐI LƯỢNG HOÀN THÀNH ĐƯA VÀO QUYẾT TOÁN</v>
          </cell>
        </row>
      </sheetData>
      <sheetData sheetId="6194">
        <row r="4">
          <cell r="A4" t="str">
            <v>BẢNG TÍNH TOÁN, ĐO BÓC KHỐI LƯỢNG HOÀN THÀNH ĐƯA VÀO QUYẾT TOÁN</v>
          </cell>
        </row>
      </sheetData>
      <sheetData sheetId="6195">
        <row r="4">
          <cell r="A4" t="str">
            <v>BẢNG TÍNH TOÁN, ĐO BÓC KHỐI LƯỢNG HOÀN THÀNH ĐƯA VÀO QUYẾT TOÁN</v>
          </cell>
        </row>
      </sheetData>
      <sheetData sheetId="6196">
        <row r="4">
          <cell r="A4" t="str">
            <v>BẢNG TÍNH TOÁN, ĐO BÓC KHỐI LƯỢNG HOÀN THÀNH ĐƯA VÀO QUYẾT TOÁN</v>
          </cell>
        </row>
      </sheetData>
      <sheetData sheetId="6197">
        <row r="4">
          <cell r="A4" t="str">
            <v>BẢNG TÍNH TOÁN, ĐO BÓC KHỐI LƯỢNG HOÀN THÀNH ĐƯA VÀO QUYẾT TOÁN</v>
          </cell>
        </row>
      </sheetData>
      <sheetData sheetId="6198">
        <row r="4">
          <cell r="A4" t="str">
            <v>BẢNG TÍNH TOÁN, ĐO BÓC KHỐI LƯỢNG HOÀN THÀNH ĐƯA VÀO QUYẾT TOÁN</v>
          </cell>
        </row>
      </sheetData>
      <sheetData sheetId="6199">
        <row r="4">
          <cell r="A4" t="str">
            <v>BẢNG TÍNH TOÁN, ĐO BÓC KHỐI LƯỢNG HOÀN THÀNH ĐƯA VÀO QUYẾT TOÁN</v>
          </cell>
        </row>
      </sheetData>
      <sheetData sheetId="6200">
        <row r="4">
          <cell r="A4" t="str">
            <v>BẢNG TÍNH TOÁN, ĐO BÓC KHỐI LƯỢNG HOÀN THÀNH ĐƯA VÀO QUYẾT TOÁN</v>
          </cell>
        </row>
      </sheetData>
      <sheetData sheetId="6201">
        <row r="4">
          <cell r="A4" t="str">
            <v>BẢNG TÍNH TOÁN, ĐO BÓC KHỐI LƯỢNG HOÀN THÀNH ĐƯA VÀO QUYẾT TOÁN</v>
          </cell>
        </row>
      </sheetData>
      <sheetData sheetId="6202">
        <row r="4">
          <cell r="A4" t="str">
            <v>BẢNG TÍNH TOÁN, ĐO BÓC KHỐI LƯỢNG HOÀN THÀNH ĐƯA VÀO QUYẾT TOÁN</v>
          </cell>
        </row>
      </sheetData>
      <sheetData sheetId="6203">
        <row r="4">
          <cell r="A4" t="str">
            <v>BẢNG TÍNH TOÁN, ĐO BÓC KHỐI LƯỢNG HOÀN THÀNH ĐƯA VÀO QUYẾT TOÁN</v>
          </cell>
        </row>
      </sheetData>
      <sheetData sheetId="6204">
        <row r="4">
          <cell r="A4" t="str">
            <v>BẢNG TÍNH TOÁN, ĐO BÓC KHỐI LƯỢNG HOÀN THÀNH ĐƯA VÀO QUYẾT TOÁN</v>
          </cell>
        </row>
      </sheetData>
      <sheetData sheetId="6205">
        <row r="4">
          <cell r="A4" t="str">
            <v>BẢNG TÍNH TOÁN, ĐO BÓC KHỐI LƯỢNG HOÀN THÀNH ĐƯA VÀO QUYẾT TOÁN</v>
          </cell>
        </row>
      </sheetData>
      <sheetData sheetId="6206">
        <row r="4">
          <cell r="A4" t="str">
            <v>BẢNG TÍNH TOÁN, ĐO BÓC KHỐI LƯỢNG HOÀN THÀNH ĐƯA VÀO QUYẾT TOÁN</v>
          </cell>
        </row>
      </sheetData>
      <sheetData sheetId="6207">
        <row r="4">
          <cell r="A4" t="str">
            <v>BẢNG TÍNH TOÁN, ĐO BÓC KHỐI LƯỢNG HOÀN THÀNH ĐƯA VÀO QUYẾT TOÁN</v>
          </cell>
        </row>
      </sheetData>
      <sheetData sheetId="6208">
        <row r="4">
          <cell r="A4" t="str">
            <v>BẢNG TÍNH TOÁN, ĐO BÓC KHỐI LƯỢNG HOÀN THÀNH ĐƯA VÀO QUYẾT TOÁN</v>
          </cell>
        </row>
      </sheetData>
      <sheetData sheetId="6209">
        <row r="4">
          <cell r="A4" t="str">
            <v>BẢNG TÍNH TOÁN, ĐO BÓC KHỐI LƯỢNG HOÀN THÀNH ĐƯA VÀO QUYẾT TOÁN</v>
          </cell>
        </row>
      </sheetData>
      <sheetData sheetId="6210">
        <row r="4">
          <cell r="A4" t="str">
            <v>BẢNG TÍNH TOÁN, ĐO BÓC KHỐI LƯỢNG HOÀN THÀNH ĐƯA VÀO QUYẾT TOÁN</v>
          </cell>
        </row>
      </sheetData>
      <sheetData sheetId="6211">
        <row r="4">
          <cell r="A4" t="str">
            <v>BẢNG TÍNH TOÁN, ĐO BÓC KHỐI LƯỢNG HOÀN THÀNH ĐƯA VÀO QUYẾT TOÁN</v>
          </cell>
        </row>
      </sheetData>
      <sheetData sheetId="6212">
        <row r="4">
          <cell r="A4" t="str">
            <v>BẢNG TÍNH TOÁN, ĐO BÓC KHỐI LƯỢNG HOÀN THÀNH ĐƯA VÀO QUYẾT TOÁN</v>
          </cell>
        </row>
      </sheetData>
      <sheetData sheetId="6213">
        <row r="4">
          <cell r="A4" t="str">
            <v>BẢNG TÍNH TOÁN, ĐO BÓC KHỐI LƯỢNG HOÀN THÀNH ĐƯA VÀO QUYẾT TOÁN</v>
          </cell>
        </row>
      </sheetData>
      <sheetData sheetId="6214">
        <row r="4">
          <cell r="A4" t="str">
            <v>BẢNG TÍNH TOÁN, ĐO BÓC KHỐI LƯỢNG HOÀN THÀNH ĐƯA VÀO QUYẾT TOÁN</v>
          </cell>
        </row>
      </sheetData>
      <sheetData sheetId="6215">
        <row r="4">
          <cell r="A4" t="str">
            <v>BẢNG TÍNH TOÁN, ĐO BÓC KHỐI LƯỢNG HOÀN THÀNH ĐƯA VÀO QUYẾT TOÁN</v>
          </cell>
        </row>
      </sheetData>
      <sheetData sheetId="6216">
        <row r="4">
          <cell r="A4" t="str">
            <v>BẢNG TÍNH TOÁN, ĐO BÓC KHỐI LƯỢNG HOÀN THÀNH ĐƯA VÀO QUYẾT TOÁN</v>
          </cell>
        </row>
      </sheetData>
      <sheetData sheetId="6217">
        <row r="4">
          <cell r="A4" t="str">
            <v>BẢNG TÍNH TOÁN, ĐO BÓC KHỐI LƯỢNG HOÀN THÀNH ĐƯA VÀO QUYẾT TOÁN</v>
          </cell>
        </row>
      </sheetData>
      <sheetData sheetId="6218">
        <row r="4">
          <cell r="A4" t="str">
            <v>BẢNG TÍNH TOÁN, ĐO BÓC KHỐI LƯỢNG HOÀN THÀNH ĐƯA VÀO QUYẾT TOÁN</v>
          </cell>
        </row>
      </sheetData>
      <sheetData sheetId="6219">
        <row r="4">
          <cell r="A4" t="str">
            <v>BẢNG TÍNH TOÁN, ĐO BÓC KHỐI LƯỢNG HOÀN THÀNH ĐƯA VÀO QUYẾT TOÁN</v>
          </cell>
        </row>
      </sheetData>
      <sheetData sheetId="6220">
        <row r="4">
          <cell r="A4" t="str">
            <v>BẢNG TÍNH TOÁN, ĐO BÓC KHỐI LƯỢNG HOÀN THÀNH ĐƯA VÀO QUYẾT TOÁN</v>
          </cell>
        </row>
      </sheetData>
      <sheetData sheetId="6221">
        <row r="4">
          <cell r="A4" t="str">
            <v>BẢNG TÍNH TOÁN, ĐO BÓC KHỐI LƯỢNG HOÀN THÀNH ĐƯA VÀO QUYẾT TOÁN</v>
          </cell>
        </row>
      </sheetData>
      <sheetData sheetId="6222">
        <row r="4">
          <cell r="A4" t="str">
            <v>BẢNG TÍNH TOÁN, ĐO BÓC KHỐI LƯỢNG HOÀN THÀNH ĐƯA VÀO QUYẾT TOÁN</v>
          </cell>
        </row>
      </sheetData>
      <sheetData sheetId="6223">
        <row r="4">
          <cell r="A4" t="str">
            <v>BẢNG TÍNH TOÁN, ĐO BÓC KHỐI LƯỢNG HOÀN THÀNH ĐƯA VÀO QUYẾT TOÁN</v>
          </cell>
        </row>
      </sheetData>
      <sheetData sheetId="6224">
        <row r="4">
          <cell r="A4" t="str">
            <v>BẢNG TÍNH TOÁN, ĐO BÓC KHỐI LƯỢNG HOÀN THÀNH ĐƯA VÀO QUYẾT TOÁN</v>
          </cell>
        </row>
      </sheetData>
      <sheetData sheetId="6225">
        <row r="4">
          <cell r="A4" t="str">
            <v>BẢNG TÍNH TOÁN, ĐO BÓC KHỐI LƯỢNG HOÀN THÀNH ĐƯA VÀO QUYẾT TOÁN</v>
          </cell>
        </row>
      </sheetData>
      <sheetData sheetId="6226">
        <row r="4">
          <cell r="A4" t="str">
            <v>BẢNG TÍNH TOÁN, ĐO BÓC KHỐI LƯỢNG HOÀN THÀNH ĐƯA VÀO QUYẾT TOÁN</v>
          </cell>
        </row>
      </sheetData>
      <sheetData sheetId="6227">
        <row r="4">
          <cell r="A4" t="str">
            <v>BẢNG TÍNH TOÁN, ĐO BÓC KHỐI LƯỢNG HOÀN THÀNH ĐƯA VÀO QUYẾT TOÁN</v>
          </cell>
        </row>
      </sheetData>
      <sheetData sheetId="6228">
        <row r="4">
          <cell r="A4" t="str">
            <v>BẢNG TÍNH TOÁN, ĐO BÓC KHỐI LƯỢNG HOÀN THÀNH ĐƯA VÀO QUYẾT TOÁN</v>
          </cell>
        </row>
      </sheetData>
      <sheetData sheetId="6229">
        <row r="4">
          <cell r="A4" t="str">
            <v>BẢNG TÍNH TOÁN, ĐO BÓC KHỐI LƯỢNG HOÀN THÀNH ĐƯA VÀO QUYẾT TOÁN</v>
          </cell>
        </row>
      </sheetData>
      <sheetData sheetId="6230">
        <row r="4">
          <cell r="A4" t="str">
            <v>BẢNG TÍNH TOÁN, ĐO BÓC KHỐI LƯỢNG HOÀN THÀNH ĐƯA VÀO QUYẾT TOÁN</v>
          </cell>
        </row>
      </sheetData>
      <sheetData sheetId="6231">
        <row r="4">
          <cell r="A4" t="str">
            <v>BẢNG TÍNH TOÁN, ĐO BÓC KHỐI LƯỢNG HOÀN THÀNH ĐƯA VÀO QUYẾT TOÁN</v>
          </cell>
        </row>
      </sheetData>
      <sheetData sheetId="6232">
        <row r="4">
          <cell r="A4" t="str">
            <v>BẢNG TÍNH TOÁN, ĐO BÓC KHỐI LƯỢNG HOÀN THÀNH ĐƯA VÀO QUYẾT TOÁN</v>
          </cell>
        </row>
      </sheetData>
      <sheetData sheetId="6233">
        <row r="4">
          <cell r="A4" t="str">
            <v>BẢNG TÍNH TOÁN, ĐO BÓC KHỐI LƯỢNG HOÀN THÀNH ĐƯA VÀO QUYẾT TOÁN</v>
          </cell>
        </row>
      </sheetData>
      <sheetData sheetId="6234">
        <row r="4">
          <cell r="A4" t="str">
            <v>BẢNG TÍNH TOÁN, ĐO BÓC KHỐI LƯỢNG HOÀN THÀNH ĐƯA VÀO QUYẾT TOÁN</v>
          </cell>
        </row>
      </sheetData>
      <sheetData sheetId="6235">
        <row r="4">
          <cell r="A4" t="str">
            <v>BẢNG TÍNH TOÁN, ĐO BÓC KHỐI LƯỢNG HOÀN THÀNH ĐƯA VÀO QUYẾT TOÁN</v>
          </cell>
        </row>
      </sheetData>
      <sheetData sheetId="6236">
        <row r="4">
          <cell r="A4" t="str">
            <v>BẢNG TÍNH TOÁN, ĐO BÓC KHỐI LƯỢNG HOÀN THÀNH ĐƯA VÀO QUYẾT TOÁN</v>
          </cell>
        </row>
      </sheetData>
      <sheetData sheetId="6237">
        <row r="4">
          <cell r="A4" t="str">
            <v>BẢNG TÍNH TOÁN, ĐO BÓC KHỐI LƯỢNG HOÀN THÀNH ĐƯA VÀO QUYẾT TOÁN</v>
          </cell>
        </row>
      </sheetData>
      <sheetData sheetId="6238">
        <row r="4">
          <cell r="A4" t="str">
            <v>BẢNG TÍNH TOÁN, ĐO BÓC KHỐI LƯỢNG HOÀN THÀNH ĐƯA VÀO QUYẾT TOÁN</v>
          </cell>
        </row>
      </sheetData>
      <sheetData sheetId="6239">
        <row r="4">
          <cell r="A4" t="str">
            <v>BẢNG TÍNH TOÁN, ĐO BÓC KHỐI LƯỢNG HOÀN THÀNH ĐƯA VÀO QUYẾT TOÁN</v>
          </cell>
        </row>
      </sheetData>
      <sheetData sheetId="6240">
        <row r="4">
          <cell r="A4" t="str">
            <v>BẢNG TÍNH TOÁN, ĐO BÓC KHỐI LƯỢNG HOÀN THÀNH ĐƯA VÀO QUYẾT TOÁN</v>
          </cell>
        </row>
      </sheetData>
      <sheetData sheetId="6241">
        <row r="4">
          <cell r="A4" t="str">
            <v>BẢNG TÍNH TOÁN, ĐO BÓC KHỐI LƯỢNG HOÀN THÀNH ĐƯA VÀO QUYẾT TOÁN</v>
          </cell>
        </row>
      </sheetData>
      <sheetData sheetId="6242">
        <row r="4">
          <cell r="A4" t="str">
            <v>BẢNG TÍNH TOÁN, ĐO BÓC KHỐI LƯỢNG HOÀN THÀNH ĐƯA VÀO QUYẾT TOÁN</v>
          </cell>
        </row>
      </sheetData>
      <sheetData sheetId="6243">
        <row r="4">
          <cell r="A4" t="str">
            <v>BẢNG TÍNH TOÁN, ĐO BÓC KHỐI LƯỢNG HOÀN THÀNH ĐƯA VÀO QUYẾT TOÁN</v>
          </cell>
        </row>
      </sheetData>
      <sheetData sheetId="6244">
        <row r="4">
          <cell r="A4" t="str">
            <v>BẢNG TÍNH TOÁN, ĐO BÓC KHỐI LƯỢNG HOÀN THÀNH ĐƯA VÀO QUYẾT TOÁN</v>
          </cell>
        </row>
      </sheetData>
      <sheetData sheetId="6245">
        <row r="4">
          <cell r="A4" t="str">
            <v>BẢNG TÍNH TOÁN, ĐO BÓC KHỐI LƯỢNG HOÀN THÀNH ĐƯA VÀO QUYẾT TOÁN</v>
          </cell>
        </row>
      </sheetData>
      <sheetData sheetId="6246">
        <row r="4">
          <cell r="A4" t="str">
            <v>BẢNG TÍNH TOÁN, ĐO BÓC KHỐI LƯỢNG HOÀN THÀNH ĐƯA VÀO QUYẾT TOÁN</v>
          </cell>
        </row>
      </sheetData>
      <sheetData sheetId="6247">
        <row r="4">
          <cell r="A4" t="str">
            <v>BẢNG TÍNH TOÁN, ĐO BÓC KHỐI LƯỢNG HOÀN THÀNH ĐƯA VÀO QUYẾT TOÁN</v>
          </cell>
        </row>
      </sheetData>
      <sheetData sheetId="6248">
        <row r="4">
          <cell r="A4" t="str">
            <v>BẢNG TÍNH TOÁN, ĐO BÓC KHỐI LƯỢNG HOÀN THÀNH ĐƯA VÀO QUYẾT TOÁN</v>
          </cell>
        </row>
      </sheetData>
      <sheetData sheetId="6249">
        <row r="4">
          <cell r="A4" t="str">
            <v>BẢNG TÍNH TOÁN, ĐO BÓC KHỐI LƯỢNG HOÀN THÀNH ĐƯA VÀO QUYẾT TOÁN</v>
          </cell>
        </row>
      </sheetData>
      <sheetData sheetId="6250">
        <row r="4">
          <cell r="A4" t="str">
            <v>BẢNG TÍNH TOÁN, ĐO BÓC KHỐI LƯỢNG HOÀN THÀNH ĐƯA VÀO QUYẾT TOÁN</v>
          </cell>
        </row>
      </sheetData>
      <sheetData sheetId="6251">
        <row r="4">
          <cell r="A4" t="str">
            <v>BẢNG TÍNH TOÁN, ĐO BÓC KHỐI LƯỢNG HOÀN THÀNH ĐƯA VÀO QUYẾT TOÁN</v>
          </cell>
        </row>
      </sheetData>
      <sheetData sheetId="6252">
        <row r="4">
          <cell r="A4" t="str">
            <v>BẢNG TÍNH TOÁN, ĐO BÓC KHỐI LƯỢNG HOÀN THÀNH ĐƯA VÀO QUYẾT TOÁN</v>
          </cell>
        </row>
      </sheetData>
      <sheetData sheetId="6253">
        <row r="4">
          <cell r="A4" t="str">
            <v>BẢNG TÍNH TOÁN, ĐO BÓC KHỐI LƯỢNG HOÀN THÀNH ĐƯA VÀO QUYẾT TOÁN</v>
          </cell>
        </row>
      </sheetData>
      <sheetData sheetId="6254">
        <row r="4">
          <cell r="A4" t="str">
            <v>BẢNG TÍNH TOÁN, ĐO BÓC KHỐI LƯỢNG HOÀN THÀNH ĐƯA VÀO QUYẾT TOÁN</v>
          </cell>
        </row>
      </sheetData>
      <sheetData sheetId="6255">
        <row r="4">
          <cell r="A4" t="str">
            <v>BẢNG TÍNH TOÁN, ĐO BÓC KHỐI LƯỢNG HOÀN THÀNH ĐƯA VÀO QUYẾT TOÁN</v>
          </cell>
        </row>
      </sheetData>
      <sheetData sheetId="6256">
        <row r="4">
          <cell r="A4" t="str">
            <v>BẢNG TÍNH TOÁN, ĐO BÓC KHỐI LƯỢNG HOÀN THÀNH ĐƯA VÀO QUYẾT TOÁN</v>
          </cell>
        </row>
      </sheetData>
      <sheetData sheetId="6257">
        <row r="4">
          <cell r="A4" t="str">
            <v>BẢNG TÍNH TOÁN, ĐO BÓC KHỐI LƯỢNG HOÀN THÀNH ĐƯA VÀO QUYẾT TOÁN</v>
          </cell>
        </row>
      </sheetData>
      <sheetData sheetId="6258">
        <row r="4">
          <cell r="A4" t="str">
            <v>BẢNG TÍNH TOÁN, ĐO BÓC KHỐI LƯỢNG HOÀN THÀNH ĐƯA VÀO QUYẾT TOÁN</v>
          </cell>
        </row>
      </sheetData>
      <sheetData sheetId="6259">
        <row r="4">
          <cell r="A4" t="str">
            <v>BẢNG TÍNH TOÁN, ĐO BÓC KHỐI LƯỢNG HOÀN THÀNH ĐƯA VÀO QUYẾT TOÁN</v>
          </cell>
        </row>
      </sheetData>
      <sheetData sheetId="6260">
        <row r="4">
          <cell r="A4" t="str">
            <v>BẢNG TÍNH TOÁN, ĐO BÓC KHỐI LƯỢNG HOÀN THÀNH ĐƯA VÀO QUYẾT TOÁN</v>
          </cell>
        </row>
      </sheetData>
      <sheetData sheetId="6261">
        <row r="4">
          <cell r="A4" t="str">
            <v>BẢNG TÍNH TOÁN, ĐO BÓC KHỐI LƯỢNG HOÀN THÀNH ĐƯA VÀO QUYẾT TOÁN</v>
          </cell>
        </row>
      </sheetData>
      <sheetData sheetId="6262">
        <row r="4">
          <cell r="A4" t="str">
            <v>BẢNG TÍNH TOÁN, ĐO BÓC KHỐI LƯỢNG HOÀN THÀNH ĐƯA VÀO QUYẾT TOÁN</v>
          </cell>
        </row>
      </sheetData>
      <sheetData sheetId="6263">
        <row r="4">
          <cell r="A4" t="str">
            <v>BẢNG TÍNH TOÁN, ĐO BÓC KHỐI LƯỢNG HOÀN THÀNH ĐƯA VÀO QUYẾT TOÁN</v>
          </cell>
        </row>
      </sheetData>
      <sheetData sheetId="6264">
        <row r="4">
          <cell r="A4" t="str">
            <v>BẢNG TÍNH TOÁN, ĐO BÓC KHỐI LƯỢNG HOÀN THÀNH ĐƯA VÀO QUYẾT TOÁN</v>
          </cell>
        </row>
      </sheetData>
      <sheetData sheetId="6265">
        <row r="4">
          <cell r="A4" t="str">
            <v>BẢNG TÍNH TOÁN, ĐO BÓC KHỐI LƯỢNG HOÀN THÀNH ĐƯA VÀO QUYẾT TOÁN</v>
          </cell>
        </row>
      </sheetData>
      <sheetData sheetId="6266">
        <row r="4">
          <cell r="A4" t="str">
            <v>BẢNG TÍNH TOÁN, ĐO BÓC KHỐI LƯỢNG HOÀN THÀNH ĐƯA VÀO QUYẾT TOÁN</v>
          </cell>
        </row>
      </sheetData>
      <sheetData sheetId="6267">
        <row r="4">
          <cell r="A4" t="str">
            <v>BẢNG TÍNH TOÁN, ĐO BÓC KHỐI LƯỢNG HOÀN THÀNH ĐƯA VÀO QUYẾT TOÁN</v>
          </cell>
        </row>
      </sheetData>
      <sheetData sheetId="6268">
        <row r="4">
          <cell r="A4" t="str">
            <v>BẢNG TÍNH TOÁN, ĐO BÓC KHỐI LƯỢNG HOÀN THÀNH ĐƯA VÀO QUYẾT TOÁN</v>
          </cell>
        </row>
      </sheetData>
      <sheetData sheetId="6269">
        <row r="4">
          <cell r="A4" t="str">
            <v>BẢNG TÍNH TOÁN, ĐO BÓC KHỐI LƯỢNG HOÀN THÀNH ĐƯA VÀO QUYẾT TOÁN</v>
          </cell>
        </row>
      </sheetData>
      <sheetData sheetId="6270">
        <row r="4">
          <cell r="A4" t="str">
            <v>BẢNG TÍNH TOÁN, ĐO BÓC KHỐI LƯỢNG HOÀN THÀNH ĐƯA VÀO QUYẾT TOÁN</v>
          </cell>
        </row>
      </sheetData>
      <sheetData sheetId="6271">
        <row r="4">
          <cell r="A4" t="str">
            <v>BẢNG TÍNH TOÁN, ĐO BÓC KHỐI LƯỢNG HOÀN THÀNH ĐƯA VÀO QUYẾT TOÁN</v>
          </cell>
        </row>
      </sheetData>
      <sheetData sheetId="6272">
        <row r="4">
          <cell r="A4" t="str">
            <v>BẢNG TÍNH TOÁN, ĐO BÓC KHỐI LƯỢNG HOÀN THÀNH ĐƯA VÀO QUYẾT TOÁN</v>
          </cell>
        </row>
      </sheetData>
      <sheetData sheetId="6273">
        <row r="4">
          <cell r="A4" t="str">
            <v>BẢNG TÍNH TOÁN, ĐO BÓC KHỐI LƯỢNG HOÀN THÀNH ĐƯA VÀO QUYẾT TOÁN</v>
          </cell>
        </row>
      </sheetData>
      <sheetData sheetId="6274">
        <row r="4">
          <cell r="A4" t="str">
            <v>BẢNG TÍNH TOÁN, ĐO BÓC KHỐI LƯỢNG HOÀN THÀNH ĐƯA VÀO QUYẾT TOÁN</v>
          </cell>
        </row>
      </sheetData>
      <sheetData sheetId="6275">
        <row r="4">
          <cell r="A4" t="str">
            <v>BẢNG TÍNH TOÁN, ĐO BÓC KHỐI LƯỢNG HOÀN THÀNH ĐƯA VÀO QUYẾT TOÁN</v>
          </cell>
        </row>
      </sheetData>
      <sheetData sheetId="6276">
        <row r="4">
          <cell r="A4" t="str">
            <v>BẢNG TÍNH TOÁN, ĐO BÓC KHỐI LƯỢNG HOÀN THÀNH ĐƯA VÀO QUYẾT TOÁN</v>
          </cell>
        </row>
      </sheetData>
      <sheetData sheetId="6277">
        <row r="4">
          <cell r="A4" t="str">
            <v>BẢNG TÍNH TOÁN, ĐO BÓC KHỐI LƯỢNG HOÀN THÀNH ĐƯA VÀO QUYẾT TOÁN</v>
          </cell>
        </row>
      </sheetData>
      <sheetData sheetId="6278">
        <row r="4">
          <cell r="A4" t="str">
            <v>BẢNG TÍNH TOÁN, ĐO BÓC KHỐI LƯỢNG HOÀN THÀNH ĐƯA VÀO QUYẾT TOÁN</v>
          </cell>
        </row>
      </sheetData>
      <sheetData sheetId="6279">
        <row r="4">
          <cell r="A4" t="str">
            <v>BẢNG TÍNH TOÁN, ĐO BÓC KHỐI LƯỢNG HOÀN THÀNH ĐƯA VÀO QUYẾT TOÁN</v>
          </cell>
        </row>
      </sheetData>
      <sheetData sheetId="6280">
        <row r="4">
          <cell r="A4" t="str">
            <v>BẢNG TÍNH TOÁN, ĐO BÓC KHỐI LƯỢNG HOÀN THÀNH ĐƯA VÀO QUYẾT TOÁN</v>
          </cell>
        </row>
      </sheetData>
      <sheetData sheetId="6281">
        <row r="4">
          <cell r="A4" t="str">
            <v>BẢNG TÍNH TOÁN, ĐO BÓC KHỐI LƯỢNG HOÀN THÀNH ĐƯA VÀO QUYẾT TOÁN</v>
          </cell>
        </row>
      </sheetData>
      <sheetData sheetId="6282">
        <row r="4">
          <cell r="A4" t="str">
            <v>BẢNG TÍNH TOÁN, ĐO BÓC KHỐI LƯỢNG HOÀN THÀNH ĐƯA VÀO QUYẾT TOÁN</v>
          </cell>
        </row>
      </sheetData>
      <sheetData sheetId="6283">
        <row r="4">
          <cell r="A4" t="str">
            <v>BẢNG TÍNH TOÁN, ĐO BÓC KHỐI LƯỢNG HOÀN THÀNH ĐƯA VÀO QUYẾT TOÁN</v>
          </cell>
        </row>
      </sheetData>
      <sheetData sheetId="6284">
        <row r="4">
          <cell r="A4" t="str">
            <v>BẢNG TÍNH TOÁN, ĐO BÓC KHỐI LƯỢNG HOÀN THÀNH ĐƯA VÀO QUYẾT TOÁN</v>
          </cell>
        </row>
      </sheetData>
      <sheetData sheetId="6285">
        <row r="4">
          <cell r="A4" t="str">
            <v>BẢNG TÍNH TOÁN, ĐO BÓC KHỐI LƯỢNG HOÀN THÀNH ĐƯA VÀO QUYẾT TOÁN</v>
          </cell>
        </row>
      </sheetData>
      <sheetData sheetId="6286">
        <row r="4">
          <cell r="A4" t="str">
            <v>BẢNG TÍNH TOÁN, ĐO BÓC KHỐI LƯỢNG HOÀN THÀNH ĐƯA VÀO QUYẾT TOÁN</v>
          </cell>
        </row>
      </sheetData>
      <sheetData sheetId="6287">
        <row r="4">
          <cell r="A4" t="str">
            <v>BẢNG TÍNH TOÁN, ĐO BÓC KHỐI LƯỢNG HOÀN THÀNH ĐƯA VÀO QUYẾT TOÁN</v>
          </cell>
        </row>
      </sheetData>
      <sheetData sheetId="6288">
        <row r="4">
          <cell r="A4" t="str">
            <v>BẢNG TÍNH TOÁN, ĐO BÓC KHỐI LƯỢNG HOÀN THÀNH ĐƯA VÀO QUYẾT TOÁN</v>
          </cell>
        </row>
      </sheetData>
      <sheetData sheetId="6289">
        <row r="4">
          <cell r="A4" t="str">
            <v>BẢNG TÍNH TOÁN, ĐO BÓC KHỐI LƯỢNG HOÀN THÀNH ĐƯA VÀO QUYẾT TOÁN</v>
          </cell>
        </row>
      </sheetData>
      <sheetData sheetId="6290">
        <row r="4">
          <cell r="A4" t="str">
            <v>BẢNG TÍNH TOÁN, ĐO BÓC KHỐI LƯỢNG HOÀN THÀNH ĐƯA VÀO QUYẾT TOÁN</v>
          </cell>
        </row>
      </sheetData>
      <sheetData sheetId="6291">
        <row r="4">
          <cell r="A4" t="str">
            <v>BẢNG TÍNH TOÁN, ĐO BÓC KHỐI LƯỢNG HOÀN THÀNH ĐƯA VÀO QUYẾT TOÁN</v>
          </cell>
        </row>
      </sheetData>
      <sheetData sheetId="6292">
        <row r="4">
          <cell r="A4" t="str">
            <v>BẢNG TÍNH TOÁN, ĐO BÓC KHỐI LƯỢNG HOÀN THÀNH ĐƯA VÀO QUYẾT TOÁN</v>
          </cell>
        </row>
      </sheetData>
      <sheetData sheetId="6293">
        <row r="4">
          <cell r="A4" t="str">
            <v>BẢNG TÍNH TOÁN, ĐO BÓC KHỐI LƯỢNG HOÀN THÀNH ĐƯA VÀO QUYẾT TOÁN</v>
          </cell>
        </row>
      </sheetData>
      <sheetData sheetId="6294">
        <row r="4">
          <cell r="A4" t="str">
            <v>BẢNG TÍNH TOÁN, ĐO BÓC KHỐI LƯỢNG HOÀN THÀNH ĐƯA VÀO QUYẾT TOÁN</v>
          </cell>
        </row>
      </sheetData>
      <sheetData sheetId="6295">
        <row r="4">
          <cell r="A4" t="str">
            <v>BẢNG TÍNH TOÁN, ĐO BÓC KHỐI LƯỢNG HOÀN THÀNH ĐƯA VÀO QUYẾT TOÁN</v>
          </cell>
        </row>
      </sheetData>
      <sheetData sheetId="6296">
        <row r="4">
          <cell r="A4" t="str">
            <v>BẢNG TÍNH TOÁN, ĐO BÓC KHỐI LƯỢNG HOÀN THÀNH ĐƯA VÀO QUYẾT TOÁN</v>
          </cell>
        </row>
      </sheetData>
      <sheetData sheetId="6297">
        <row r="4">
          <cell r="A4" t="str">
            <v>BẢNG TÍNH TOÁN, ĐO BÓC KHỐI LƯỢNG HOÀN THÀNH ĐƯA VÀO QUYẾT TOÁN</v>
          </cell>
        </row>
      </sheetData>
      <sheetData sheetId="6298">
        <row r="4">
          <cell r="A4" t="str">
            <v>BẢNG TÍNH TOÁN, ĐO BÓC KHỐI LƯỢNG HOÀN THÀNH ĐƯA VÀO QUYẾT TOÁN</v>
          </cell>
        </row>
      </sheetData>
      <sheetData sheetId="6299">
        <row r="4">
          <cell r="A4" t="str">
            <v>BẢNG TÍNH TOÁN, ĐO BÓC KHỐI LƯỢNG HOÀN THÀNH ĐƯA VÀO QUYẾT TOÁN</v>
          </cell>
        </row>
      </sheetData>
      <sheetData sheetId="6300">
        <row r="4">
          <cell r="A4" t="str">
            <v>BẢNG TÍNH TOÁN, ĐO BÓC KHỐI LƯỢNG HOÀN THÀNH ĐƯA VÀO QUYẾT TOÁN</v>
          </cell>
        </row>
      </sheetData>
      <sheetData sheetId="6301">
        <row r="4">
          <cell r="A4" t="str">
            <v>BẢNG TÍNH TOÁN, ĐO BÓC KHỐI LƯỢNG HOÀN THÀNH ĐƯA VÀO QUYẾT TOÁN</v>
          </cell>
        </row>
      </sheetData>
      <sheetData sheetId="6302">
        <row r="4">
          <cell r="A4" t="str">
            <v>BẢNG TÍNH TOÁN, ĐO BÓC KHỐI LƯỢNG HOÀN THÀNH ĐƯA VÀO QUYẾT TOÁN</v>
          </cell>
        </row>
      </sheetData>
      <sheetData sheetId="6303">
        <row r="4">
          <cell r="A4" t="str">
            <v>BẢNG TÍNH TOÁN, ĐO BÓC KHỐI LƯỢNG HOÀN THÀNH ĐƯA VÀO QUYẾT TOÁN</v>
          </cell>
        </row>
      </sheetData>
      <sheetData sheetId="6304">
        <row r="4">
          <cell r="A4" t="str">
            <v>BẢNG TÍNH TOÁN, ĐO BÓC KHỐI LƯỢNG HOÀN THÀNH ĐƯA VÀO QUYẾT TOÁN</v>
          </cell>
        </row>
      </sheetData>
      <sheetData sheetId="6305">
        <row r="4">
          <cell r="A4" t="str">
            <v>BẢNG TÍNH TOÁN, ĐO BÓC KHỐI LƯỢNG HOÀN THÀNH ĐƯA VÀO QUYẾT TOÁN</v>
          </cell>
        </row>
      </sheetData>
      <sheetData sheetId="6306">
        <row r="4">
          <cell r="A4" t="str">
            <v>BẢNG TÍNH TOÁN, ĐO BÓC KHỐI LƯỢNG HOÀN THÀNH ĐƯA VÀO QUYẾT TOÁN</v>
          </cell>
        </row>
      </sheetData>
      <sheetData sheetId="6307">
        <row r="4">
          <cell r="A4" t="str">
            <v>BẢNG TÍNH TOÁN, ĐO BÓC KHỐI LƯỢNG HOÀN THÀNH ĐƯA VÀO QUYẾT TOÁN</v>
          </cell>
        </row>
      </sheetData>
      <sheetData sheetId="6308">
        <row r="4">
          <cell r="A4" t="str">
            <v>BẢNG TÍNH TOÁN, ĐO BÓC KHỐI LƯỢNG HOÀN THÀNH ĐƯA VÀO QUYẾT TOÁN</v>
          </cell>
        </row>
      </sheetData>
      <sheetData sheetId="6309">
        <row r="4">
          <cell r="A4" t="str">
            <v>BẢNG TÍNH TOÁN, ĐO BÓC KHỐI LƯỢNG HOÀN THÀNH ĐƯA VÀO QUYẾT TOÁN</v>
          </cell>
        </row>
      </sheetData>
      <sheetData sheetId="6310">
        <row r="4">
          <cell r="A4" t="str">
            <v>BẢNG TÍNH TOÁN, ĐO BÓC KHỐI LƯỢNG HOÀN THÀNH ĐƯA VÀO QUYẾT TOÁN</v>
          </cell>
        </row>
      </sheetData>
      <sheetData sheetId="6311">
        <row r="4">
          <cell r="A4" t="str">
            <v>BẢNG TÍNH TOÁN, ĐO BÓC KHỐI LƯỢNG HOÀN THÀNH ĐƯA VÀO QUYẾT TOÁN</v>
          </cell>
        </row>
      </sheetData>
      <sheetData sheetId="6312">
        <row r="4">
          <cell r="A4" t="str">
            <v>BẢNG TÍNH TOÁN, ĐO BÓC KHỐI LƯỢNG HOÀN THÀNH ĐƯA VÀO QUYẾT TOÁN</v>
          </cell>
        </row>
      </sheetData>
      <sheetData sheetId="6313">
        <row r="4">
          <cell r="A4" t="str">
            <v>BẢNG TÍNH TOÁN, ĐO BÓC KHỐI LƯỢNG HOÀN THÀNH ĐƯA VÀO QUYẾT TOÁN</v>
          </cell>
        </row>
      </sheetData>
      <sheetData sheetId="6314">
        <row r="4">
          <cell r="A4" t="str">
            <v>BẢNG TÍNH TOÁN, ĐO BÓC KHỐI LƯỢNG HOÀN THÀNH ĐƯA VÀO QUYẾT TOÁN</v>
          </cell>
        </row>
      </sheetData>
      <sheetData sheetId="6315">
        <row r="4">
          <cell r="A4" t="str">
            <v>BẢNG TÍNH TOÁN, ĐO BÓC KHỐI LƯỢNG HOÀN THÀNH ĐƯA VÀO QUYẾT TOÁN</v>
          </cell>
        </row>
      </sheetData>
      <sheetData sheetId="6316">
        <row r="4">
          <cell r="A4" t="str">
            <v>BẢNG TÍNH TOÁN, ĐO BÓC KHỐI LƯỢNG HOÀN THÀNH ĐƯA VÀO QUYẾT TOÁN</v>
          </cell>
        </row>
      </sheetData>
      <sheetData sheetId="6317">
        <row r="4">
          <cell r="A4" t="str">
            <v>BẢNG TÍNH TOÁN, ĐO BÓC KHỐI LƯỢNG HOÀN THÀNH ĐƯA VÀO QUYẾT TOÁN</v>
          </cell>
        </row>
      </sheetData>
      <sheetData sheetId="6318">
        <row r="4">
          <cell r="A4" t="str">
            <v>BẢNG TÍNH TOÁN, ĐO BÓC KHỐI LƯỢNG HOÀN THÀNH ĐƯA VÀO QUYẾT TOÁN</v>
          </cell>
        </row>
      </sheetData>
      <sheetData sheetId="6319">
        <row r="4">
          <cell r="A4" t="str">
            <v>BẢNG TÍNH TOÁN, ĐO BÓC KHỐI LƯỢNG HOÀN THÀNH ĐƯA VÀO QUYẾT TOÁN</v>
          </cell>
        </row>
      </sheetData>
      <sheetData sheetId="6320">
        <row r="4">
          <cell r="A4" t="str">
            <v>BẢNG TÍNH TOÁN, ĐO BÓC KHỐI LƯỢNG HOÀN THÀNH ĐƯA VÀO QUYẾT TOÁN</v>
          </cell>
        </row>
      </sheetData>
      <sheetData sheetId="6321">
        <row r="4">
          <cell r="A4" t="str">
            <v>BẢNG TÍNH TOÁN, ĐO BÓC KHỐI LƯỢNG HOÀN THÀNH ĐƯA VÀO QUYẾT TOÁN</v>
          </cell>
        </row>
      </sheetData>
      <sheetData sheetId="6322">
        <row r="4">
          <cell r="A4" t="str">
            <v>BẢNG TÍNH TOÁN, ĐO BÓC KHỐI LƯỢNG HOÀN THÀNH ĐƯA VÀO QUYẾT TOÁN</v>
          </cell>
        </row>
      </sheetData>
      <sheetData sheetId="6323">
        <row r="4">
          <cell r="A4" t="str">
            <v>BẢNG TÍNH TOÁN, ĐO BÓC KHỐI LƯỢNG HOÀN THÀNH ĐƯA VÀO QUYẾT TOÁN</v>
          </cell>
        </row>
      </sheetData>
      <sheetData sheetId="6324">
        <row r="4">
          <cell r="A4" t="str">
            <v>BẢNG TÍNH TOÁN, ĐO BÓC KHỐI LƯỢNG HOÀN THÀNH ĐƯA VÀO QUYẾT TOÁN</v>
          </cell>
        </row>
      </sheetData>
      <sheetData sheetId="6325">
        <row r="4">
          <cell r="A4" t="str">
            <v>BẢNG TÍNH TOÁN, ĐO BÓC KHỐI LƯỢNG HOÀN THÀNH ĐƯA VÀO QUYẾT TOÁN</v>
          </cell>
        </row>
      </sheetData>
      <sheetData sheetId="6326">
        <row r="4">
          <cell r="A4" t="str">
            <v>BẢNG TÍNH TOÁN, ĐO BÓC KHỐI LƯỢNG HOÀN THÀNH ĐƯA VÀO QUYẾT TOÁN</v>
          </cell>
        </row>
      </sheetData>
      <sheetData sheetId="6327">
        <row r="4">
          <cell r="A4" t="str">
            <v>BẢNG TÍNH TOÁN, ĐO BÓC KHỐI LƯỢNG HOÀN THÀNH ĐƯA VÀO QUYẾT TOÁN</v>
          </cell>
        </row>
      </sheetData>
      <sheetData sheetId="6328">
        <row r="4">
          <cell r="A4" t="str">
            <v>BẢNG TÍNH TOÁN, ĐO BÓC KHỐI LƯỢNG HOÀN THÀNH ĐƯA VÀO QUYẾT TOÁN</v>
          </cell>
        </row>
      </sheetData>
      <sheetData sheetId="6329">
        <row r="4">
          <cell r="A4" t="str">
            <v>BẢNG TÍNH TOÁN, ĐO BÓC KHỐI LƯỢNG HOÀN THÀNH ĐƯA VÀO QUYẾT TOÁN</v>
          </cell>
        </row>
      </sheetData>
      <sheetData sheetId="6330">
        <row r="4">
          <cell r="A4" t="str">
            <v>BẢNG TÍNH TOÁN, ĐO BÓC KHỐI LƯỢNG HOÀN THÀNH ĐƯA VÀO QUYẾT TOÁN</v>
          </cell>
        </row>
      </sheetData>
      <sheetData sheetId="6331">
        <row r="4">
          <cell r="A4" t="str">
            <v>BẢNG TÍNH TOÁN, ĐO BÓC KHỐI LƯỢNG HOÀN THÀNH ĐƯA VÀO QUYẾT TOÁN</v>
          </cell>
        </row>
      </sheetData>
      <sheetData sheetId="6332">
        <row r="4">
          <cell r="A4" t="str">
            <v>BẢNG TÍNH TOÁN, ĐO BÓC KHỐI LƯỢNG HOÀN THÀNH ĐƯA VÀO QUYẾT TOÁN</v>
          </cell>
        </row>
      </sheetData>
      <sheetData sheetId="6333">
        <row r="4">
          <cell r="A4" t="str">
            <v>BẢNG TÍNH TOÁN, ĐO BÓC KHỐI LƯỢNG HOÀN THÀNH ĐƯA VÀO QUYẾT TOÁN</v>
          </cell>
        </row>
      </sheetData>
      <sheetData sheetId="6334">
        <row r="4">
          <cell r="A4" t="str">
            <v>BẢNG TÍNH TOÁN, ĐO BÓC KHỐI LƯỢNG HOÀN THÀNH ĐƯA VÀO QUYẾT TOÁN</v>
          </cell>
        </row>
      </sheetData>
      <sheetData sheetId="6335">
        <row r="4">
          <cell r="A4" t="str">
            <v>BẢNG TÍNH TOÁN, ĐO BÓC KHỐI LƯỢNG HOÀN THÀNH ĐƯA VÀO QUYẾT TOÁN</v>
          </cell>
        </row>
      </sheetData>
      <sheetData sheetId="6336">
        <row r="4">
          <cell r="A4" t="str">
            <v>BẢNG TÍNH TOÁN, ĐO BÓC KHỐI LƯỢNG HOÀN THÀNH ĐƯA VÀO QUYẾT TOÁN</v>
          </cell>
        </row>
      </sheetData>
      <sheetData sheetId="6337">
        <row r="4">
          <cell r="A4" t="str">
            <v>BẢNG TÍNH TOÁN, ĐO BÓC KHỐI LƯỢNG HOÀN THÀNH ĐƯA VÀO QUYẾT TOÁN</v>
          </cell>
        </row>
      </sheetData>
      <sheetData sheetId="6338">
        <row r="4">
          <cell r="A4" t="str">
            <v>BẢNG TÍNH TOÁN, ĐO BÓC KHỐI LƯỢNG HOÀN THÀNH ĐƯA VÀO QUYẾT TOÁN</v>
          </cell>
        </row>
      </sheetData>
      <sheetData sheetId="6339">
        <row r="4">
          <cell r="A4" t="str">
            <v>BẢNG TÍNH TOÁN, ĐO BÓC KHỐI LƯỢNG HOÀN THÀNH ĐƯA VÀO QUYẾT TOÁN</v>
          </cell>
        </row>
      </sheetData>
      <sheetData sheetId="6340">
        <row r="4">
          <cell r="A4" t="str">
            <v>BẢNG TÍNH TOÁN, ĐO BÓC KHỐI LƯỢNG HOÀN THÀNH ĐƯA VÀO QUYẾT TOÁN</v>
          </cell>
        </row>
      </sheetData>
      <sheetData sheetId="6341">
        <row r="4">
          <cell r="A4" t="str">
            <v>BẢNG TÍNH TOÁN, ĐO BÓC KHỐI LƯỢNG HOÀN THÀNH ĐƯA VÀO QUYẾT TOÁN</v>
          </cell>
        </row>
      </sheetData>
      <sheetData sheetId="6342">
        <row r="4">
          <cell r="A4" t="str">
            <v>BẢNG TÍNH TOÁN, ĐO BÓC KHỐI LƯỢNG HOÀN THÀNH ĐƯA VÀO QUYẾT TOÁN</v>
          </cell>
        </row>
      </sheetData>
      <sheetData sheetId="6343">
        <row r="4">
          <cell r="A4" t="str">
            <v>BẢNG TÍNH TOÁN, ĐO BÓC KHỐI LƯỢNG HOÀN THÀNH ĐƯA VÀO QUYẾT TOÁN</v>
          </cell>
        </row>
      </sheetData>
      <sheetData sheetId="6344">
        <row r="4">
          <cell r="A4" t="str">
            <v>BẢNG TÍNH TOÁN, ĐO BÓC KHỐI LƯỢNG HOÀN THÀNH ĐƯA VÀO QUYẾT TOÁN</v>
          </cell>
        </row>
      </sheetData>
      <sheetData sheetId="6345">
        <row r="4">
          <cell r="A4" t="str">
            <v>BẢNG TÍNH TOÁN, ĐO BÓC KHỐI LƯỢNG HOÀN THÀNH ĐƯA VÀO QUYẾT TOÁN</v>
          </cell>
        </row>
      </sheetData>
      <sheetData sheetId="6346">
        <row r="4">
          <cell r="A4" t="str">
            <v>BẢNG TÍNH TOÁN, ĐO BÓC KHỐI LƯỢNG HOÀN THÀNH ĐƯA VÀO QUYẾT TOÁN</v>
          </cell>
        </row>
      </sheetData>
      <sheetData sheetId="6347">
        <row r="4">
          <cell r="A4" t="str">
            <v>BẢNG TÍNH TOÁN, ĐO BÓC KHỐI LƯỢNG HOÀN THÀNH ĐƯA VÀO QUYẾT TOÁN</v>
          </cell>
        </row>
      </sheetData>
      <sheetData sheetId="6348">
        <row r="4">
          <cell r="A4" t="str">
            <v>BẢNG TÍNH TOÁN, ĐO BÓC KHỐI LƯỢNG HOÀN THÀNH ĐƯA VÀO QUYẾT TOÁN</v>
          </cell>
        </row>
      </sheetData>
      <sheetData sheetId="6349">
        <row r="4">
          <cell r="A4" t="str">
            <v>BẢNG TÍNH TOÁN, ĐO BÓC KHỐI LƯỢNG HOÀN THÀNH ĐƯA VÀO QUYẾT TOÁN</v>
          </cell>
        </row>
      </sheetData>
      <sheetData sheetId="6350">
        <row r="4">
          <cell r="A4" t="str">
            <v>BẢNG TÍNH TOÁN, ĐO BÓC KHỐI LƯỢNG HOÀN THÀNH ĐƯA VÀO QUYẾT TOÁN</v>
          </cell>
        </row>
      </sheetData>
      <sheetData sheetId="6351">
        <row r="4">
          <cell r="A4" t="str">
            <v>BẢNG TÍNH TOÁN, ĐO BÓC KHỐI LƯỢNG HOÀN THÀNH ĐƯA VÀO QUYẾT TOÁN</v>
          </cell>
        </row>
      </sheetData>
      <sheetData sheetId="6352">
        <row r="4">
          <cell r="A4" t="str">
            <v>BẢNG TÍNH TOÁN, ĐO BÓC KHỐI LƯỢNG HOÀN THÀNH ĐƯA VÀO QUYẾT TOÁN</v>
          </cell>
        </row>
      </sheetData>
      <sheetData sheetId="6353">
        <row r="4">
          <cell r="A4" t="str">
            <v>BẢNG TÍNH TOÁN, ĐO BÓC KHỐI LƯỢNG HOÀN THÀNH ĐƯA VÀO QUYẾT TOÁN</v>
          </cell>
        </row>
      </sheetData>
      <sheetData sheetId="6354">
        <row r="4">
          <cell r="A4" t="str">
            <v>BẢNG TÍNH TOÁN, ĐO BÓC KHỐI LƯỢNG HOÀN THÀNH ĐƯA VÀO QUYẾT TOÁN</v>
          </cell>
        </row>
      </sheetData>
      <sheetData sheetId="6355">
        <row r="4">
          <cell r="A4" t="str">
            <v>BẢNG TÍNH TOÁN, ĐO BÓC KHỐI LƯỢNG HOÀN THÀNH ĐƯA VÀO QUYẾT TOÁN</v>
          </cell>
        </row>
      </sheetData>
      <sheetData sheetId="6356">
        <row r="4">
          <cell r="A4" t="str">
            <v>BẢNG TÍNH TOÁN, ĐO BÓC KHỐI LƯỢNG HOÀN THÀNH ĐƯA VÀO QUYẾT TOÁN</v>
          </cell>
        </row>
      </sheetData>
      <sheetData sheetId="6357">
        <row r="4">
          <cell r="A4" t="str">
            <v>BẢNG TÍNH TOÁN, ĐO BÓC KHỐI LƯỢNG HOÀN THÀNH ĐƯA VÀO QUYẾT TOÁN</v>
          </cell>
        </row>
      </sheetData>
      <sheetData sheetId="6358">
        <row r="4">
          <cell r="A4" t="str">
            <v>BẢNG TÍNH TOÁN, ĐO BÓC KHỐI LƯỢNG HOÀN THÀNH ĐƯA VÀO QUYẾT TOÁN</v>
          </cell>
        </row>
      </sheetData>
      <sheetData sheetId="6359">
        <row r="4">
          <cell r="A4" t="str">
            <v>BẢNG TÍNH TOÁN, ĐO BÓC KHỐI LƯỢNG HOÀN THÀNH ĐƯA VÀO QUYẾT TOÁN</v>
          </cell>
        </row>
      </sheetData>
      <sheetData sheetId="6360">
        <row r="4">
          <cell r="A4" t="str">
            <v>BẢNG TÍNH TOÁN, ĐO BÓC KHỐI LƯỢNG HOÀN THÀNH ĐƯA VÀO QUYẾT TOÁN</v>
          </cell>
        </row>
      </sheetData>
      <sheetData sheetId="6361">
        <row r="4">
          <cell r="A4" t="str">
            <v>BẢNG TÍNH TOÁN, ĐO BÓC KHỐI LƯỢNG HOÀN THÀNH ĐƯA VÀO QUYẾT TOÁN</v>
          </cell>
        </row>
      </sheetData>
      <sheetData sheetId="6362">
        <row r="4">
          <cell r="A4" t="str">
            <v>BẢNG TÍNH TOÁN, ĐO BÓC KHỐI LƯỢNG HOÀN THÀNH ĐƯA VÀO QUYẾT TOÁN</v>
          </cell>
        </row>
      </sheetData>
      <sheetData sheetId="6363">
        <row r="4">
          <cell r="A4" t="str">
            <v>BẢNG TÍNH TOÁN, ĐO BÓC KHỐI LƯỢNG HOÀN THÀNH ĐƯA VÀO QUYẾT TOÁN</v>
          </cell>
        </row>
      </sheetData>
      <sheetData sheetId="6364">
        <row r="4">
          <cell r="A4" t="str">
            <v>BẢNG TÍNH TOÁN, ĐO BÓC KHỐI LƯỢNG HOÀN THÀNH ĐƯA VÀO QUYẾT TOÁN</v>
          </cell>
        </row>
      </sheetData>
      <sheetData sheetId="6365">
        <row r="4">
          <cell r="A4" t="str">
            <v>BẢNG TÍNH TOÁN, ĐO BÓC KHỐI LƯỢNG HOÀN THÀNH ĐƯA VÀO QUYẾT TOÁN</v>
          </cell>
        </row>
      </sheetData>
      <sheetData sheetId="6366">
        <row r="4">
          <cell r="A4" t="str">
            <v>BẢNG TÍNH TOÁN, ĐO BÓC KHỐI LƯỢNG HOÀN THÀNH ĐƯA VÀO QUYẾT TOÁN</v>
          </cell>
        </row>
      </sheetData>
      <sheetData sheetId="6367">
        <row r="4">
          <cell r="A4" t="str">
            <v>BẢNG TÍNH TOÁN, ĐO BÓC KHỐI LƯỢNG HOÀN THÀNH ĐƯA VÀO QUYẾT TOÁN</v>
          </cell>
        </row>
      </sheetData>
      <sheetData sheetId="6368">
        <row r="4">
          <cell r="A4" t="str">
            <v>BẢNG TÍNH TOÁN, ĐO BÓC KHỐI LƯỢNG HOÀN THÀNH ĐƯA VÀO QUYẾT TOÁN</v>
          </cell>
        </row>
      </sheetData>
      <sheetData sheetId="6369">
        <row r="4">
          <cell r="A4" t="str">
            <v>BẢNG TÍNH TOÁN, ĐO BÓC KHỐI LƯỢNG HOÀN THÀNH ĐƯA VÀO QUYẾT TOÁN</v>
          </cell>
        </row>
      </sheetData>
      <sheetData sheetId="6370">
        <row r="4">
          <cell r="A4" t="str">
            <v>BẢNG TÍNH TOÁN, ĐO BÓC KHỐI LƯỢNG HOÀN THÀNH ĐƯA VÀO QUYẾT TOÁN</v>
          </cell>
        </row>
      </sheetData>
      <sheetData sheetId="6371">
        <row r="4">
          <cell r="A4" t="str">
            <v>BẢNG TÍNH TOÁN, ĐO BÓC KHỐI LƯỢNG HOÀN THÀNH ĐƯA VÀO QUYẾT TOÁN</v>
          </cell>
        </row>
      </sheetData>
      <sheetData sheetId="6372">
        <row r="4">
          <cell r="A4" t="str">
            <v>BẢNG TÍNH TOÁN, ĐO BÓC KHỐI LƯỢNG HOÀN THÀNH ĐƯA VÀO QUYẾT TOÁN</v>
          </cell>
        </row>
      </sheetData>
      <sheetData sheetId="6373">
        <row r="4">
          <cell r="A4" t="str">
            <v>BẢNG TÍNH TOÁN, ĐO BÓC KHỐI LƯỢNG HOÀN THÀNH ĐƯA VÀO QUYẾT TOÁN</v>
          </cell>
        </row>
      </sheetData>
      <sheetData sheetId="6374">
        <row r="4">
          <cell r="A4" t="str">
            <v>BẢNG TÍNH TOÁN, ĐO BÓC KHỐI LƯỢNG HOÀN THÀNH ĐƯA VÀO QUYẾT TOÁN</v>
          </cell>
        </row>
      </sheetData>
      <sheetData sheetId="6375">
        <row r="4">
          <cell r="A4" t="str">
            <v>BẢNG TÍNH TOÁN, ĐO BÓC KHỐI LƯỢNG HOÀN THÀNH ĐƯA VÀO QUYẾT TOÁN</v>
          </cell>
        </row>
      </sheetData>
      <sheetData sheetId="6376">
        <row r="4">
          <cell r="A4" t="str">
            <v>BẢNG TÍNH TOÁN, ĐO BÓC KHỐI LƯỢNG HOÀN THÀNH ĐƯA VÀO QUYẾT TOÁN</v>
          </cell>
        </row>
      </sheetData>
      <sheetData sheetId="6377">
        <row r="4">
          <cell r="A4" t="str">
            <v>BẢNG TÍNH TOÁN, ĐO BÓC KHỐI LƯỢNG HOÀN THÀNH ĐƯA VÀO QUYẾT TOÁN</v>
          </cell>
        </row>
      </sheetData>
      <sheetData sheetId="6378">
        <row r="4">
          <cell r="A4" t="str">
            <v>BẢNG TÍNH TOÁN, ĐO BÓC KHỐI LƯỢNG HOÀN THÀNH ĐƯA VÀO QUYẾT TOÁN</v>
          </cell>
        </row>
      </sheetData>
      <sheetData sheetId="6379">
        <row r="4">
          <cell r="A4" t="str">
            <v>BẢNG TÍNH TOÁN, ĐO BÓC KHỐI LƯỢNG HOÀN THÀNH ĐƯA VÀO QUYẾT TOÁN</v>
          </cell>
        </row>
      </sheetData>
      <sheetData sheetId="6380">
        <row r="4">
          <cell r="A4" t="str">
            <v>BẢNG TÍNH TOÁN, ĐO BÓC KHỐI LƯỢNG HOÀN THÀNH ĐƯA VÀO QUYẾT TOÁN</v>
          </cell>
        </row>
      </sheetData>
      <sheetData sheetId="6381">
        <row r="4">
          <cell r="A4" t="str">
            <v>BẢNG TÍNH TOÁN, ĐO BÓC KHỐI LƯỢNG HOÀN THÀNH ĐƯA VÀO QUYẾT TOÁN</v>
          </cell>
        </row>
      </sheetData>
      <sheetData sheetId="6382">
        <row r="4">
          <cell r="A4" t="str">
            <v>BẢNG TÍNH TOÁN, ĐO BÓC KHỐI LƯỢNG HOÀN THÀNH ĐƯA VÀO QUYẾT TOÁN</v>
          </cell>
        </row>
      </sheetData>
      <sheetData sheetId="6383">
        <row r="4">
          <cell r="A4" t="str">
            <v>BẢNG TÍNH TOÁN, ĐO BÓC KHỐI LƯỢNG HOÀN THÀNH ĐƯA VÀO QUYẾT TOÁN</v>
          </cell>
        </row>
      </sheetData>
      <sheetData sheetId="6384">
        <row r="4">
          <cell r="A4" t="str">
            <v>BẢNG TÍNH TOÁN, ĐO BÓC KHỐI LƯỢNG HOÀN THÀNH ĐƯA VÀO QUYẾT TOÁN</v>
          </cell>
        </row>
      </sheetData>
      <sheetData sheetId="6385">
        <row r="4">
          <cell r="A4" t="str">
            <v>BẢNG TÍNH TOÁN, ĐO BÓC KHỐI LƯỢNG HOÀN THÀNH ĐƯA VÀO QUYẾT TOÁN</v>
          </cell>
        </row>
      </sheetData>
      <sheetData sheetId="6386">
        <row r="4">
          <cell r="A4" t="str">
            <v>BẢNG TÍNH TOÁN, ĐO BÓC KHỐI LƯỢNG HOÀN THÀNH ĐƯA VÀO QUYẾT TOÁN</v>
          </cell>
        </row>
      </sheetData>
      <sheetData sheetId="6387">
        <row r="4">
          <cell r="A4" t="str">
            <v>BẢNG TÍNH TOÁN, ĐO BÓC KHỐI LƯỢNG HOÀN THÀNH ĐƯA VÀO QUYẾT TOÁN</v>
          </cell>
        </row>
      </sheetData>
      <sheetData sheetId="6388">
        <row r="4">
          <cell r="A4" t="str">
            <v>BẢNG TÍNH TOÁN, ĐO BÓC KHỐI LƯỢNG HOÀN THÀNH ĐƯA VÀO QUYẾT TOÁN</v>
          </cell>
        </row>
      </sheetData>
      <sheetData sheetId="6389">
        <row r="4">
          <cell r="A4" t="str">
            <v>BẢNG TÍNH TOÁN, ĐO BÓC KHỐI LƯỢNG HOÀN THÀNH ĐƯA VÀO QUYẾT TOÁN</v>
          </cell>
        </row>
      </sheetData>
      <sheetData sheetId="6390">
        <row r="4">
          <cell r="A4" t="str">
            <v>BẢNG TÍNH TOÁN, ĐO BÓC KHỐI LƯỢNG HOÀN THÀNH ĐƯA VÀO QUYẾT TOÁN</v>
          </cell>
        </row>
      </sheetData>
      <sheetData sheetId="6391">
        <row r="4">
          <cell r="A4" t="str">
            <v>BẢNG TÍNH TOÁN, ĐO BÓC KHỐI LƯỢNG HOÀN THÀNH ĐƯA VÀO QUYẾT TOÁN</v>
          </cell>
        </row>
      </sheetData>
      <sheetData sheetId="6392">
        <row r="4">
          <cell r="A4" t="str">
            <v>BẢNG TÍNH TOÁN, ĐO BÓC KHỐI LƯỢNG HOÀN THÀNH ĐƯA VÀO QUYẾT TOÁN</v>
          </cell>
        </row>
      </sheetData>
      <sheetData sheetId="6393">
        <row r="4">
          <cell r="A4" t="str">
            <v>BẢNG TÍNH TOÁN, ĐO BÓC KHỐI LƯỢNG HOÀN THÀNH ĐƯA VÀO QUYẾT TOÁN</v>
          </cell>
        </row>
      </sheetData>
      <sheetData sheetId="6394">
        <row r="4">
          <cell r="A4" t="str">
            <v>BẢNG TÍNH TOÁN, ĐO BÓC KHỐI LƯỢNG HOÀN THÀNH ĐƯA VÀO QUYẾT TOÁN</v>
          </cell>
        </row>
      </sheetData>
      <sheetData sheetId="6395">
        <row r="4">
          <cell r="A4" t="str">
            <v>BẢNG TÍNH TOÁN, ĐO BÓC KHỐI LƯỢNG HOÀN THÀNH ĐƯA VÀO QUYẾT TOÁN</v>
          </cell>
        </row>
      </sheetData>
      <sheetData sheetId="6396">
        <row r="4">
          <cell r="A4" t="str">
            <v>BẢNG TÍNH TOÁN, ĐO BÓC KHỐI LƯỢNG HOÀN THÀNH ĐƯA VÀO QUYẾT TOÁN</v>
          </cell>
        </row>
      </sheetData>
      <sheetData sheetId="6397">
        <row r="4">
          <cell r="A4" t="str">
            <v>BẢNG TÍNH TOÁN, ĐO BÓC KHỐI LƯỢNG HOÀN THÀNH ĐƯA VÀO QUYẾT TOÁN</v>
          </cell>
        </row>
      </sheetData>
      <sheetData sheetId="6398">
        <row r="4">
          <cell r="A4" t="str">
            <v>BẢNG TÍNH TOÁN, ĐO BÓC KHỐI LƯỢNG HOÀN THÀNH ĐƯA VÀO QUYẾT TOÁN</v>
          </cell>
        </row>
      </sheetData>
      <sheetData sheetId="6399">
        <row r="4">
          <cell r="A4" t="str">
            <v>BẢNG TÍNH TOÁN, ĐO BÓC KHỐI LƯỢNG HOÀN THÀNH ĐƯA VÀO QUYẾT TOÁN</v>
          </cell>
        </row>
      </sheetData>
      <sheetData sheetId="6400">
        <row r="4">
          <cell r="A4" t="str">
            <v>BẢNG TÍNH TOÁN, ĐO BÓC KHỐI LƯỢNG HOÀN THÀNH ĐƯA VÀO QUYẾT TOÁN</v>
          </cell>
        </row>
      </sheetData>
      <sheetData sheetId="6401">
        <row r="4">
          <cell r="A4" t="str">
            <v>BẢNG TÍNH TOÁN, ĐO BÓC KHỐI LƯỢNG HOÀN THÀNH ĐƯA VÀO QUYẾT TOÁN</v>
          </cell>
        </row>
      </sheetData>
      <sheetData sheetId="6402">
        <row r="4">
          <cell r="A4" t="str">
            <v>BẢNG TÍNH TOÁN, ĐO BÓC KHỐI LƯỢNG HOÀN THÀNH ĐƯA VÀO QUYẾT TOÁN</v>
          </cell>
        </row>
      </sheetData>
      <sheetData sheetId="6403">
        <row r="4">
          <cell r="A4" t="str">
            <v>BẢNG TÍNH TOÁN, ĐO BÓC KHỐI LƯỢNG HOÀN THÀNH ĐƯA VÀO QUYẾT TOÁN</v>
          </cell>
        </row>
      </sheetData>
      <sheetData sheetId="6404">
        <row r="4">
          <cell r="A4" t="str">
            <v>BẢNG TÍNH TOÁN, ĐO BÓC KHỐI LƯỢNG HOÀN THÀNH ĐƯA VÀO QUYẾT TOÁN</v>
          </cell>
        </row>
      </sheetData>
      <sheetData sheetId="6405">
        <row r="4">
          <cell r="A4" t="str">
            <v>BẢNG TÍNH TOÁN, ĐO BÓC KHỐI LƯỢNG HOÀN THÀNH ĐƯA VÀO QUYẾT TOÁN</v>
          </cell>
        </row>
      </sheetData>
      <sheetData sheetId="6406">
        <row r="4">
          <cell r="A4" t="str">
            <v>BẢNG TÍNH TOÁN, ĐO BÓC KHỐI LƯỢNG HOÀN THÀNH ĐƯA VÀO QUYẾT TOÁN</v>
          </cell>
        </row>
      </sheetData>
      <sheetData sheetId="6407">
        <row r="4">
          <cell r="A4" t="str">
            <v>BẢNG TÍNH TOÁN, ĐO BÓC KHỐI LƯỢNG HOÀN THÀNH ĐƯA VÀO QUYẾT TOÁN</v>
          </cell>
        </row>
      </sheetData>
      <sheetData sheetId="6408">
        <row r="4">
          <cell r="A4" t="str">
            <v>BẢNG TÍNH TOÁN, ĐO BÓC KHỐI LƯỢNG HOÀN THÀNH ĐƯA VÀO QUYẾT TOÁN</v>
          </cell>
        </row>
      </sheetData>
      <sheetData sheetId="6409">
        <row r="4">
          <cell r="A4" t="str">
            <v>BẢNG TÍNH TOÁN, ĐO BÓC KHỐI LƯỢNG HOÀN THÀNH ĐƯA VÀO QUYẾT TOÁN</v>
          </cell>
        </row>
      </sheetData>
      <sheetData sheetId="6410">
        <row r="4">
          <cell r="A4" t="str">
            <v>BẢNG TÍNH TOÁN, ĐO BÓC KHỐI LƯỢNG HOÀN THÀNH ĐƯA VÀO QUYẾT TOÁN</v>
          </cell>
        </row>
      </sheetData>
      <sheetData sheetId="6411">
        <row r="4">
          <cell r="A4" t="str">
            <v>BẢNG TÍNH TOÁN, ĐO BÓC KHỐI LƯỢNG HOÀN THÀNH ĐƯA VÀO QUYẾT TOÁN</v>
          </cell>
        </row>
      </sheetData>
      <sheetData sheetId="6412">
        <row r="4">
          <cell r="A4" t="str">
            <v>BẢNG TÍNH TOÁN, ĐO BÓC KHỐI LƯỢNG HOÀN THÀNH ĐƯA VÀO QUYẾT TOÁN</v>
          </cell>
        </row>
      </sheetData>
      <sheetData sheetId="6413">
        <row r="4">
          <cell r="A4" t="str">
            <v>BẢNG TÍNH TOÁN, ĐO BÓC KHỐI LƯỢNG HOÀN THÀNH ĐƯA VÀO QUYẾT TOÁN</v>
          </cell>
        </row>
      </sheetData>
      <sheetData sheetId="6414">
        <row r="4">
          <cell r="A4" t="str">
            <v>BẢNG TÍNH TOÁN, ĐO BÓC KHỐI LƯỢNG HOÀN THÀNH ĐƯA VÀO QUYẾT TOÁN</v>
          </cell>
        </row>
      </sheetData>
      <sheetData sheetId="6415">
        <row r="4">
          <cell r="A4" t="str">
            <v>BẢNG TÍNH TOÁN, ĐO BÓC KHỐI LƯỢNG HOÀN THÀNH ĐƯA VÀO QUYẾT TOÁN</v>
          </cell>
        </row>
      </sheetData>
      <sheetData sheetId="6416">
        <row r="4">
          <cell r="A4" t="str">
            <v>BẢNG TÍNH TOÁN, ĐO BÓC KHỐI LƯỢNG HOÀN THÀNH ĐƯA VÀO QUYẾT TOÁN</v>
          </cell>
        </row>
      </sheetData>
      <sheetData sheetId="6417">
        <row r="4">
          <cell r="A4" t="str">
            <v>BẢNG TÍNH TOÁN, ĐO BÓC KHỐI LƯỢNG HOÀN THÀNH ĐƯA VÀO QUYẾT TOÁN</v>
          </cell>
        </row>
      </sheetData>
      <sheetData sheetId="6418">
        <row r="4">
          <cell r="A4" t="str">
            <v>BẢNG TÍNH TOÁN, ĐO BÓC KHỐI LƯỢNG HOÀN THÀNH ĐƯA VÀO QUYẾT TOÁN</v>
          </cell>
        </row>
      </sheetData>
      <sheetData sheetId="6419">
        <row r="4">
          <cell r="A4" t="str">
            <v>BẢNG TÍNH TOÁN, ĐO BÓC KHỐI LƯỢNG HOÀN THÀNH ĐƯA VÀO QUYẾT TOÁN</v>
          </cell>
        </row>
      </sheetData>
      <sheetData sheetId="6420">
        <row r="4">
          <cell r="A4" t="str">
            <v>BẢNG TÍNH TOÁN, ĐO BÓC KHỐI LƯỢNG HOÀN THÀNH ĐƯA VÀO QUYẾT TOÁN</v>
          </cell>
        </row>
      </sheetData>
      <sheetData sheetId="6421">
        <row r="4">
          <cell r="A4" t="str">
            <v>BẢNG TÍNH TOÁN, ĐO BÓC KHỐI LƯỢNG HOÀN THÀNH ĐƯA VÀO QUYẾT TOÁN</v>
          </cell>
        </row>
      </sheetData>
      <sheetData sheetId="6422">
        <row r="4">
          <cell r="A4" t="str">
            <v>BẢNG TÍNH TOÁN, ĐO BÓC KHỐI LƯỢNG HOÀN THÀNH ĐƯA VÀO QUYẾT TOÁN</v>
          </cell>
        </row>
      </sheetData>
      <sheetData sheetId="6423">
        <row r="4">
          <cell r="A4" t="str">
            <v>BẢNG TÍNH TOÁN, ĐO BÓC KHỐI LƯỢNG HOÀN THÀNH ĐƯA VÀO QUYẾT TOÁN</v>
          </cell>
        </row>
      </sheetData>
      <sheetData sheetId="6424">
        <row r="4">
          <cell r="A4" t="str">
            <v>BẢNG TÍNH TOÁN, ĐO BÓC KHỐI LƯỢNG HOÀN THÀNH ĐƯA VÀO QUYẾT TOÁN</v>
          </cell>
        </row>
      </sheetData>
      <sheetData sheetId="6425">
        <row r="4">
          <cell r="A4" t="str">
            <v>BẢNG TÍNH TOÁN, ĐO BÓC KHỐI LƯỢNG HOÀN THÀNH ĐƯA VÀO QUYẾT TOÁN</v>
          </cell>
        </row>
      </sheetData>
      <sheetData sheetId="6426">
        <row r="4">
          <cell r="A4" t="str">
            <v>BẢNG TÍNH TOÁN, ĐO BÓC KHỐI LƯỢNG HOÀN THÀNH ĐƯA VÀO QUYẾT TOÁN</v>
          </cell>
        </row>
      </sheetData>
      <sheetData sheetId="6427">
        <row r="4">
          <cell r="A4" t="str">
            <v>BẢNG TÍNH TOÁN, ĐO BÓC KHỐI LƯỢNG HOÀN THÀNH ĐƯA VÀO QUYẾT TOÁN</v>
          </cell>
        </row>
      </sheetData>
      <sheetData sheetId="6428">
        <row r="4">
          <cell r="A4" t="str">
            <v>BẢNG TÍNH TOÁN, ĐO BÓC KHỐI LƯỢNG HOÀN THÀNH ĐƯA VÀO QUYẾT TOÁN</v>
          </cell>
        </row>
      </sheetData>
      <sheetData sheetId="6429">
        <row r="4">
          <cell r="A4" t="str">
            <v>BẢNG TÍNH TOÁN, ĐO BÓC KHỐI LƯỢNG HOÀN THÀNH ĐƯA VÀO QUYẾT TOÁN</v>
          </cell>
        </row>
      </sheetData>
      <sheetData sheetId="6430">
        <row r="4">
          <cell r="A4" t="str">
            <v>BẢNG TÍNH TOÁN, ĐO BÓC KHỐI LƯỢNG HOÀN THÀNH ĐƯA VÀO QUYẾT TOÁN</v>
          </cell>
        </row>
      </sheetData>
      <sheetData sheetId="6431">
        <row r="4">
          <cell r="A4" t="str">
            <v>BẢNG TÍNH TOÁN, ĐO BÓC KHỐI LƯỢNG HOÀN THÀNH ĐƯA VÀO QUYẾT TOÁN</v>
          </cell>
        </row>
      </sheetData>
      <sheetData sheetId="6432">
        <row r="4">
          <cell r="A4" t="str">
            <v>BẢNG TÍNH TOÁN, ĐO BÓC KHỐI LƯỢNG HOÀN THÀNH ĐƯA VÀO QUYẾT TOÁN</v>
          </cell>
        </row>
      </sheetData>
      <sheetData sheetId="6433">
        <row r="4">
          <cell r="A4" t="str">
            <v>BẢNG TÍNH TOÁN, ĐO BÓC KHỐI LƯỢNG HOÀN THÀNH ĐƯA VÀO QUYẾT TOÁN</v>
          </cell>
        </row>
      </sheetData>
      <sheetData sheetId="6434">
        <row r="4">
          <cell r="A4" t="str">
            <v>BẢNG TÍNH TOÁN, ĐO BÓC KHỐI LƯỢNG HOÀN THÀNH ĐƯA VÀO QUYẾT TOÁN</v>
          </cell>
        </row>
      </sheetData>
      <sheetData sheetId="6435">
        <row r="4">
          <cell r="A4" t="str">
            <v>BẢNG TÍNH TOÁN, ĐO BÓC KHỐI LƯỢNG HOÀN THÀNH ĐƯA VÀO QUYẾT TOÁN</v>
          </cell>
        </row>
      </sheetData>
      <sheetData sheetId="6436">
        <row r="4">
          <cell r="A4" t="str">
            <v>BẢNG TÍNH TOÁN, ĐO BÓC KHỐI LƯỢNG HOÀN THÀNH ĐƯA VÀO QUYẾT TOÁN</v>
          </cell>
        </row>
      </sheetData>
      <sheetData sheetId="6437">
        <row r="4">
          <cell r="A4" t="str">
            <v>BẢNG TÍNH TOÁN, ĐO BÓC KHỐI LƯỢNG HOÀN THÀNH ĐƯA VÀO QUYẾT TOÁN</v>
          </cell>
        </row>
      </sheetData>
      <sheetData sheetId="6438">
        <row r="4">
          <cell r="A4" t="str">
            <v>BẢNG TÍNH TOÁN, ĐO BÓC KHỐI LƯỢNG HOÀN THÀNH ĐƯA VÀO QUYẾT TOÁN</v>
          </cell>
        </row>
      </sheetData>
      <sheetData sheetId="6439">
        <row r="4">
          <cell r="A4" t="str">
            <v>BẢNG TÍNH TOÁN, ĐO BÓC KHỐI LƯỢNG HOÀN THÀNH ĐƯA VÀO QUYẾT TOÁN</v>
          </cell>
        </row>
      </sheetData>
      <sheetData sheetId="6440">
        <row r="4">
          <cell r="A4" t="str">
            <v>BẢNG TÍNH TOÁN, ĐO BÓC KHỐI LƯỢNG HOÀN THÀNH ĐƯA VÀO QUYẾT TOÁN</v>
          </cell>
        </row>
      </sheetData>
      <sheetData sheetId="6441">
        <row r="4">
          <cell r="A4" t="str">
            <v>BẢNG TÍNH TOÁN, ĐO BÓC KHỐI LƯỢNG HOÀN THÀNH ĐƯA VÀO QUYẾT TOÁN</v>
          </cell>
        </row>
      </sheetData>
      <sheetData sheetId="6442">
        <row r="4">
          <cell r="A4" t="str">
            <v>BẢNG TÍNH TOÁN, ĐO BÓC KHỐI LƯỢNG HOÀN THÀNH ĐƯA VÀO QUYẾT TOÁN</v>
          </cell>
        </row>
      </sheetData>
      <sheetData sheetId="6443">
        <row r="4">
          <cell r="A4" t="str">
            <v>BẢNG TÍNH TOÁN, ĐO BÓC KHỐI LƯỢNG HOÀN THÀNH ĐƯA VÀO QUYẾT TOÁN</v>
          </cell>
        </row>
      </sheetData>
      <sheetData sheetId="6444">
        <row r="4">
          <cell r="A4" t="str">
            <v>BẢNG TÍNH TOÁN, ĐO BÓC KHỐI LƯỢNG HOÀN THÀNH ĐƯA VÀO QUYẾT TOÁN</v>
          </cell>
        </row>
      </sheetData>
      <sheetData sheetId="6445">
        <row r="4">
          <cell r="A4" t="str">
            <v>BẢNG TÍNH TOÁN, ĐO BÓC KHỐI LƯỢNG HOÀN THÀNH ĐƯA VÀO QUYẾT TOÁN</v>
          </cell>
        </row>
      </sheetData>
      <sheetData sheetId="6446">
        <row r="4">
          <cell r="A4" t="str">
            <v>BẢNG TÍNH TOÁN, ĐO BÓC KHỐI LƯỢNG HOÀN THÀNH ĐƯA VÀO QUYẾT TOÁN</v>
          </cell>
        </row>
      </sheetData>
      <sheetData sheetId="6447">
        <row r="4">
          <cell r="A4" t="str">
            <v>BẢNG TÍNH TOÁN, ĐO BÓC KHỐI LƯỢNG HOÀN THÀNH ĐƯA VÀO QUYẾT TOÁN</v>
          </cell>
        </row>
      </sheetData>
      <sheetData sheetId="6448">
        <row r="4">
          <cell r="A4" t="str">
            <v>BẢNG TÍNH TOÁN, ĐO BÓC KHỐI LƯỢNG HOÀN THÀNH ĐƯA VÀO QUYẾT TOÁN</v>
          </cell>
        </row>
      </sheetData>
      <sheetData sheetId="6449">
        <row r="4">
          <cell r="A4" t="str">
            <v>BẢNG TÍNH TOÁN, ĐO BÓC KHỐI LƯỢNG HOÀN THÀNH ĐƯA VÀO QUYẾT TOÁN</v>
          </cell>
        </row>
      </sheetData>
      <sheetData sheetId="6450">
        <row r="4">
          <cell r="A4" t="str">
            <v>BẢNG TÍNH TOÁN, ĐO BÓC KHỐI LƯỢNG HOÀN THÀNH ĐƯA VÀO QUYẾT TOÁN</v>
          </cell>
        </row>
      </sheetData>
      <sheetData sheetId="6451">
        <row r="4">
          <cell r="A4" t="str">
            <v>BẢNG TÍNH TOÁN, ĐO BÓC KHỐI LƯỢNG HOÀN THÀNH ĐƯA VÀO QUYẾT TOÁN</v>
          </cell>
        </row>
      </sheetData>
      <sheetData sheetId="6452">
        <row r="4">
          <cell r="A4" t="str">
            <v>BẢNG TÍNH TOÁN, ĐO BÓC KHỐI LƯỢNG HOÀN THÀNH ĐƯA VÀO QUYẾT TOÁN</v>
          </cell>
        </row>
      </sheetData>
      <sheetData sheetId="6453">
        <row r="4">
          <cell r="A4" t="str">
            <v>BẢNG TÍNH TOÁN, ĐO BÓC KHỐI LƯỢNG HOÀN THÀNH ĐƯA VÀO QUYẾT TOÁN</v>
          </cell>
        </row>
      </sheetData>
      <sheetData sheetId="6454">
        <row r="4">
          <cell r="A4" t="str">
            <v>BẢNG TÍNH TOÁN, ĐO BÓC KHỐI LƯỢNG HOÀN THÀNH ĐƯA VÀO QUYẾT TOÁN</v>
          </cell>
        </row>
      </sheetData>
      <sheetData sheetId="6455">
        <row r="4">
          <cell r="A4" t="str">
            <v>BẢNG TÍNH TOÁN, ĐO BÓC KHỐI LƯỢNG HOÀN THÀNH ĐƯA VÀO QUYẾT TOÁN</v>
          </cell>
        </row>
      </sheetData>
      <sheetData sheetId="6456">
        <row r="4">
          <cell r="A4" t="str">
            <v>BẢNG TÍNH TOÁN, ĐO BÓC KHỐI LƯỢNG HOÀN THÀNH ĐƯA VÀO QUYẾT TOÁN</v>
          </cell>
        </row>
      </sheetData>
      <sheetData sheetId="6457">
        <row r="4">
          <cell r="A4" t="str">
            <v>BẢNG TÍNH TOÁN, ĐO BÓC KHỐI LƯỢNG HOÀN THÀNH ĐƯA VÀO QUYẾT TOÁN</v>
          </cell>
        </row>
      </sheetData>
      <sheetData sheetId="6458">
        <row r="4">
          <cell r="A4" t="str">
            <v>BẢNG TÍNH TOÁN, ĐO BÓC KHỐI LƯỢNG HOÀN THÀNH ĐƯA VÀO QUYẾT TOÁN</v>
          </cell>
        </row>
      </sheetData>
      <sheetData sheetId="6459">
        <row r="4">
          <cell r="A4" t="str">
            <v>BẢNG TÍNH TOÁN, ĐO BÓC KHỐI LƯỢNG HOÀN THÀNH ĐƯA VÀO QUYẾT TOÁN</v>
          </cell>
        </row>
      </sheetData>
      <sheetData sheetId="6460">
        <row r="4">
          <cell r="A4" t="str">
            <v>BẢNG TÍNH TOÁN, ĐO BÓC KHỐI LƯỢNG HOÀN THÀNH ĐƯA VÀO QUYẾT TOÁN</v>
          </cell>
        </row>
      </sheetData>
      <sheetData sheetId="6461">
        <row r="4">
          <cell r="A4" t="str">
            <v>BẢNG TÍNH TOÁN, ĐO BÓC KHỐI LƯỢNG HOÀN THÀNH ĐƯA VÀO QUYẾT TOÁN</v>
          </cell>
        </row>
      </sheetData>
      <sheetData sheetId="6462">
        <row r="4">
          <cell r="A4" t="str">
            <v>BẢNG TÍNH TOÁN, ĐO BÓC KHỐI LƯỢNG HOÀN THÀNH ĐƯA VÀO QUYẾT TOÁN</v>
          </cell>
        </row>
      </sheetData>
      <sheetData sheetId="6463">
        <row r="4">
          <cell r="A4" t="str">
            <v>BẢNG TÍNH TOÁN, ĐO BÓC KHỐI LƯỢNG HOÀN THÀNH ĐƯA VÀO QUYẾT TOÁN</v>
          </cell>
        </row>
      </sheetData>
      <sheetData sheetId="6464">
        <row r="4">
          <cell r="A4" t="str">
            <v>BẢNG TÍNH TOÁN, ĐO BÓC KHỐI LƯỢNG HOÀN THÀNH ĐƯA VÀO QUYẾT TOÁN</v>
          </cell>
        </row>
      </sheetData>
      <sheetData sheetId="6465">
        <row r="4">
          <cell r="A4" t="str">
            <v>BẢNG TÍNH TOÁN, ĐO BÓC KHỐI LƯỢNG HOÀN THÀNH ĐƯA VÀO QUYẾT TOÁN</v>
          </cell>
        </row>
      </sheetData>
      <sheetData sheetId="6466">
        <row r="4">
          <cell r="A4" t="str">
            <v>BẢNG TÍNH TOÁN, ĐO BÓC KHỐI LƯỢNG HOÀN THÀNH ĐƯA VÀO QUYẾT TOÁN</v>
          </cell>
        </row>
      </sheetData>
      <sheetData sheetId="6467">
        <row r="4">
          <cell r="A4" t="str">
            <v>BẢNG TÍNH TOÁN, ĐO BÓC KHỐI LƯỢNG HOÀN THÀNH ĐƯA VÀO QUYẾT TOÁN</v>
          </cell>
        </row>
      </sheetData>
      <sheetData sheetId="6468">
        <row r="4">
          <cell r="A4" t="str">
            <v>BẢNG TÍNH TOÁN, ĐO BÓC KHỐI LƯỢNG HOÀN THÀNH ĐƯA VÀO QUYẾT TOÁN</v>
          </cell>
        </row>
      </sheetData>
      <sheetData sheetId="6469">
        <row r="4">
          <cell r="A4" t="str">
            <v>BẢNG TÍNH TOÁN, ĐO BÓC KHỐI LƯỢNG HOÀN THÀNH ĐƯA VÀO QUYẾT TOÁN</v>
          </cell>
        </row>
      </sheetData>
      <sheetData sheetId="6470">
        <row r="4">
          <cell r="A4" t="str">
            <v>BẢNG TÍNH TOÁN, ĐO BÓC KHỐI LƯỢNG HOÀN THÀNH ĐƯA VÀO QUYẾT TOÁN</v>
          </cell>
        </row>
      </sheetData>
      <sheetData sheetId="6471">
        <row r="4">
          <cell r="A4" t="str">
            <v>BẢNG TÍNH TOÁN, ĐO BÓC KHỐI LƯỢNG HOÀN THÀNH ĐƯA VÀO QUYẾT TOÁN</v>
          </cell>
        </row>
      </sheetData>
      <sheetData sheetId="6472">
        <row r="4">
          <cell r="A4" t="str">
            <v>BẢNG TÍNH TOÁN, ĐO BÓC KHỐI LƯỢNG HOÀN THÀNH ĐƯA VÀO QUYẾT TOÁN</v>
          </cell>
        </row>
      </sheetData>
      <sheetData sheetId="6473">
        <row r="4">
          <cell r="A4" t="str">
            <v>BẢNG TÍNH TOÁN, ĐO BÓC KHỐI LƯỢNG HOÀN THÀNH ĐƯA VÀO QUYẾT TOÁN</v>
          </cell>
        </row>
      </sheetData>
      <sheetData sheetId="6474">
        <row r="4">
          <cell r="A4" t="str">
            <v>BẢNG TÍNH TOÁN, ĐO BÓC KHỐI LƯỢNG HOÀN THÀNH ĐƯA VÀO QUYẾT TOÁN</v>
          </cell>
        </row>
      </sheetData>
      <sheetData sheetId="6475">
        <row r="4">
          <cell r="A4" t="str">
            <v>BẢNG TÍNH TOÁN, ĐO BÓC KHỐI LƯỢNG HOÀN THÀNH ĐƯA VÀO QUYẾT TOÁN</v>
          </cell>
        </row>
      </sheetData>
      <sheetData sheetId="6476">
        <row r="4">
          <cell r="A4" t="str">
            <v>BẢNG TÍNH TOÁN, ĐO BÓC KHỐI LƯỢNG HOÀN THÀNH ĐƯA VÀO QUYẾT TOÁN</v>
          </cell>
        </row>
      </sheetData>
      <sheetData sheetId="6477">
        <row r="4">
          <cell r="A4" t="str">
            <v>BẢNG TÍNH TOÁN, ĐO BÓC KHỐI LƯỢNG HOÀN THÀNH ĐƯA VÀO QUYẾT TOÁN</v>
          </cell>
        </row>
      </sheetData>
      <sheetData sheetId="6478">
        <row r="4">
          <cell r="A4" t="str">
            <v>BẢNG TÍNH TOÁN, ĐO BÓC KHỐI LƯỢNG HOÀN THÀNH ĐƯA VÀO QUYẾT TOÁN</v>
          </cell>
        </row>
      </sheetData>
      <sheetData sheetId="6479">
        <row r="4">
          <cell r="A4" t="str">
            <v>BẢNG TÍNH TOÁN, ĐO BÓC KHỐI LƯỢNG HOÀN THÀNH ĐƯA VÀO QUYẾT TOÁN</v>
          </cell>
        </row>
      </sheetData>
      <sheetData sheetId="6480">
        <row r="4">
          <cell r="A4" t="str">
            <v>BẢNG TÍNH TOÁN, ĐO BÓC KHỐI LƯỢNG HOÀN THÀNH ĐƯA VÀO QUYẾT TOÁN</v>
          </cell>
        </row>
      </sheetData>
      <sheetData sheetId="6481">
        <row r="4">
          <cell r="A4" t="str">
            <v>BẢNG TÍNH TOÁN, ĐO BÓC KHỐI LƯỢNG HOÀN THÀNH ĐƯA VÀO QUYẾT TOÁN</v>
          </cell>
        </row>
      </sheetData>
      <sheetData sheetId="6482">
        <row r="4">
          <cell r="A4" t="str">
            <v>BẢNG TÍNH TOÁN, ĐO BÓC KHỐI LƯỢNG HOÀN THÀNH ĐƯA VÀO QUYẾT TOÁN</v>
          </cell>
        </row>
      </sheetData>
      <sheetData sheetId="6483">
        <row r="4">
          <cell r="A4" t="str">
            <v>BẢNG TÍNH TOÁN, ĐO BÓC KHỐI LƯỢNG HOÀN THÀNH ĐƯA VÀO QUYẾT TOÁN</v>
          </cell>
        </row>
      </sheetData>
      <sheetData sheetId="6484">
        <row r="4">
          <cell r="A4" t="str">
            <v>BẢNG TÍNH TOÁN, ĐO BÓC KHỐI LƯỢNG HOÀN THÀNH ĐƯA VÀO QUYẾT TOÁN</v>
          </cell>
        </row>
      </sheetData>
      <sheetData sheetId="6485">
        <row r="4">
          <cell r="A4" t="str">
            <v>BẢNG TÍNH TOÁN, ĐO BÓC KHỐI LƯỢNG HOÀN THÀNH ĐƯA VÀO QUYẾT TOÁN</v>
          </cell>
        </row>
      </sheetData>
      <sheetData sheetId="6486">
        <row r="4">
          <cell r="A4" t="str">
            <v>BẢNG TÍNH TOÁN, ĐO BÓC KHỐI LƯỢNG HOÀN THÀNH ĐƯA VÀO QUYẾT TOÁN</v>
          </cell>
        </row>
      </sheetData>
      <sheetData sheetId="6487">
        <row r="4">
          <cell r="A4" t="str">
            <v>BẢNG TÍNH TOÁN, ĐO BÓC KHỐI LƯỢNG HOÀN THÀNH ĐƯA VÀO QUYẾT TOÁN</v>
          </cell>
        </row>
      </sheetData>
      <sheetData sheetId="6488">
        <row r="4">
          <cell r="A4" t="str">
            <v>BẢNG TÍNH TOÁN, ĐO BÓC KHỐI LƯỢNG HOÀN THÀNH ĐƯA VÀO QUYẾT TOÁN</v>
          </cell>
        </row>
      </sheetData>
      <sheetData sheetId="6489">
        <row r="4">
          <cell r="A4" t="str">
            <v>BẢNG TÍNH TOÁN, ĐO BÓC KHỐI LƯỢNG HOÀN THÀNH ĐƯA VÀO QUYẾT TOÁN</v>
          </cell>
        </row>
      </sheetData>
      <sheetData sheetId="6490">
        <row r="4">
          <cell r="A4" t="str">
            <v>BẢNG TÍNH TOÁN, ĐO BÓC KHỐI LƯỢNG HOÀN THÀNH ĐƯA VÀO QUYẾT TOÁN</v>
          </cell>
        </row>
      </sheetData>
      <sheetData sheetId="6491">
        <row r="4">
          <cell r="A4" t="str">
            <v>BẢNG TÍNH TOÁN, ĐO BÓC KHỐI LƯỢNG HOÀN THÀNH ĐƯA VÀO QUYẾT TOÁN</v>
          </cell>
        </row>
      </sheetData>
      <sheetData sheetId="6492">
        <row r="4">
          <cell r="A4" t="str">
            <v>BẢNG TÍNH TOÁN, ĐO BÓC KHỐI LƯỢNG HOÀN THÀNH ĐƯA VÀO QUYẾT TOÁN</v>
          </cell>
        </row>
      </sheetData>
      <sheetData sheetId="6493">
        <row r="4">
          <cell r="A4" t="str">
            <v>BẢNG TÍNH TOÁN, ĐO BÓC KHỐI LƯỢNG HOÀN THÀNH ĐƯA VÀO QUYẾT TOÁN</v>
          </cell>
        </row>
      </sheetData>
      <sheetData sheetId="6494">
        <row r="4">
          <cell r="A4" t="str">
            <v>BẢNG TÍNH TOÁN, ĐO BÓC KHỐI LƯỢNG HOÀN THÀNH ĐƯA VÀO QUYẾT TOÁN</v>
          </cell>
        </row>
      </sheetData>
      <sheetData sheetId="6495">
        <row r="4">
          <cell r="A4" t="str">
            <v>BẢNG TÍNH TOÁN, ĐO BÓC KHỐI LƯỢNG HOÀN THÀNH ĐƯA VÀO QUYẾT TOÁN</v>
          </cell>
        </row>
      </sheetData>
      <sheetData sheetId="6496">
        <row r="4">
          <cell r="A4" t="str">
            <v>BẢNG TÍNH TOÁN, ĐO BÓC KHỐI LƯỢNG HOÀN THÀNH ĐƯA VÀO QUYẾT TOÁN</v>
          </cell>
        </row>
      </sheetData>
      <sheetData sheetId="6497">
        <row r="4">
          <cell r="A4" t="str">
            <v>BẢNG TÍNH TOÁN, ĐO BÓC KHỐI LƯỢNG HOÀN THÀNH ĐƯA VÀO QUYẾT TOÁN</v>
          </cell>
        </row>
      </sheetData>
      <sheetData sheetId="6498">
        <row r="4">
          <cell r="A4" t="str">
            <v>BẢNG TÍNH TOÁN, ĐO BÓC KHỐI LƯỢNG HOÀN THÀNH ĐƯA VÀO QUYẾT TOÁN</v>
          </cell>
        </row>
      </sheetData>
      <sheetData sheetId="6499">
        <row r="4">
          <cell r="A4" t="str">
            <v>BẢNG TÍNH TOÁN, ĐO BÓC KHỐI LƯỢNG HOÀN THÀNH ĐƯA VÀO QUYẾT TOÁN</v>
          </cell>
        </row>
      </sheetData>
      <sheetData sheetId="6500">
        <row r="4">
          <cell r="A4" t="str">
            <v>BẢNG TÍNH TOÁN, ĐO BÓC KHỐI LƯỢNG HOÀN THÀNH ĐƯA VÀO QUYẾT TOÁN</v>
          </cell>
        </row>
      </sheetData>
      <sheetData sheetId="6501">
        <row r="4">
          <cell r="A4" t="str">
            <v>BẢNG TÍNH TOÁN, ĐO BÓC KHỐI LƯỢNG HOÀN THÀNH ĐƯA VÀO QUYẾT TOÁN</v>
          </cell>
        </row>
      </sheetData>
      <sheetData sheetId="6502">
        <row r="4">
          <cell r="A4" t="str">
            <v>BẢNG TÍNH TOÁN, ĐO BÓC KHỐI LƯỢNG HOÀN THÀNH ĐƯA VÀO QUYẾT TOÁN</v>
          </cell>
        </row>
      </sheetData>
      <sheetData sheetId="6503">
        <row r="4">
          <cell r="A4" t="str">
            <v>BẢNG TÍNH TOÁN, ĐO BÓC KHỐI LƯỢNG HOÀN THÀNH ĐƯA VÀO QUYẾT TOÁN</v>
          </cell>
        </row>
      </sheetData>
      <sheetData sheetId="6504">
        <row r="4">
          <cell r="A4" t="str">
            <v>BẢNG TÍNH TOÁN, ĐO BÓC KHỐI LƯỢNG HOÀN THÀNH ĐƯA VÀO QUYẾT TOÁN</v>
          </cell>
        </row>
      </sheetData>
      <sheetData sheetId="6505">
        <row r="4">
          <cell r="A4" t="str">
            <v>BẢNG TÍNH TOÁN, ĐO BÓC KHỐI LƯỢNG HOÀN THÀNH ĐƯA VÀO QUYẾT TOÁN</v>
          </cell>
        </row>
      </sheetData>
      <sheetData sheetId="6506">
        <row r="4">
          <cell r="A4" t="str">
            <v>BẢNG TÍNH TOÁN, ĐO BÓC KHỐI LƯỢNG HOÀN THÀNH ĐƯA VÀO QUYẾT TOÁN</v>
          </cell>
        </row>
      </sheetData>
      <sheetData sheetId="6507">
        <row r="4">
          <cell r="A4" t="str">
            <v>BẢNG TÍNH TOÁN, ĐO BÓC KHỐI LƯỢNG HOÀN THÀNH ĐƯA VÀO QUYẾT TOÁN</v>
          </cell>
        </row>
      </sheetData>
      <sheetData sheetId="6508">
        <row r="4">
          <cell r="A4" t="str">
            <v>BẢNG TÍNH TOÁN, ĐO BÓC KHỐI LƯỢNG HOÀN THÀNH ĐƯA VÀO QUYẾT TOÁN</v>
          </cell>
        </row>
      </sheetData>
      <sheetData sheetId="6509">
        <row r="4">
          <cell r="A4" t="str">
            <v>BẢNG TÍNH TOÁN, ĐO BÓC KHỐI LƯỢNG HOÀN THÀNH ĐƯA VÀO QUYẾT TOÁN</v>
          </cell>
        </row>
      </sheetData>
      <sheetData sheetId="6510">
        <row r="4">
          <cell r="A4" t="str">
            <v>BẢNG TÍNH TOÁN, ĐO BÓC KHỐI LƯỢNG HOÀN THÀNH ĐƯA VÀO QUYẾT TOÁN</v>
          </cell>
        </row>
      </sheetData>
      <sheetData sheetId="6511">
        <row r="4">
          <cell r="A4" t="str">
            <v>BẢNG TÍNH TOÁN, ĐO BÓC KHỐI LƯỢNG HOÀN THÀNH ĐƯA VÀO QUYẾT TOÁN</v>
          </cell>
        </row>
      </sheetData>
      <sheetData sheetId="6512">
        <row r="4">
          <cell r="A4" t="str">
            <v>BẢNG TÍNH TOÁN, ĐO BÓC KHỐI LƯỢNG HOÀN THÀNH ĐƯA VÀO QUYẾT TOÁN</v>
          </cell>
        </row>
      </sheetData>
      <sheetData sheetId="6513">
        <row r="4">
          <cell r="A4" t="str">
            <v>BẢNG TÍNH TOÁN, ĐO BÓC KHỐI LƯỢNG HOÀN THÀNH ĐƯA VÀO QUYẾT TOÁN</v>
          </cell>
        </row>
      </sheetData>
      <sheetData sheetId="6514">
        <row r="4">
          <cell r="A4" t="str">
            <v>BẢNG TÍNH TOÁN, ĐO BÓC KHỐI LƯỢNG HOÀN THÀNH ĐƯA VÀO QUYẾT TOÁN</v>
          </cell>
        </row>
      </sheetData>
      <sheetData sheetId="6515">
        <row r="4">
          <cell r="A4" t="str">
            <v>BẢNG TÍNH TOÁN, ĐO BÓC KHỐI LƯỢNG HOÀN THÀNH ĐƯA VÀO QUYẾT TOÁN</v>
          </cell>
        </row>
      </sheetData>
      <sheetData sheetId="6516">
        <row r="4">
          <cell r="A4" t="str">
            <v>BẢNG TÍNH TOÁN, ĐO BÓC KHỐI LƯỢNG HOÀN THÀNH ĐƯA VÀO QUYẾT TOÁN</v>
          </cell>
        </row>
      </sheetData>
      <sheetData sheetId="6517">
        <row r="4">
          <cell r="A4" t="str">
            <v>BẢNG TÍNH TOÁN, ĐO BÓC KHỐI LƯỢNG HOÀN THÀNH ĐƯA VÀO QUYẾT TOÁN</v>
          </cell>
        </row>
      </sheetData>
      <sheetData sheetId="6518">
        <row r="4">
          <cell r="A4" t="str">
            <v>BẢNG TÍNH TOÁN, ĐO BÓC KHỐI LƯỢNG HOÀN THÀNH ĐƯA VÀO QUYẾT TOÁN</v>
          </cell>
        </row>
      </sheetData>
      <sheetData sheetId="6519">
        <row r="4">
          <cell r="A4" t="str">
            <v>BẢNG TÍNH TOÁN, ĐO BÓC KHỐI LƯỢNG HOÀN THÀNH ĐƯA VÀO QUYẾT TOÁN</v>
          </cell>
        </row>
      </sheetData>
      <sheetData sheetId="6520">
        <row r="4">
          <cell r="A4" t="str">
            <v>BẢNG TÍNH TOÁN, ĐO BÓC KHỐI LƯỢNG HOÀN THÀNH ĐƯA VÀO QUYẾT TOÁN</v>
          </cell>
        </row>
      </sheetData>
      <sheetData sheetId="6521">
        <row r="4">
          <cell r="A4" t="str">
            <v>BẢNG TÍNH TOÁN, ĐO BÓC KHỐI LƯỢNG HOÀN THÀNH ĐƯA VÀO QUYẾT TOÁN</v>
          </cell>
        </row>
      </sheetData>
      <sheetData sheetId="6522">
        <row r="4">
          <cell r="A4" t="str">
            <v>BẢNG TÍNH TOÁN, ĐO BÓC KHỐI LƯỢNG HOÀN THÀNH ĐƯA VÀO QUYẾT TOÁN</v>
          </cell>
        </row>
      </sheetData>
      <sheetData sheetId="6523">
        <row r="4">
          <cell r="A4" t="str">
            <v>BẢNG TÍNH TOÁN, ĐO BÓC KHỐI LƯỢNG HOÀN THÀNH ĐƯA VÀO QUYẾT TOÁN</v>
          </cell>
        </row>
      </sheetData>
      <sheetData sheetId="6524">
        <row r="4">
          <cell r="A4" t="str">
            <v>BẢNG TÍNH TOÁN, ĐO BÓC KHỐI LƯỢNG HOÀN THÀNH ĐƯA VÀO QUYẾT TOÁN</v>
          </cell>
        </row>
      </sheetData>
      <sheetData sheetId="6525">
        <row r="4">
          <cell r="A4" t="str">
            <v>BẢNG TÍNH TOÁN, ĐO BÓC KHỐI LƯỢNG HOÀN THÀNH ĐƯA VÀO QUYẾT TOÁN</v>
          </cell>
        </row>
      </sheetData>
      <sheetData sheetId="6526">
        <row r="4">
          <cell r="A4" t="str">
            <v>BẢNG TÍNH TOÁN, ĐO BÓC KHỐI LƯỢNG HOÀN THÀNH ĐƯA VÀO QUYẾT TOÁN</v>
          </cell>
        </row>
      </sheetData>
      <sheetData sheetId="6527">
        <row r="4">
          <cell r="A4" t="str">
            <v>BẢNG TÍNH TOÁN, ĐO BÓC KHỐI LƯỢNG HOÀN THÀNH ĐƯA VÀO QUYẾT TOÁN</v>
          </cell>
        </row>
      </sheetData>
      <sheetData sheetId="6528">
        <row r="4">
          <cell r="A4" t="str">
            <v>BẢNG TÍNH TOÁN, ĐO BÓC KHỐI LƯỢNG HOÀN THÀNH ĐƯA VÀO QUYẾT TOÁN</v>
          </cell>
        </row>
      </sheetData>
      <sheetData sheetId="6529">
        <row r="4">
          <cell r="A4" t="str">
            <v>BẢNG TÍNH TOÁN, ĐO BÓC KHỐI LƯỢNG HOÀN THÀNH ĐƯA VÀO QUYẾT TOÁN</v>
          </cell>
        </row>
      </sheetData>
      <sheetData sheetId="6530">
        <row r="4">
          <cell r="A4" t="str">
            <v>BẢNG TÍNH TOÁN, ĐO BÓC KHỐI LƯỢNG HOÀN THÀNH ĐƯA VÀO QUYẾT TOÁN</v>
          </cell>
        </row>
      </sheetData>
      <sheetData sheetId="6531">
        <row r="4">
          <cell r="A4" t="str">
            <v>BẢNG TÍNH TOÁN, ĐO BÓC KHỐI LƯỢNG HOÀN THÀNH ĐƯA VÀO QUYẾT TOÁN</v>
          </cell>
        </row>
      </sheetData>
      <sheetData sheetId="6532">
        <row r="4">
          <cell r="A4" t="str">
            <v>BẢNG TÍNH TOÁN, ĐO BÓC KHỐI LƯỢNG HOÀN THÀNH ĐƯA VÀO QUYẾT TOÁN</v>
          </cell>
        </row>
      </sheetData>
      <sheetData sheetId="6533">
        <row r="4">
          <cell r="A4" t="str">
            <v>BẢNG TÍNH TOÁN, ĐO BÓC KHỐI LƯỢNG HOÀN THÀNH ĐƯA VÀO QUYẾT TOÁN</v>
          </cell>
        </row>
      </sheetData>
      <sheetData sheetId="6534">
        <row r="4">
          <cell r="A4" t="str">
            <v>BẢNG TÍNH TOÁN, ĐO BÓC KHỐI LƯỢNG HOÀN THÀNH ĐƯA VÀO QUYẾT TOÁN</v>
          </cell>
        </row>
      </sheetData>
      <sheetData sheetId="6535">
        <row r="4">
          <cell r="A4" t="str">
            <v>BẢNG TÍNH TOÁN, ĐO BÓC KHỐI LƯỢNG HOÀN THÀNH ĐƯA VÀO QUYẾT TOÁN</v>
          </cell>
        </row>
      </sheetData>
      <sheetData sheetId="6536">
        <row r="4">
          <cell r="A4" t="str">
            <v>BẢNG TÍNH TOÁN, ĐO BÓC KHỐI LƯỢNG HOÀN THÀNH ĐƯA VÀO QUYẾT TOÁN</v>
          </cell>
        </row>
      </sheetData>
      <sheetData sheetId="6537">
        <row r="4">
          <cell r="A4" t="str">
            <v>BẢNG TÍNH TOÁN, ĐO BÓC KHỐI LƯỢNG HOÀN THÀNH ĐƯA VÀO QUYẾT TOÁN</v>
          </cell>
        </row>
      </sheetData>
      <sheetData sheetId="6538">
        <row r="4">
          <cell r="A4" t="str">
            <v>BẢNG TÍNH TOÁN, ĐO BÓC KHỐI LƯỢNG HOÀN THÀNH ĐƯA VÀO QUYẾT TOÁN</v>
          </cell>
        </row>
      </sheetData>
      <sheetData sheetId="6539">
        <row r="4">
          <cell r="A4" t="str">
            <v>BẢNG TÍNH TOÁN, ĐO BÓC KHỐI LƯỢNG HOÀN THÀNH ĐƯA VÀO QUYẾT TOÁN</v>
          </cell>
        </row>
      </sheetData>
      <sheetData sheetId="6540">
        <row r="4">
          <cell r="A4" t="str">
            <v>BẢNG TÍNH TOÁN, ĐO BÓC KHỐI LƯỢNG HOÀN THÀNH ĐƯA VÀO QUYẾT TOÁN</v>
          </cell>
        </row>
      </sheetData>
      <sheetData sheetId="6541">
        <row r="4">
          <cell r="A4" t="str">
            <v>BẢNG TÍNH TOÁN, ĐO BÓC KHỐI LƯỢNG HOÀN THÀNH ĐƯA VÀO QUYẾT TOÁN</v>
          </cell>
        </row>
      </sheetData>
      <sheetData sheetId="6542">
        <row r="4">
          <cell r="A4" t="str">
            <v>BẢNG TÍNH TOÁN, ĐO BÓC KHỐI LƯỢNG HOÀN THÀNH ĐƯA VÀO QUYẾT TOÁN</v>
          </cell>
        </row>
      </sheetData>
      <sheetData sheetId="6543">
        <row r="4">
          <cell r="A4" t="str">
            <v>BẢNG TÍNH TOÁN, ĐO BÓC KHỐI LƯỢNG HOÀN THÀNH ĐƯA VÀO QUYẾT TOÁN</v>
          </cell>
        </row>
      </sheetData>
      <sheetData sheetId="6544">
        <row r="4">
          <cell r="A4" t="str">
            <v>BẢNG TÍNH TOÁN, ĐO BÓC KHỐI LƯỢNG HOÀN THÀNH ĐƯA VÀO QUYẾT TOÁN</v>
          </cell>
        </row>
      </sheetData>
      <sheetData sheetId="6545">
        <row r="4">
          <cell r="A4" t="str">
            <v>BẢNG TÍNH TOÁN, ĐO BÓC KHỐI LƯỢNG HOÀN THÀNH ĐƯA VÀO QUYẾT TOÁN</v>
          </cell>
        </row>
      </sheetData>
      <sheetData sheetId="6546">
        <row r="4">
          <cell r="A4" t="str">
            <v>BẢNG TÍNH TOÁN, ĐO BÓC KHỐI LƯỢNG HOÀN THÀNH ĐƯA VÀO QUYẾT TOÁN</v>
          </cell>
        </row>
      </sheetData>
      <sheetData sheetId="6547">
        <row r="4">
          <cell r="A4" t="str">
            <v>BẢNG TÍNH TOÁN, ĐO BÓC KHỐI LƯỢNG HOÀN THÀNH ĐƯA VÀO QUYẾT TOÁN</v>
          </cell>
        </row>
      </sheetData>
      <sheetData sheetId="6548">
        <row r="4">
          <cell r="A4" t="str">
            <v>BẢNG TÍNH TOÁN, ĐO BÓC KHỐI LƯỢNG HOÀN THÀNH ĐƯA VÀO QUYẾT TOÁN</v>
          </cell>
        </row>
      </sheetData>
      <sheetData sheetId="6549">
        <row r="4">
          <cell r="A4" t="str">
            <v>BẢNG TÍNH TOÁN, ĐO BÓC KHỐI LƯỢNG HOÀN THÀNH ĐƯA VÀO QUYẾT TOÁN</v>
          </cell>
        </row>
      </sheetData>
      <sheetData sheetId="6550">
        <row r="4">
          <cell r="A4" t="str">
            <v>BẢNG TÍNH TOÁN, ĐO BÓC KHỐI LƯỢNG HOÀN THÀNH ĐƯA VÀO QUYẾT TOÁN</v>
          </cell>
        </row>
      </sheetData>
      <sheetData sheetId="6551">
        <row r="4">
          <cell r="A4" t="str">
            <v>BẢNG TÍNH TOÁN, ĐO BÓC KHỐI LƯỢNG HOÀN THÀNH ĐƯA VÀO QUYẾT TOÁN</v>
          </cell>
        </row>
      </sheetData>
      <sheetData sheetId="6552">
        <row r="4">
          <cell r="A4" t="str">
            <v>BẢNG TÍNH TOÁN, ĐO BÓC KHỐI LƯỢNG HOÀN THÀNH ĐƯA VÀO QUYẾT TOÁN</v>
          </cell>
        </row>
      </sheetData>
      <sheetData sheetId="6553">
        <row r="4">
          <cell r="A4" t="str">
            <v>BẢNG TÍNH TOÁN, ĐO BÓC KHỐI LƯỢNG HOÀN THÀNH ĐƯA VÀO QUYẾT TOÁN</v>
          </cell>
        </row>
      </sheetData>
      <sheetData sheetId="6554">
        <row r="4">
          <cell r="A4" t="str">
            <v>BẢNG TÍNH TOÁN, ĐO BÓC KHỐI LƯỢNG HOÀN THÀNH ĐƯA VÀO QUYẾT TOÁN</v>
          </cell>
        </row>
      </sheetData>
      <sheetData sheetId="6555">
        <row r="4">
          <cell r="A4" t="str">
            <v>BẢNG TÍNH TOÁN, ĐO BÓC KHỐI LƯỢNG HOÀN THÀNH ĐƯA VÀO QUYẾT TOÁN</v>
          </cell>
        </row>
      </sheetData>
      <sheetData sheetId="6556">
        <row r="4">
          <cell r="A4" t="str">
            <v>BẢNG TÍNH TOÁN, ĐO BÓC KHỐI LƯỢNG HOÀN THÀNH ĐƯA VÀO QUYẾT TOÁN</v>
          </cell>
        </row>
      </sheetData>
      <sheetData sheetId="6557">
        <row r="4">
          <cell r="A4" t="str">
            <v>BẢNG TÍNH TOÁN, ĐO BÓC KHỐI LƯỢNG HOÀN THÀNH ĐƯA VÀO QUYẾT TOÁN</v>
          </cell>
        </row>
      </sheetData>
      <sheetData sheetId="6558">
        <row r="4">
          <cell r="A4" t="str">
            <v>BẢNG TÍNH TOÁN, ĐO BÓC KHỐI LƯỢNG HOÀN THÀNH ĐƯA VÀO QUYẾT TOÁN</v>
          </cell>
        </row>
      </sheetData>
      <sheetData sheetId="6559">
        <row r="4">
          <cell r="A4" t="str">
            <v>BẢNG TÍNH TOÁN, ĐO BÓC KHỐI LƯỢNG HOÀN THÀNH ĐƯA VÀO QUYẾT TOÁN</v>
          </cell>
        </row>
      </sheetData>
      <sheetData sheetId="6560">
        <row r="4">
          <cell r="A4" t="str">
            <v>BẢNG TÍNH TOÁN, ĐO BÓC KHỐI LƯỢNG HOÀN THÀNH ĐƯA VÀO QUYẾT TOÁN</v>
          </cell>
        </row>
      </sheetData>
      <sheetData sheetId="6561">
        <row r="4">
          <cell r="A4" t="str">
            <v>BẢNG TÍNH TOÁN, ĐO BÓC KHỐI LƯỢNG HOÀN THÀNH ĐƯA VÀO QUYẾT TOÁN</v>
          </cell>
        </row>
      </sheetData>
      <sheetData sheetId="6562">
        <row r="4">
          <cell r="A4" t="str">
            <v>BẢNG TÍNH TOÁN, ĐO BÓC KHỐI LƯỢNG HOÀN THÀNH ĐƯA VÀO QUYẾT TOÁN</v>
          </cell>
        </row>
      </sheetData>
      <sheetData sheetId="6563">
        <row r="4">
          <cell r="A4" t="str">
            <v>BẢNG TÍNH TOÁN, ĐO BÓC KHỐI LƯỢNG HOÀN THÀNH ĐƯA VÀO QUYẾT TOÁN</v>
          </cell>
        </row>
      </sheetData>
      <sheetData sheetId="6564">
        <row r="4">
          <cell r="A4" t="str">
            <v>BẢNG TÍNH TOÁN, ĐO BÓC KHỐI LƯỢNG HOÀN THÀNH ĐƯA VÀO QUYẾT TOÁN</v>
          </cell>
        </row>
      </sheetData>
      <sheetData sheetId="6565">
        <row r="4">
          <cell r="A4" t="str">
            <v>BẢNG TÍNH TOÁN, ĐO BÓC KHỐI LƯỢNG HOÀN THÀNH ĐƯA VÀO QUYẾT TOÁN</v>
          </cell>
        </row>
      </sheetData>
      <sheetData sheetId="6566">
        <row r="4">
          <cell r="A4" t="str">
            <v>BẢNG TÍNH TOÁN, ĐO BÓC KHỐI LƯỢNG HOÀN THÀNH ĐƯA VÀO QUYẾT TOÁN</v>
          </cell>
        </row>
      </sheetData>
      <sheetData sheetId="6567">
        <row r="4">
          <cell r="A4" t="str">
            <v>BẢNG TÍNH TOÁN, ĐO BÓC KHỐI LƯỢNG HOÀN THÀNH ĐƯA VÀO QUYẾT TOÁN</v>
          </cell>
        </row>
      </sheetData>
      <sheetData sheetId="6568">
        <row r="4">
          <cell r="A4" t="str">
            <v>BẢNG TÍNH TOÁN, ĐO BÓC KHỐI LƯỢNG HOÀN THÀNH ĐƯA VÀO QUYẾT TOÁN</v>
          </cell>
        </row>
      </sheetData>
      <sheetData sheetId="6569">
        <row r="4">
          <cell r="A4" t="str">
            <v>BẢNG TÍNH TOÁN, ĐO BÓC KHỐI LƯỢNG HOÀN THÀNH ĐƯA VÀO QUYẾT TOÁN</v>
          </cell>
        </row>
      </sheetData>
      <sheetData sheetId="6570">
        <row r="4">
          <cell r="A4" t="str">
            <v>BẢNG TÍNH TOÁN, ĐO BÓC KHỐI LƯỢNG HOÀN THÀNH ĐƯA VÀO QUYẾT TOÁN</v>
          </cell>
        </row>
      </sheetData>
      <sheetData sheetId="6571">
        <row r="4">
          <cell r="A4" t="str">
            <v>BẢNG TÍNH TOÁN, ĐO BÓC KHỐI LƯỢNG HOÀN THÀNH ĐƯA VÀO QUYẾT TOÁN</v>
          </cell>
        </row>
      </sheetData>
      <sheetData sheetId="6572">
        <row r="4">
          <cell r="A4" t="str">
            <v>BẢNG TÍNH TOÁN, ĐO BÓC KHỐI LƯỢNG HOÀN THÀNH ĐƯA VÀO QUYẾT TOÁN</v>
          </cell>
        </row>
      </sheetData>
      <sheetData sheetId="6573">
        <row r="4">
          <cell r="A4" t="str">
            <v>BẢNG TÍNH TOÁN, ĐO BÓC KHỐI LƯỢNG HOÀN THÀNH ĐƯA VÀO QUYẾT TOÁN</v>
          </cell>
        </row>
      </sheetData>
      <sheetData sheetId="6574">
        <row r="4">
          <cell r="A4" t="str">
            <v>BẢNG TÍNH TOÁN, ĐO BÓC KHỐI LƯỢNG HOÀN THÀNH ĐƯA VÀO QUYẾT TOÁN</v>
          </cell>
        </row>
      </sheetData>
      <sheetData sheetId="6575">
        <row r="4">
          <cell r="A4" t="str">
            <v>BẢNG TÍNH TOÁN, ĐO BÓC KHỐI LƯỢNG HOÀN THÀNH ĐƯA VÀO QUYẾT TOÁN</v>
          </cell>
        </row>
      </sheetData>
      <sheetData sheetId="6576">
        <row r="4">
          <cell r="A4" t="str">
            <v>BẢNG TÍNH TOÁN, ĐO BÓC KHỐI LƯỢNG HOÀN THÀNH ĐƯA VÀO QUYẾT TOÁN</v>
          </cell>
        </row>
      </sheetData>
      <sheetData sheetId="6577">
        <row r="4">
          <cell r="A4" t="str">
            <v>BẢNG TÍNH TOÁN, ĐO BÓC KHỐI LƯỢNG HOÀN THÀNH ĐƯA VÀO QUYẾT TOÁN</v>
          </cell>
        </row>
      </sheetData>
      <sheetData sheetId="6578">
        <row r="4">
          <cell r="A4" t="str">
            <v>BẢNG TÍNH TOÁN, ĐO BÓC KHỐI LƯỢNG HOÀN THÀNH ĐƯA VÀO QUYẾT TOÁN</v>
          </cell>
        </row>
      </sheetData>
      <sheetData sheetId="6579">
        <row r="4">
          <cell r="A4" t="str">
            <v>BẢNG TÍNH TOÁN, ĐO BÓC KHỐI LƯỢNG HOÀN THÀNH ĐƯA VÀO QUYẾT TOÁN</v>
          </cell>
        </row>
      </sheetData>
      <sheetData sheetId="6580">
        <row r="4">
          <cell r="A4" t="str">
            <v>BẢNG TÍNH TOÁN, ĐO BÓC KHỐI LƯỢNG HOÀN THÀNH ĐƯA VÀO QUYẾT TOÁN</v>
          </cell>
        </row>
      </sheetData>
      <sheetData sheetId="6581">
        <row r="4">
          <cell r="A4" t="str">
            <v>BẢNG TÍNH TOÁN, ĐO BÓC KHỐI LƯỢNG HOÀN THÀNH ĐƯA VÀO QUYẾT TOÁN</v>
          </cell>
        </row>
      </sheetData>
      <sheetData sheetId="6582">
        <row r="4">
          <cell r="A4" t="str">
            <v>BẢNG TÍNH TOÁN, ĐO BÓC KHỐI LƯỢNG HOÀN THÀNH ĐƯA VÀO QUYẾT TOÁN</v>
          </cell>
        </row>
      </sheetData>
      <sheetData sheetId="6583">
        <row r="4">
          <cell r="A4" t="str">
            <v>BẢNG TÍNH TOÁN, ĐO BÓC KHỐI LƯỢNG HOÀN THÀNH ĐƯA VÀO QUYẾT TOÁN</v>
          </cell>
        </row>
      </sheetData>
      <sheetData sheetId="6584">
        <row r="4">
          <cell r="A4" t="str">
            <v>BẢNG TÍNH TOÁN, ĐO BÓC KHỐI LƯỢNG HOÀN THÀNH ĐƯA VÀO QUYẾT TOÁN</v>
          </cell>
        </row>
      </sheetData>
      <sheetData sheetId="6585">
        <row r="4">
          <cell r="A4" t="str">
            <v>BẢNG TÍNH TOÁN, ĐO BÓC KHỐI LƯỢNG HOÀN THÀNH ĐƯA VÀO QUYẾT TOÁN</v>
          </cell>
        </row>
      </sheetData>
      <sheetData sheetId="6586">
        <row r="4">
          <cell r="A4" t="str">
            <v>BẢNG TÍNH TOÁN, ĐO BÓC KHỐI LƯỢNG HOÀN THÀNH ĐƯA VÀO QUYẾT TOÁN</v>
          </cell>
        </row>
      </sheetData>
      <sheetData sheetId="6587">
        <row r="4">
          <cell r="A4" t="str">
            <v>BẢNG TÍNH TOÁN, ĐO BÓC KHỐI LƯỢNG HOÀN THÀNH ĐƯA VÀO QUYẾT TOÁN</v>
          </cell>
        </row>
      </sheetData>
      <sheetData sheetId="6588">
        <row r="4">
          <cell r="A4" t="str">
            <v>BẢNG TÍNH TOÁN, ĐO BÓC KHỐI LƯỢNG HOÀN THÀNH ĐƯA VÀO QUYẾT TOÁN</v>
          </cell>
        </row>
      </sheetData>
      <sheetData sheetId="6589">
        <row r="4">
          <cell r="A4" t="str">
            <v>BẢNG TÍNH TOÁN, ĐO BÓC KHỐI LƯỢNG HOÀN THÀNH ĐƯA VÀO QUYẾT TOÁN</v>
          </cell>
        </row>
      </sheetData>
      <sheetData sheetId="6590">
        <row r="4">
          <cell r="A4" t="str">
            <v>BẢNG TÍNH TOÁN, ĐO BÓC KHỐI LƯỢNG HOÀN THÀNH ĐƯA VÀO QUYẾT TOÁN</v>
          </cell>
        </row>
      </sheetData>
      <sheetData sheetId="6591">
        <row r="4">
          <cell r="A4" t="str">
            <v>BẢNG TÍNH TOÁN, ĐO BÓC KHỐI LƯỢNG HOÀN THÀNH ĐƯA VÀO QUYẾT TOÁN</v>
          </cell>
        </row>
      </sheetData>
      <sheetData sheetId="6592">
        <row r="4">
          <cell r="A4" t="str">
            <v>BẢNG TÍNH TOÁN, ĐO BÓC KHỐI LƯỢNG HOÀN THÀNH ĐƯA VÀO QUYẾT TOÁN</v>
          </cell>
        </row>
      </sheetData>
      <sheetData sheetId="6593">
        <row r="4">
          <cell r="A4" t="str">
            <v>BẢNG TÍNH TOÁN, ĐO BÓC KHỐI LƯỢNG HOÀN THÀNH ĐƯA VÀO QUYẾT TOÁN</v>
          </cell>
        </row>
      </sheetData>
      <sheetData sheetId="6594">
        <row r="4">
          <cell r="A4" t="str">
            <v>BẢNG TÍNH TOÁN, ĐO BÓC KHỐI LƯỢNG HOÀN THÀNH ĐƯA VÀO QUYẾT TOÁN</v>
          </cell>
        </row>
      </sheetData>
      <sheetData sheetId="6595">
        <row r="4">
          <cell r="A4" t="str">
            <v>BẢNG TÍNH TOÁN, ĐO BÓC KHỐI LƯỢNG HOÀN THÀNH ĐƯA VÀO QUYẾT TOÁN</v>
          </cell>
        </row>
      </sheetData>
      <sheetData sheetId="6596">
        <row r="4">
          <cell r="A4" t="str">
            <v>BẢNG TÍNH TOÁN, ĐO BÓC KHỐI LƯỢNG HOÀN THÀNH ĐƯA VÀO QUYẾT TOÁN</v>
          </cell>
        </row>
      </sheetData>
      <sheetData sheetId="6597">
        <row r="4">
          <cell r="A4" t="str">
            <v>BẢNG TÍNH TOÁN, ĐO BÓC KHỐI LƯỢNG HOÀN THÀNH ĐƯA VÀO QUYẾT TOÁN</v>
          </cell>
        </row>
      </sheetData>
      <sheetData sheetId="6598">
        <row r="4">
          <cell r="A4" t="str">
            <v>BẢNG TÍNH TOÁN, ĐO BÓC KHỐI LƯỢNG HOÀN THÀNH ĐƯA VÀO QUYẾT TOÁN</v>
          </cell>
        </row>
      </sheetData>
      <sheetData sheetId="6599">
        <row r="4">
          <cell r="A4" t="str">
            <v>BẢNG TÍNH TOÁN, ĐO BÓC KHỐI LƯỢNG HOÀN THÀNH ĐƯA VÀO QUYẾT TOÁN</v>
          </cell>
        </row>
      </sheetData>
      <sheetData sheetId="6600">
        <row r="4">
          <cell r="A4" t="str">
            <v>BẢNG TÍNH TOÁN, ĐO BÓC KHỐI LƯỢNG HOÀN THÀNH ĐƯA VÀO QUYẾT TOÁN</v>
          </cell>
        </row>
      </sheetData>
      <sheetData sheetId="6601">
        <row r="4">
          <cell r="A4" t="str">
            <v>BẢNG TÍNH TOÁN, ĐO BÓC KHỐI LƯỢNG HOÀN THÀNH ĐƯA VÀO QUYẾT TOÁN</v>
          </cell>
        </row>
      </sheetData>
      <sheetData sheetId="6602">
        <row r="4">
          <cell r="A4" t="str">
            <v>BẢNG TÍNH TOÁN, ĐO BÓC KHỐI LƯỢNG HOÀN THÀNH ĐƯA VÀO QUYẾT TOÁN</v>
          </cell>
        </row>
      </sheetData>
      <sheetData sheetId="6603">
        <row r="4">
          <cell r="A4" t="str">
            <v>BẢNG TÍNH TOÁN, ĐO BÓC KHỐI LƯỢNG HOÀN THÀNH ĐƯA VÀO QUYẾT TOÁN</v>
          </cell>
        </row>
      </sheetData>
      <sheetData sheetId="6604">
        <row r="4">
          <cell r="A4" t="str">
            <v>BẢNG TÍNH TOÁN, ĐO BÓC KHỐI LƯỢNG HOÀN THÀNH ĐƯA VÀO QUYẾT TOÁN</v>
          </cell>
        </row>
      </sheetData>
      <sheetData sheetId="6605">
        <row r="4">
          <cell r="A4" t="str">
            <v>BẢNG TÍNH TOÁN, ĐO BÓC KHỐI LƯỢNG HOÀN THÀNH ĐƯA VÀO QUYẾT TOÁN</v>
          </cell>
        </row>
      </sheetData>
      <sheetData sheetId="6606">
        <row r="4">
          <cell r="A4" t="str">
            <v>BẢNG TÍNH TOÁN, ĐO BÓC KHỐI LƯỢNG HOÀN THÀNH ĐƯA VÀO QUYẾT TOÁN</v>
          </cell>
        </row>
      </sheetData>
      <sheetData sheetId="6607">
        <row r="4">
          <cell r="A4" t="str">
            <v>BẢNG TÍNH TOÁN, ĐO BÓC KHỐI LƯỢNG HOÀN THÀNH ĐƯA VÀO QUYẾT TOÁN</v>
          </cell>
        </row>
      </sheetData>
      <sheetData sheetId="6608">
        <row r="4">
          <cell r="A4" t="str">
            <v>BẢNG TÍNH TOÁN, ĐO BÓC KHỐI LƯỢNG HOÀN THÀNH ĐƯA VÀO QUYẾT TOÁN</v>
          </cell>
        </row>
      </sheetData>
      <sheetData sheetId="6609">
        <row r="4">
          <cell r="A4" t="str">
            <v>BẢNG TÍNH TOÁN, ĐO BÓC KHỐI LƯỢNG HOÀN THÀNH ĐƯA VÀO QUYẾT TOÁN</v>
          </cell>
        </row>
      </sheetData>
      <sheetData sheetId="6610">
        <row r="4">
          <cell r="A4" t="str">
            <v>BẢNG TÍNH TOÁN, ĐO BÓC KHỐI LƯỢNG HOÀN THÀNH ĐƯA VÀO QUYẾT TOÁN</v>
          </cell>
        </row>
      </sheetData>
      <sheetData sheetId="6611">
        <row r="4">
          <cell r="A4" t="str">
            <v>BẢNG TÍNH TOÁN, ĐO BÓC KHỐI LƯỢNG HOÀN THÀNH ĐƯA VÀO QUYẾT TOÁN</v>
          </cell>
        </row>
      </sheetData>
      <sheetData sheetId="6612">
        <row r="4">
          <cell r="A4" t="str">
            <v>BẢNG TÍNH TOÁN, ĐO BÓC KHỐI LƯỢNG HOÀN THÀNH ĐƯA VÀO QUYẾT TOÁN</v>
          </cell>
        </row>
      </sheetData>
      <sheetData sheetId="6613">
        <row r="4">
          <cell r="A4" t="str">
            <v>BẢNG TÍNH TOÁN, ĐO BÓC KHỐI LƯỢNG HOÀN THÀNH ĐƯA VÀO QUYẾT TOÁN</v>
          </cell>
        </row>
      </sheetData>
      <sheetData sheetId="6614">
        <row r="4">
          <cell r="A4" t="str">
            <v>BẢNG TÍNH TOÁN, ĐO BÓC KHỐI LƯỢNG HOÀN THÀNH ĐƯA VÀO QUYẾT TOÁN</v>
          </cell>
        </row>
      </sheetData>
      <sheetData sheetId="6615">
        <row r="4">
          <cell r="A4" t="str">
            <v>BẢNG TÍNH TOÁN, ĐO BÓC KHỐI LƯỢNG HOÀN THÀNH ĐƯA VÀO QUYẾT TOÁN</v>
          </cell>
        </row>
      </sheetData>
      <sheetData sheetId="6616">
        <row r="4">
          <cell r="A4" t="str">
            <v>BẢNG TÍNH TOÁN, ĐO BÓC KHỐI LƯỢNG HOÀN THÀNH ĐƯA VÀO QUYẾT TOÁN</v>
          </cell>
        </row>
      </sheetData>
      <sheetData sheetId="6617">
        <row r="4">
          <cell r="A4" t="str">
            <v>BẢNG TÍNH TOÁN, ĐO BÓC KHỐI LƯỢNG HOÀN THÀNH ĐƯA VÀO QUYẾT TOÁN</v>
          </cell>
        </row>
      </sheetData>
      <sheetData sheetId="6618">
        <row r="4">
          <cell r="A4" t="str">
            <v>BẢNG TÍNH TOÁN, ĐO BÓC KHỐI LƯỢNG HOÀN THÀNH ĐƯA VÀO QUYẾT TOÁN</v>
          </cell>
        </row>
      </sheetData>
      <sheetData sheetId="6619">
        <row r="4">
          <cell r="A4" t="str">
            <v>BẢNG TÍNH TOÁN, ĐO BÓC KHỐI LƯỢNG HOÀN THÀNH ĐƯA VÀO QUYẾT TOÁN</v>
          </cell>
        </row>
      </sheetData>
      <sheetData sheetId="6620">
        <row r="4">
          <cell r="A4" t="str">
            <v>BẢNG TÍNH TOÁN, ĐO BÓC KHỐI LƯỢNG HOÀN THÀNH ĐƯA VÀO QUYẾT TOÁN</v>
          </cell>
        </row>
      </sheetData>
      <sheetData sheetId="6621">
        <row r="4">
          <cell r="A4" t="str">
            <v>BẢNG TÍNH TOÁN, ĐO BÓC KHỐI LƯỢNG HOÀN THÀNH ĐƯA VÀO QUYẾT TOÁN</v>
          </cell>
        </row>
      </sheetData>
      <sheetData sheetId="6622">
        <row r="4">
          <cell r="A4" t="str">
            <v>BẢNG TÍNH TOÁN, ĐO BÓC KHỐI LƯỢNG HOÀN THÀNH ĐƯA VÀO QUYẾT TOÁN</v>
          </cell>
        </row>
      </sheetData>
      <sheetData sheetId="6623">
        <row r="4">
          <cell r="A4" t="str">
            <v>BẢNG TÍNH TOÁN, ĐO BÓC KHỐI LƯỢNG HOÀN THÀNH ĐƯA VÀO QUYẾT TOÁN</v>
          </cell>
        </row>
      </sheetData>
      <sheetData sheetId="6624">
        <row r="4">
          <cell r="A4" t="str">
            <v>BẢNG TÍNH TOÁN, ĐO BÓC KHỐI LƯỢNG HOÀN THÀNH ĐƯA VÀO QUYẾT TOÁN</v>
          </cell>
        </row>
      </sheetData>
      <sheetData sheetId="6625">
        <row r="4">
          <cell r="A4" t="str">
            <v>BẢNG TÍNH TOÁN, ĐO BÓC KHỐI LƯỢNG HOÀN THÀNH ĐƯA VÀO QUYẾT TOÁN</v>
          </cell>
        </row>
      </sheetData>
      <sheetData sheetId="6626">
        <row r="4">
          <cell r="A4" t="str">
            <v>BẢNG TÍNH TOÁN, ĐO BÓC KHỐI LƯỢNG HOÀN THÀNH ĐƯA VÀO QUYẾT TOÁN</v>
          </cell>
        </row>
      </sheetData>
      <sheetData sheetId="6627">
        <row r="4">
          <cell r="A4" t="str">
            <v>BẢNG TÍNH TOÁN, ĐO BÓC KHỐI LƯỢNG HOÀN THÀNH ĐƯA VÀO QUYẾT TOÁN</v>
          </cell>
        </row>
      </sheetData>
      <sheetData sheetId="6628">
        <row r="4">
          <cell r="A4" t="str">
            <v>BẢNG TÍNH TOÁN, ĐO BÓC KHỐI LƯỢNG HOÀN THÀNH ĐƯA VÀO QUYẾT TOÁN</v>
          </cell>
        </row>
      </sheetData>
      <sheetData sheetId="6629">
        <row r="4">
          <cell r="A4" t="str">
            <v>BẢNG TÍNH TOÁN, ĐO BÓC KHỐI LƯỢNG HOÀN THÀNH ĐƯA VÀO QUYẾT TOÁN</v>
          </cell>
        </row>
      </sheetData>
      <sheetData sheetId="6630">
        <row r="4">
          <cell r="A4" t="str">
            <v>BẢNG TÍNH TOÁN, ĐO BÓC KHỐI LƯỢNG HOÀN THÀNH ĐƯA VÀO QUYẾT TOÁN</v>
          </cell>
        </row>
      </sheetData>
      <sheetData sheetId="6631">
        <row r="4">
          <cell r="A4" t="str">
            <v>BẢNG TÍNH TOÁN, ĐO BÓC KHỐI LƯỢNG HOÀN THÀNH ĐƯA VÀO QUYẾT TOÁN</v>
          </cell>
        </row>
      </sheetData>
      <sheetData sheetId="6632">
        <row r="4">
          <cell r="A4" t="str">
            <v>BẢNG TÍNH TOÁN, ĐO BÓC KHỐI LƯỢNG HOÀN THÀNH ĐƯA VÀO QUYẾT TOÁN</v>
          </cell>
        </row>
      </sheetData>
      <sheetData sheetId="6633">
        <row r="4">
          <cell r="A4" t="str">
            <v>BẢNG TÍNH TOÁN, ĐO BÓC KHỐI LƯỢNG HOÀN THÀNH ĐƯA VÀO QUYẾT TOÁN</v>
          </cell>
        </row>
      </sheetData>
      <sheetData sheetId="6634">
        <row r="4">
          <cell r="A4" t="str">
            <v>BẢNG TÍNH TOÁN, ĐO BÓC KHỐI LƯỢNG HOÀN THÀNH ĐƯA VÀO QUYẾT TOÁN</v>
          </cell>
        </row>
      </sheetData>
      <sheetData sheetId="6635">
        <row r="4">
          <cell r="A4" t="str">
            <v>BẢNG TÍNH TOÁN, ĐO BÓC KHỐI LƯỢNG HOÀN THÀNH ĐƯA VÀO QUYẾT TOÁN</v>
          </cell>
        </row>
      </sheetData>
      <sheetData sheetId="6636">
        <row r="4">
          <cell r="A4" t="str">
            <v>BẢNG TÍNH TOÁN, ĐO BÓC KHỐI LƯỢNG HOÀN THÀNH ĐƯA VÀO QUYẾT TOÁN</v>
          </cell>
        </row>
      </sheetData>
      <sheetData sheetId="6637">
        <row r="4">
          <cell r="A4" t="str">
            <v>BẢNG TÍNH TOÁN, ĐO BÓC KHỐI LƯỢNG HOÀN THÀNH ĐƯA VÀO QUYẾT TOÁN</v>
          </cell>
        </row>
      </sheetData>
      <sheetData sheetId="6638">
        <row r="4">
          <cell r="A4" t="str">
            <v>BẢNG TÍNH TOÁN, ĐO BÓC KHỐI LƯỢNG HOÀN THÀNH ĐƯA VÀO QUYẾT TOÁN</v>
          </cell>
        </row>
      </sheetData>
      <sheetData sheetId="6639">
        <row r="4">
          <cell r="A4" t="str">
            <v>BẢNG TÍNH TOÁN, ĐO BÓC KHỐI LƯỢNG HOÀN THÀNH ĐƯA VÀO QUYẾT TOÁN</v>
          </cell>
        </row>
      </sheetData>
      <sheetData sheetId="6640">
        <row r="4">
          <cell r="A4" t="str">
            <v>BẢNG TÍNH TOÁN, ĐO BÓC KHỐI LƯỢNG HOÀN THÀNH ĐƯA VÀO QUYẾT TOÁN</v>
          </cell>
        </row>
      </sheetData>
      <sheetData sheetId="6641">
        <row r="4">
          <cell r="A4" t="str">
            <v>BẢNG TÍNH TOÁN, ĐO BÓC KHỐI LƯỢNG HOÀN THÀNH ĐƯA VÀO QUYẾT TOÁN</v>
          </cell>
        </row>
      </sheetData>
      <sheetData sheetId="6642">
        <row r="4">
          <cell r="A4" t="str">
            <v>BẢNG TÍNH TOÁN, ĐO BÓC KHỐI LƯỢNG HOÀN THÀNH ĐƯA VÀO QUYẾT TOÁN</v>
          </cell>
        </row>
      </sheetData>
      <sheetData sheetId="6643">
        <row r="4">
          <cell r="A4" t="str">
            <v>BẢNG TÍNH TOÁN, ĐO BÓC KHỐI LƯỢNG HOÀN THÀNH ĐƯA VÀO QUYẾT TOÁN</v>
          </cell>
        </row>
      </sheetData>
      <sheetData sheetId="6644">
        <row r="4">
          <cell r="A4" t="str">
            <v>BẢNG TÍNH TOÁN, ĐO BÓC KHỐI LƯỢNG HOÀN THÀNH ĐƯA VÀO QUYẾT TOÁN</v>
          </cell>
        </row>
      </sheetData>
      <sheetData sheetId="6645">
        <row r="4">
          <cell r="A4" t="str">
            <v>BẢNG TÍNH TOÁN, ĐO BÓC KHỐI LƯỢNG HOÀN THÀNH ĐƯA VÀO QUYẾT TOÁN</v>
          </cell>
        </row>
      </sheetData>
      <sheetData sheetId="6646">
        <row r="4">
          <cell r="A4" t="str">
            <v>BẢNG TÍNH TOÁN, ĐO BÓC KHỐI LƯỢNG HOÀN THÀNH ĐƯA VÀO QUYẾT TOÁN</v>
          </cell>
        </row>
      </sheetData>
      <sheetData sheetId="6647">
        <row r="4">
          <cell r="A4" t="str">
            <v>BẢNG TÍNH TOÁN, ĐO BÓC KHỐI LƯỢNG HOÀN THÀNH ĐƯA VÀO QUYẾT TOÁN</v>
          </cell>
        </row>
      </sheetData>
      <sheetData sheetId="6648">
        <row r="4">
          <cell r="A4" t="str">
            <v>BẢNG TÍNH TOÁN, ĐO BÓC KHỐI LƯỢNG HOÀN THÀNH ĐƯA VÀO QUYẾT TOÁN</v>
          </cell>
        </row>
      </sheetData>
      <sheetData sheetId="6649">
        <row r="4">
          <cell r="A4" t="str">
            <v>BẢNG TÍNH TOÁN, ĐO BÓC KHỐI LƯỢNG HOÀN THÀNH ĐƯA VÀO QUYẾT TOÁN</v>
          </cell>
        </row>
      </sheetData>
      <sheetData sheetId="6650">
        <row r="4">
          <cell r="A4" t="str">
            <v>BẢNG TÍNH TOÁN, ĐO BÓC KHỐI LƯỢNG HOÀN THÀNH ĐƯA VÀO QUYẾT TOÁN</v>
          </cell>
        </row>
      </sheetData>
      <sheetData sheetId="6651">
        <row r="4">
          <cell r="A4" t="str">
            <v>BẢNG TÍNH TOÁN, ĐO BÓC KHỐI LƯỢNG HOÀN THÀNH ĐƯA VÀO QUYẾT TOÁN</v>
          </cell>
        </row>
      </sheetData>
      <sheetData sheetId="6652">
        <row r="4">
          <cell r="A4" t="str">
            <v>BẢNG TÍNH TOÁN, ĐO BÓC KHỐI LƯỢNG HOÀN THÀNH ĐƯA VÀO QUYẾT TOÁN</v>
          </cell>
        </row>
      </sheetData>
      <sheetData sheetId="6653">
        <row r="4">
          <cell r="A4" t="str">
            <v>BẢNG TÍNH TOÁN, ĐO BÓC KHỐI LƯỢNG HOÀN THÀNH ĐƯA VÀO QUYẾT TOÁN</v>
          </cell>
        </row>
      </sheetData>
      <sheetData sheetId="6654">
        <row r="4">
          <cell r="A4" t="str">
            <v>BẢNG TÍNH TOÁN, ĐO BÓC KHỐI LƯỢNG HOÀN THÀNH ĐƯA VÀO QUYẾT TOÁN</v>
          </cell>
        </row>
      </sheetData>
      <sheetData sheetId="6655">
        <row r="4">
          <cell r="A4" t="str">
            <v>BẢNG TÍNH TOÁN, ĐO BÓC KHỐI LƯỢNG HOÀN THÀNH ĐƯA VÀO QUYẾT TOÁN</v>
          </cell>
        </row>
      </sheetData>
      <sheetData sheetId="6656">
        <row r="4">
          <cell r="A4" t="str">
            <v>BẢNG TÍNH TOÁN, ĐO BÓC KHỐI LƯỢNG HOÀN THÀNH ĐƯA VÀO QUYẾT TOÁN</v>
          </cell>
        </row>
      </sheetData>
      <sheetData sheetId="6657">
        <row r="4">
          <cell r="A4" t="str">
            <v>BẢNG TÍNH TOÁN, ĐO BÓC KHỐI LƯỢNG HOÀN THÀNH ĐƯA VÀO QUYẾT TOÁN</v>
          </cell>
        </row>
      </sheetData>
      <sheetData sheetId="6658">
        <row r="4">
          <cell r="A4" t="str">
            <v>BẢNG TÍNH TOÁN, ĐO BÓC KHỐI LƯỢNG HOÀN THÀNH ĐƯA VÀO QUYẾT TOÁN</v>
          </cell>
        </row>
      </sheetData>
      <sheetData sheetId="6659">
        <row r="4">
          <cell r="A4" t="str">
            <v>BẢNG TÍNH TOÁN, ĐO BÓC KHỐI LƯỢNG HOÀN THÀNH ĐƯA VÀO QUYẾT TOÁN</v>
          </cell>
        </row>
      </sheetData>
      <sheetData sheetId="6660">
        <row r="4">
          <cell r="A4" t="str">
            <v>BẢNG TÍNH TOÁN, ĐO BÓC KHỐI LƯỢNG HOÀN THÀNH ĐƯA VÀO QUYẾT TOÁN</v>
          </cell>
        </row>
      </sheetData>
      <sheetData sheetId="6661">
        <row r="4">
          <cell r="A4" t="str">
            <v>BẢNG TÍNH TOÁN, ĐO BÓC KHỐI LƯỢNG HOÀN THÀNH ĐƯA VÀO QUYẾT TOÁN</v>
          </cell>
        </row>
      </sheetData>
      <sheetData sheetId="6662">
        <row r="4">
          <cell r="A4" t="str">
            <v>BẢNG TÍNH TOÁN, ĐO BÓC KHỐI LƯỢNG HOÀN THÀNH ĐƯA VÀO QUYẾT TOÁN</v>
          </cell>
        </row>
      </sheetData>
      <sheetData sheetId="6663">
        <row r="4">
          <cell r="A4" t="str">
            <v>BẢNG TÍNH TOÁN, ĐO BÓC KHỐI LƯỢNG HOÀN THÀNH ĐƯA VÀO QUYẾT TOÁN</v>
          </cell>
        </row>
      </sheetData>
      <sheetData sheetId="6664">
        <row r="4">
          <cell r="A4" t="str">
            <v>BẢNG TÍNH TOÁN, ĐO BÓC KHỐI LƯỢNG HOÀN THÀNH ĐƯA VÀO QUYẾT TOÁN</v>
          </cell>
        </row>
      </sheetData>
      <sheetData sheetId="6665">
        <row r="4">
          <cell r="A4" t="str">
            <v>BẢNG TÍNH TOÁN, ĐO BÓC KHỐI LƯỢNG HOÀN THÀNH ĐƯA VÀO QUYẾT TOÁN</v>
          </cell>
        </row>
      </sheetData>
      <sheetData sheetId="6666">
        <row r="4">
          <cell r="A4" t="str">
            <v>BẢNG TÍNH TOÁN, ĐO BÓC KHỐI LƯỢNG HOÀN THÀNH ĐƯA VÀO QUYẾT TOÁN</v>
          </cell>
        </row>
      </sheetData>
      <sheetData sheetId="6667">
        <row r="4">
          <cell r="A4" t="str">
            <v>BẢNG TÍNH TOÁN, ĐO BÓC KHỐI LƯỢNG HOÀN THÀNH ĐƯA VÀO QUYẾT TOÁN</v>
          </cell>
        </row>
      </sheetData>
      <sheetData sheetId="6668">
        <row r="4">
          <cell r="A4" t="str">
            <v>BẢNG TÍNH TOÁN, ĐO BÓC KHỐI LƯỢNG HOÀN THÀNH ĐƯA VÀO QUYẾT TOÁN</v>
          </cell>
        </row>
      </sheetData>
      <sheetData sheetId="6669">
        <row r="4">
          <cell r="A4" t="str">
            <v>BẢNG TÍNH TOÁN, ĐO BÓC KHỐI LƯỢNG HOÀN THÀNH ĐƯA VÀO QUYẾT TOÁN</v>
          </cell>
        </row>
      </sheetData>
      <sheetData sheetId="6670">
        <row r="4">
          <cell r="A4" t="str">
            <v>BẢNG TÍNH TOÁN, ĐO BÓC KHỐI LƯỢNG HOÀN THÀNH ĐƯA VÀO QUYẾT TOÁN</v>
          </cell>
        </row>
      </sheetData>
      <sheetData sheetId="6671">
        <row r="4">
          <cell r="A4" t="str">
            <v>BẢNG TÍNH TOÁN, ĐO BÓC KHỐI LƯỢNG HOÀN THÀNH ĐƯA VÀO QUYẾT TOÁN</v>
          </cell>
        </row>
      </sheetData>
      <sheetData sheetId="6672">
        <row r="4">
          <cell r="A4" t="str">
            <v>BẢNG TÍNH TOÁN, ĐO BÓC KHỐI LƯỢNG HOÀN THÀNH ĐƯA VÀO QUYẾT TOÁN</v>
          </cell>
        </row>
      </sheetData>
      <sheetData sheetId="6673">
        <row r="4">
          <cell r="A4" t="str">
            <v>BẢNG TÍNH TOÁN, ĐO BÓC KHỐI LƯỢNG HOÀN THÀNH ĐƯA VÀO QUYẾT TOÁN</v>
          </cell>
        </row>
      </sheetData>
      <sheetData sheetId="6674">
        <row r="4">
          <cell r="A4" t="str">
            <v>BẢNG TÍNH TOÁN, ĐO BÓC KHỐI LƯỢNG HOÀN THÀNH ĐƯA VÀO QUYẾT TOÁN</v>
          </cell>
        </row>
      </sheetData>
      <sheetData sheetId="6675">
        <row r="4">
          <cell r="A4" t="str">
            <v>BẢNG TÍNH TOÁN, ĐO BÓC KHỐI LƯỢNG HOÀN THÀNH ĐƯA VÀO QUYẾT TOÁN</v>
          </cell>
        </row>
      </sheetData>
      <sheetData sheetId="6676">
        <row r="4">
          <cell r="A4" t="str">
            <v>BẢNG TÍNH TOÁN, ĐO BÓC KHỐI LƯỢNG HOÀN THÀNH ĐƯA VÀO QUYẾT TOÁN</v>
          </cell>
        </row>
      </sheetData>
      <sheetData sheetId="6677">
        <row r="4">
          <cell r="A4" t="str">
            <v>BẢNG TÍNH TOÁN, ĐO BÓC KHỐI LƯỢNG HOÀN THÀNH ĐƯA VÀO QUYẾT TOÁN</v>
          </cell>
        </row>
      </sheetData>
      <sheetData sheetId="6678">
        <row r="4">
          <cell r="A4" t="str">
            <v>BẢNG TÍNH TOÁN, ĐO BÓC KHỐI LƯỢNG HOÀN THÀNH ĐƯA VÀO QUYẾT TOÁN</v>
          </cell>
        </row>
      </sheetData>
      <sheetData sheetId="6679">
        <row r="4">
          <cell r="A4" t="str">
            <v>BẢNG TÍNH TOÁN, ĐO BÓC KHỐI LƯỢNG HOÀN THÀNH ĐƯA VÀO QUYẾT TOÁN</v>
          </cell>
        </row>
      </sheetData>
      <sheetData sheetId="6680">
        <row r="4">
          <cell r="A4" t="str">
            <v>BẢNG TÍNH TOÁN, ĐO BÓC KHỐI LƯỢNG HOÀN THÀNH ĐƯA VÀO QUYẾT TOÁN</v>
          </cell>
        </row>
      </sheetData>
      <sheetData sheetId="6681">
        <row r="4">
          <cell r="A4" t="str">
            <v>BẢNG TÍNH TOÁN, ĐO BÓC KHỐI LƯỢNG HOÀN THÀNH ĐƯA VÀO QUYẾT TOÁN</v>
          </cell>
        </row>
      </sheetData>
      <sheetData sheetId="6682">
        <row r="4">
          <cell r="A4" t="str">
            <v>BẢNG TÍNH TOÁN, ĐO BÓC KHỐI LƯỢNG HOÀN THÀNH ĐƯA VÀO QUYẾT TOÁN</v>
          </cell>
        </row>
      </sheetData>
      <sheetData sheetId="6683">
        <row r="4">
          <cell r="A4" t="str">
            <v>BẢNG TÍNH TOÁN, ĐO BÓC KHỐI LƯỢNG HOÀN THÀNH ĐƯA VÀO QUYẾT TOÁN</v>
          </cell>
        </row>
      </sheetData>
      <sheetData sheetId="6684">
        <row r="4">
          <cell r="A4" t="str">
            <v>BẢNG TÍNH TOÁN, ĐO BÓC KHỐI LƯỢNG HOÀN THÀNH ĐƯA VÀO QUYẾT TOÁN</v>
          </cell>
        </row>
      </sheetData>
      <sheetData sheetId="6685">
        <row r="4">
          <cell r="A4" t="str">
            <v>BẢNG TÍNH TOÁN, ĐO BÓC KHỐI LƯỢNG HOÀN THÀNH ĐƯA VÀO QUYẾT TOÁN</v>
          </cell>
        </row>
      </sheetData>
      <sheetData sheetId="6686">
        <row r="4">
          <cell r="A4" t="str">
            <v>BẢNG TÍNH TOÁN, ĐO BÓC KHỐI LƯỢNG HOÀN THÀNH ĐƯA VÀO QUYẾT TOÁN</v>
          </cell>
        </row>
      </sheetData>
      <sheetData sheetId="6687">
        <row r="4">
          <cell r="A4" t="str">
            <v>BẢNG TÍNH TOÁN, ĐO BÓC KHỐI LƯỢNG HOÀN THÀNH ĐƯA VÀO QUYẾT TOÁN</v>
          </cell>
        </row>
      </sheetData>
      <sheetData sheetId="6688">
        <row r="4">
          <cell r="A4" t="str">
            <v>BẢNG TÍNH TOÁN, ĐO BÓC KHỐI LƯỢNG HOÀN THÀNH ĐƯA VÀO QUYẾT TOÁN</v>
          </cell>
        </row>
      </sheetData>
      <sheetData sheetId="6689">
        <row r="4">
          <cell r="A4" t="str">
            <v>BẢNG TÍNH TOÁN, ĐO BÓC KHỐI LƯỢNG HOÀN THÀNH ĐƯA VÀO QUYẾT TOÁN</v>
          </cell>
        </row>
      </sheetData>
      <sheetData sheetId="6690">
        <row r="4">
          <cell r="A4" t="str">
            <v>BẢNG TÍNH TOÁN, ĐO BÓC KHỐI LƯỢNG HOÀN THÀNH ĐƯA VÀO QUYẾT TOÁN</v>
          </cell>
        </row>
      </sheetData>
      <sheetData sheetId="6691">
        <row r="4">
          <cell r="A4" t="str">
            <v>BẢNG TÍNH TOÁN, ĐO BÓC KHỐI LƯỢNG HOÀN THÀNH ĐƯA VÀO QUYẾT TOÁN</v>
          </cell>
        </row>
      </sheetData>
      <sheetData sheetId="6692">
        <row r="4">
          <cell r="A4" t="str">
            <v>BẢNG TÍNH TOÁN, ĐO BÓC KHỐI LƯỢNG HOÀN THÀNH ĐƯA VÀO QUYẾT TOÁN</v>
          </cell>
        </row>
      </sheetData>
      <sheetData sheetId="6693">
        <row r="4">
          <cell r="A4" t="str">
            <v>BẢNG TÍNH TOÁN, ĐO BÓC KHỐI LƯỢNG HOÀN THÀNH ĐƯA VÀO QUYẾT TOÁN</v>
          </cell>
        </row>
      </sheetData>
      <sheetData sheetId="6694">
        <row r="4">
          <cell r="A4" t="str">
            <v>BẢNG TÍNH TOÁN, ĐO BÓC KHỐI LƯỢNG HOÀN THÀNH ĐƯA VÀO QUYẾT TOÁN</v>
          </cell>
        </row>
      </sheetData>
      <sheetData sheetId="6695">
        <row r="4">
          <cell r="A4" t="str">
            <v>BẢNG TÍNH TOÁN, ĐO BÓC KHỐI LƯỢNG HOÀN THÀNH ĐƯA VÀO QUYẾT TOÁN</v>
          </cell>
        </row>
      </sheetData>
      <sheetData sheetId="6696">
        <row r="4">
          <cell r="A4" t="str">
            <v>BẢNG TÍNH TOÁN, ĐO BÓC KHỐI LƯỢNG HOÀN THÀNH ĐƯA VÀO QUYẾT TOÁN</v>
          </cell>
        </row>
      </sheetData>
      <sheetData sheetId="6697">
        <row r="4">
          <cell r="A4" t="str">
            <v>BẢNG TÍNH TOÁN, ĐO BÓC KHỐI LƯỢNG HOÀN THÀNH ĐƯA VÀO QUYẾT TOÁN</v>
          </cell>
        </row>
      </sheetData>
      <sheetData sheetId="6698">
        <row r="4">
          <cell r="A4" t="str">
            <v>BẢNG TÍNH TOÁN, ĐO BÓC KHỐI LƯỢNG HOÀN THÀNH ĐƯA VÀO QUYẾT TOÁN</v>
          </cell>
        </row>
      </sheetData>
      <sheetData sheetId="6699">
        <row r="4">
          <cell r="A4" t="str">
            <v>BẢNG TÍNH TOÁN, ĐO BÓC KHỐI LƯỢNG HOÀN THÀNH ĐƯA VÀO QUYẾT TOÁN</v>
          </cell>
        </row>
      </sheetData>
      <sheetData sheetId="6700">
        <row r="4">
          <cell r="A4" t="str">
            <v>BẢNG TÍNH TOÁN, ĐO BÓC KHỐI LƯỢNG HOÀN THÀNH ĐƯA VÀO QUYẾT TOÁN</v>
          </cell>
        </row>
      </sheetData>
      <sheetData sheetId="6701">
        <row r="4">
          <cell r="A4" t="str">
            <v>BẢNG TÍNH TOÁN, ĐO BÓC KHỐI LƯỢNG HOÀN THÀNH ĐƯA VÀO QUYẾT TOÁN</v>
          </cell>
        </row>
      </sheetData>
      <sheetData sheetId="6702">
        <row r="4">
          <cell r="A4" t="str">
            <v>BẢNG TÍNH TOÁN, ĐO BÓC KHỐI LƯỢNG HOÀN THÀNH ĐƯA VÀO QUYẾT TOÁN</v>
          </cell>
        </row>
      </sheetData>
      <sheetData sheetId="6703">
        <row r="4">
          <cell r="A4" t="str">
            <v>BẢNG TÍNH TOÁN, ĐO BÓC KHỐI LƯỢNG HOÀN THÀNH ĐƯA VÀO QUYẾT TOÁN</v>
          </cell>
        </row>
      </sheetData>
      <sheetData sheetId="6704">
        <row r="4">
          <cell r="A4" t="str">
            <v>BẢNG TÍNH TOÁN, ĐO BÓC KHỐI LƯỢNG HOÀN THÀNH ĐƯA VÀO QUYẾT TOÁN</v>
          </cell>
        </row>
      </sheetData>
      <sheetData sheetId="6705">
        <row r="4">
          <cell r="A4" t="str">
            <v>BẢNG TÍNH TOÁN, ĐO BÓC KHỐI LƯỢNG HOÀN THÀNH ĐƯA VÀO QUYẾT TOÁN</v>
          </cell>
        </row>
      </sheetData>
      <sheetData sheetId="6706">
        <row r="4">
          <cell r="A4" t="str">
            <v>BẢNG TÍNH TOÁN, ĐO BÓC KHỐI LƯỢNG HOÀN THÀNH ĐƯA VÀO QUYẾT TOÁN</v>
          </cell>
        </row>
      </sheetData>
      <sheetData sheetId="6707">
        <row r="4">
          <cell r="A4" t="str">
            <v>BẢNG TÍNH TOÁN, ĐO BÓC KHỐI LƯỢNG HOÀN THÀNH ĐƯA VÀO QUYẾT TOÁN</v>
          </cell>
        </row>
      </sheetData>
      <sheetData sheetId="6708">
        <row r="4">
          <cell r="A4" t="str">
            <v>BẢNG TÍNH TOÁN, ĐO BÓC KHỐI LƯỢNG HOÀN THÀNH ĐƯA VÀO QUYẾT TOÁN</v>
          </cell>
        </row>
      </sheetData>
      <sheetData sheetId="6709">
        <row r="4">
          <cell r="A4" t="str">
            <v>BẢNG TÍNH TOÁN, ĐO BÓC KHỐI LƯỢNG HOÀN THÀNH ĐƯA VÀO QUYẾT TOÁN</v>
          </cell>
        </row>
      </sheetData>
      <sheetData sheetId="6710">
        <row r="4">
          <cell r="A4" t="str">
            <v>BẢNG TÍNH TOÁN, ĐO BÓC KHỐI LƯỢNG HOÀN THÀNH ĐƯA VÀO QUYẾT TOÁN</v>
          </cell>
        </row>
      </sheetData>
      <sheetData sheetId="6711">
        <row r="4">
          <cell r="A4" t="str">
            <v>BẢNG TÍNH TOÁN, ĐO BÓC KHỐI LƯỢNG HOÀN THÀNH ĐƯA VÀO QUYẾT TOÁN</v>
          </cell>
        </row>
      </sheetData>
      <sheetData sheetId="6712">
        <row r="4">
          <cell r="A4" t="str">
            <v>BẢNG TÍNH TOÁN, ĐO BÓC KHỐI LƯỢNG HOÀN THÀNH ĐƯA VÀO QUYẾT TOÁN</v>
          </cell>
        </row>
      </sheetData>
      <sheetData sheetId="6713">
        <row r="4">
          <cell r="A4" t="str">
            <v>BẢNG TÍNH TOÁN, ĐO BÓC KHỐI LƯỢNG HOÀN THÀNH ĐƯA VÀO QUYẾT TOÁN</v>
          </cell>
        </row>
      </sheetData>
      <sheetData sheetId="6714">
        <row r="4">
          <cell r="A4" t="str">
            <v>BẢNG TÍNH TOÁN, ĐO BÓC KHỐI LƯỢNG HOÀN THÀNH ĐƯA VÀO QUYẾT TOÁN</v>
          </cell>
        </row>
      </sheetData>
      <sheetData sheetId="6715">
        <row r="4">
          <cell r="A4" t="str">
            <v>BẢNG TÍNH TOÁN, ĐO BÓC KHỐI LƯỢNG HOÀN THÀNH ĐƯA VÀO QUYẾT TOÁN</v>
          </cell>
        </row>
      </sheetData>
      <sheetData sheetId="6716">
        <row r="4">
          <cell r="A4" t="str">
            <v>BẢNG TÍNH TOÁN, ĐO BÓC KHỐI LƯỢNG HOÀN THÀNH ĐƯA VÀO QUYẾT TOÁN</v>
          </cell>
        </row>
      </sheetData>
      <sheetData sheetId="6717">
        <row r="4">
          <cell r="A4" t="str">
            <v>BẢNG TÍNH TOÁN, ĐO BÓC KHỐI LƯỢNG HOÀN THÀNH ĐƯA VÀO QUYẾT TOÁN</v>
          </cell>
        </row>
      </sheetData>
      <sheetData sheetId="6718">
        <row r="4">
          <cell r="A4" t="str">
            <v>BẢNG TÍNH TOÁN, ĐO BÓC KHỐI LƯỢNG HOÀN THÀNH ĐƯA VÀO QUYẾT TOÁN</v>
          </cell>
        </row>
      </sheetData>
      <sheetData sheetId="6719">
        <row r="4">
          <cell r="A4" t="str">
            <v>BẢNG TÍNH TOÁN, ĐO BÓC KHỐI LƯỢNG HOÀN THÀNH ĐƯA VÀO QUYẾT TOÁN</v>
          </cell>
        </row>
      </sheetData>
      <sheetData sheetId="6720">
        <row r="4">
          <cell r="A4" t="str">
            <v>BẢNG TÍNH TOÁN, ĐO BÓC KHỐI LƯỢNG HOÀN THÀNH ĐƯA VÀO QUYẾT TOÁN</v>
          </cell>
        </row>
      </sheetData>
      <sheetData sheetId="6721">
        <row r="4">
          <cell r="A4" t="str">
            <v>BẢNG TÍNH TOÁN, ĐO BÓC KHỐI LƯỢNG HOÀN THÀNH ĐƯA VÀO QUYẾT TOÁN</v>
          </cell>
        </row>
      </sheetData>
      <sheetData sheetId="6722">
        <row r="4">
          <cell r="A4" t="str">
            <v>BẢNG TÍNH TOÁN, ĐO BÓC KHỐI LƯỢNG HOÀN THÀNH ĐƯA VÀO QUYẾT TOÁN</v>
          </cell>
        </row>
      </sheetData>
      <sheetData sheetId="6723">
        <row r="4">
          <cell r="A4" t="str">
            <v>BẢNG TÍNH TOÁN, ĐO BÓC KHỐI LƯỢNG HOÀN THÀNH ĐƯA VÀO QUYẾT TOÁN</v>
          </cell>
        </row>
      </sheetData>
      <sheetData sheetId="6724">
        <row r="4">
          <cell r="A4" t="str">
            <v>BẢNG TÍNH TOÁN, ĐO BÓC KHỐI LƯỢNG HOÀN THÀNH ĐƯA VÀO QUYẾT TOÁN</v>
          </cell>
        </row>
      </sheetData>
      <sheetData sheetId="6725">
        <row r="4">
          <cell r="A4" t="str">
            <v>BẢNG TÍNH TOÁN, ĐO BÓC KHỐI LƯỢNG HOÀN THÀNH ĐƯA VÀO QUYẾT TOÁN</v>
          </cell>
        </row>
      </sheetData>
      <sheetData sheetId="6726">
        <row r="4">
          <cell r="A4" t="str">
            <v>BẢNG TÍNH TOÁN, ĐO BÓC KHỐI LƯỢNG HOÀN THÀNH ĐƯA VÀO QUYẾT TOÁN</v>
          </cell>
        </row>
      </sheetData>
      <sheetData sheetId="6727">
        <row r="4">
          <cell r="A4" t="str">
            <v>BẢNG TÍNH TOÁN, ĐO BÓC KHỐI LƯỢNG HOÀN THÀNH ĐƯA VÀO QUYẾT TOÁN</v>
          </cell>
        </row>
      </sheetData>
      <sheetData sheetId="6728">
        <row r="4">
          <cell r="A4" t="str">
            <v>BẢNG TÍNH TOÁN, ĐO BÓC KHỐI LƯỢNG HOÀN THÀNH ĐƯA VÀO QUYẾT TOÁN</v>
          </cell>
        </row>
      </sheetData>
      <sheetData sheetId="6729">
        <row r="4">
          <cell r="A4" t="str">
            <v>BẢNG TÍNH TOÁN, ĐO BÓC KHỐI LƯỢNG HOÀN THÀNH ĐƯA VÀO QUYẾT TOÁN</v>
          </cell>
        </row>
      </sheetData>
      <sheetData sheetId="6730">
        <row r="4">
          <cell r="A4" t="str">
            <v>BẢNG TÍNH TOÁN, ĐO BÓC KHỐI LƯỢNG HOÀN THÀNH ĐƯA VÀO QUYẾT TOÁN</v>
          </cell>
        </row>
      </sheetData>
      <sheetData sheetId="6731">
        <row r="4">
          <cell r="A4" t="str">
            <v>BẢNG TÍNH TOÁN, ĐO BÓC KHỐI LƯỢNG HOÀN THÀNH ĐƯA VÀO QUYẾT TOÁN</v>
          </cell>
        </row>
      </sheetData>
      <sheetData sheetId="6732">
        <row r="4">
          <cell r="A4" t="str">
            <v>BẢNG TÍNH TOÁN, ĐO BÓC KHỐI LƯỢNG HOÀN THÀNH ĐƯA VÀO QUYẾT TOÁN</v>
          </cell>
        </row>
      </sheetData>
      <sheetData sheetId="6733">
        <row r="4">
          <cell r="A4" t="str">
            <v>BẢNG TÍNH TOÁN, ĐO BÓC KHỐI LƯỢNG HOÀN THÀNH ĐƯA VÀO QUYẾT TOÁN</v>
          </cell>
        </row>
      </sheetData>
      <sheetData sheetId="6734">
        <row r="4">
          <cell r="A4" t="str">
            <v>BẢNG TÍNH TOÁN, ĐO BÓC KHỐI LƯỢNG HOÀN THÀNH ĐƯA VÀO QUYẾT TOÁN</v>
          </cell>
        </row>
      </sheetData>
      <sheetData sheetId="6735">
        <row r="4">
          <cell r="A4" t="str">
            <v>BẢNG TÍNH TOÁN, ĐO BÓC KHỐI LƯỢNG HOÀN THÀNH ĐƯA VÀO QUYẾT TOÁN</v>
          </cell>
        </row>
      </sheetData>
      <sheetData sheetId="6736">
        <row r="4">
          <cell r="A4" t="str">
            <v>BẢNG TÍNH TOÁN, ĐO BÓC KHỐI LƯỢNG HOÀN THÀNH ĐƯA VÀO QUYẾT TOÁN</v>
          </cell>
        </row>
      </sheetData>
      <sheetData sheetId="6737">
        <row r="4">
          <cell r="A4" t="str">
            <v>BẢNG TÍNH TOÁN, ĐO BÓC KHỐI LƯỢNG HOÀN THÀNH ĐƯA VÀO QUYẾT TOÁN</v>
          </cell>
        </row>
      </sheetData>
      <sheetData sheetId="6738">
        <row r="4">
          <cell r="A4" t="str">
            <v>BẢNG TÍNH TOÁN, ĐO BÓC KHỐI LƯỢNG HOÀN THÀNH ĐƯA VÀO QUYẾT TOÁN</v>
          </cell>
        </row>
      </sheetData>
      <sheetData sheetId="6739">
        <row r="4">
          <cell r="A4" t="str">
            <v>BẢNG TÍNH TOÁN, ĐO BÓC KHỐI LƯỢNG HOÀN THÀNH ĐƯA VÀO QUYẾT TOÁN</v>
          </cell>
        </row>
      </sheetData>
      <sheetData sheetId="6740">
        <row r="4">
          <cell r="A4" t="str">
            <v>BẢNG TÍNH TOÁN, ĐO BÓC KHỐI LƯỢNG HOÀN THÀNH ĐƯA VÀO QUYẾT TOÁN</v>
          </cell>
        </row>
      </sheetData>
      <sheetData sheetId="6741">
        <row r="4">
          <cell r="A4" t="str">
            <v>BẢNG TÍNH TOÁN, ĐO BÓC KHỐI LƯỢNG HOÀN THÀNH ĐƯA VÀO QUYẾT TOÁN</v>
          </cell>
        </row>
      </sheetData>
      <sheetData sheetId="6742">
        <row r="4">
          <cell r="A4" t="str">
            <v>BẢNG TÍNH TOÁN, ĐO BÓC KHỐI LƯỢNG HOÀN THÀNH ĐƯA VÀO QUYẾT TOÁN</v>
          </cell>
        </row>
      </sheetData>
      <sheetData sheetId="6743">
        <row r="4">
          <cell r="A4" t="str">
            <v>BẢNG TÍNH TOÁN, ĐO BÓC KHỐI LƯỢNG HOÀN THÀNH ĐƯA VÀO QUYẾT TOÁN</v>
          </cell>
        </row>
      </sheetData>
      <sheetData sheetId="6744">
        <row r="4">
          <cell r="A4" t="str">
            <v>BẢNG TÍNH TOÁN, ĐO BÓC KHỐI LƯỢNG HOÀN THÀNH ĐƯA VÀO QUYẾT TOÁN</v>
          </cell>
        </row>
      </sheetData>
      <sheetData sheetId="6745">
        <row r="4">
          <cell r="A4" t="str">
            <v>BẢNG TÍNH TOÁN, ĐO BÓC KHỐI LƯỢNG HOÀN THÀNH ĐƯA VÀO QUYẾT TOÁN</v>
          </cell>
        </row>
      </sheetData>
      <sheetData sheetId="6746">
        <row r="4">
          <cell r="A4" t="str">
            <v>BẢNG TÍNH TOÁN, ĐO BÓC KHỐI LƯỢNG HOÀN THÀNH ĐƯA VÀO QUYẾT TOÁN</v>
          </cell>
        </row>
      </sheetData>
      <sheetData sheetId="6747">
        <row r="4">
          <cell r="A4" t="str">
            <v>BẢNG TÍNH TOÁN, ĐO BÓC KHỐI LƯỢNG HOÀN THÀNH ĐƯA VÀO QUYẾT TOÁN</v>
          </cell>
        </row>
      </sheetData>
      <sheetData sheetId="6748">
        <row r="4">
          <cell r="A4" t="str">
            <v>BẢNG TÍNH TOÁN, ĐO BÓC KHỐI LƯỢNG HOÀN THÀNH ĐƯA VÀO QUYẾT TOÁN</v>
          </cell>
        </row>
      </sheetData>
      <sheetData sheetId="6749">
        <row r="4">
          <cell r="A4" t="str">
            <v>BẢNG TÍNH TOÁN, ĐO BÓC KHỐI LƯỢNG HOÀN THÀNH ĐƯA VÀO QUYẾT TOÁN</v>
          </cell>
        </row>
      </sheetData>
      <sheetData sheetId="6750">
        <row r="4">
          <cell r="A4" t="str">
            <v>BẢNG TÍNH TOÁN, ĐO BÓC KHỐI LƯỢNG HOÀN THÀNH ĐƯA VÀO QUYẾT TOÁN</v>
          </cell>
        </row>
      </sheetData>
      <sheetData sheetId="6751">
        <row r="4">
          <cell r="A4" t="str">
            <v>BẢNG TÍNH TOÁN, ĐO BÓC KHỐI LƯỢNG HOÀN THÀNH ĐƯA VÀO QUYẾT TOÁN</v>
          </cell>
        </row>
      </sheetData>
      <sheetData sheetId="6752">
        <row r="4">
          <cell r="A4" t="str">
            <v>BẢNG TÍNH TOÁN, ĐO BÓC KHỐI LƯỢNG HOÀN THÀNH ĐƯA VÀO QUYẾT TOÁN</v>
          </cell>
        </row>
      </sheetData>
      <sheetData sheetId="6753">
        <row r="4">
          <cell r="A4" t="str">
            <v>BẢNG TÍNH TOÁN, ĐO BÓC KHỐI LƯỢNG HOÀN THÀNH ĐƯA VÀO QUYẾT TOÁN</v>
          </cell>
        </row>
      </sheetData>
      <sheetData sheetId="6754">
        <row r="4">
          <cell r="A4" t="str">
            <v>BẢNG TÍNH TOÁN, ĐO BÓC KHỐI LƯỢNG HOÀN THÀNH ĐƯA VÀO QUYẾT TOÁN</v>
          </cell>
        </row>
      </sheetData>
      <sheetData sheetId="6755">
        <row r="4">
          <cell r="A4" t="str">
            <v>BẢNG TÍNH TOÁN, ĐO BÓC KHỐI LƯỢNG HOÀN THÀNH ĐƯA VÀO QUYẾT TOÁN</v>
          </cell>
        </row>
      </sheetData>
      <sheetData sheetId="6756">
        <row r="4">
          <cell r="A4" t="str">
            <v>BẢNG TÍNH TOÁN, ĐO BÓC KHỐI LƯỢNG HOÀN THÀNH ĐƯA VÀO QUYẾT TOÁN</v>
          </cell>
        </row>
      </sheetData>
      <sheetData sheetId="6757">
        <row r="4">
          <cell r="A4" t="str">
            <v>BẢNG TÍNH TOÁN, ĐO BÓC KHỐI LƯỢNG HOÀN THÀNH ĐƯA VÀO QUYẾT TOÁN</v>
          </cell>
        </row>
      </sheetData>
      <sheetData sheetId="6758">
        <row r="4">
          <cell r="A4" t="str">
            <v>BẢNG TÍNH TOÁN, ĐO BÓC KHỐI LƯỢNG HOÀN THÀNH ĐƯA VÀO QUYẾT TOÁN</v>
          </cell>
        </row>
      </sheetData>
      <sheetData sheetId="6759">
        <row r="4">
          <cell r="A4" t="str">
            <v>BẢNG TÍNH TOÁN, ĐO BÓC KHỐI LƯỢNG HOÀN THÀNH ĐƯA VÀO QUYẾT TOÁN</v>
          </cell>
        </row>
      </sheetData>
      <sheetData sheetId="6760">
        <row r="4">
          <cell r="A4" t="str">
            <v>BẢNG TÍNH TOÁN, ĐO BÓC KHỐI LƯỢNG HOÀN THÀNH ĐƯA VÀO QUYẾT TOÁN</v>
          </cell>
        </row>
      </sheetData>
      <sheetData sheetId="6761">
        <row r="4">
          <cell r="A4" t="str">
            <v>BẢNG TÍNH TOÁN, ĐO BÓC KHỐI LƯỢNG HOÀN THÀNH ĐƯA VÀO QUYẾT TOÁN</v>
          </cell>
        </row>
      </sheetData>
      <sheetData sheetId="6762">
        <row r="4">
          <cell r="A4" t="str">
            <v>BẢNG TÍNH TOÁN, ĐO BÓC KHỐI LƯỢNG HOÀN THÀNH ĐƯA VÀO QUYẾT TOÁN</v>
          </cell>
        </row>
      </sheetData>
      <sheetData sheetId="6763">
        <row r="4">
          <cell r="A4" t="str">
            <v>BẢNG TÍNH TOÁN, ĐO BÓC KHỐI LƯỢNG HOÀN THÀNH ĐƯA VÀO QUYẾT TOÁN</v>
          </cell>
        </row>
      </sheetData>
      <sheetData sheetId="6764">
        <row r="4">
          <cell r="A4" t="str">
            <v>BẢNG TÍNH TOÁN, ĐO BÓC KHỐI LƯỢNG HOÀN THÀNH ĐƯA VÀO QUYẾT TOÁN</v>
          </cell>
        </row>
      </sheetData>
      <sheetData sheetId="6765">
        <row r="4">
          <cell r="A4" t="str">
            <v>BẢNG TÍNH TOÁN, ĐO BÓC KHỐI LƯỢNG HOÀN THÀNH ĐƯA VÀO QUYẾT TOÁN</v>
          </cell>
        </row>
      </sheetData>
      <sheetData sheetId="6766">
        <row r="4">
          <cell r="A4" t="str">
            <v>BẢNG TÍNH TOÁN, ĐO BÓC KHỐI LƯỢNG HOÀN THÀNH ĐƯA VÀO QUYẾT TOÁN</v>
          </cell>
        </row>
      </sheetData>
      <sheetData sheetId="6767">
        <row r="4">
          <cell r="A4" t="str">
            <v>BẢNG TÍNH TOÁN, ĐO BÓC KHỐI LƯỢNG HOÀN THÀNH ĐƯA VÀO QUYẾT TOÁN</v>
          </cell>
        </row>
      </sheetData>
      <sheetData sheetId="6768">
        <row r="4">
          <cell r="A4" t="str">
            <v>BẢNG TÍNH TOÁN, ĐO BÓC KHỐI LƯỢNG HOÀN THÀNH ĐƯA VÀO QUYẾT TOÁN</v>
          </cell>
        </row>
      </sheetData>
      <sheetData sheetId="6769">
        <row r="4">
          <cell r="A4" t="str">
            <v>BẢNG TÍNH TOÁN, ĐO BÓC KHỐI LƯỢNG HOÀN THÀNH ĐƯA VÀO QUYẾT TOÁN</v>
          </cell>
        </row>
      </sheetData>
      <sheetData sheetId="6770">
        <row r="4">
          <cell r="A4" t="str">
            <v>BẢNG TÍNH TOÁN, ĐO BÓC KHỐI LƯỢNG HOÀN THÀNH ĐƯA VÀO QUYẾT TOÁN</v>
          </cell>
        </row>
      </sheetData>
      <sheetData sheetId="6771">
        <row r="4">
          <cell r="A4" t="str">
            <v>BẢNG TÍNH TOÁN, ĐO BÓC KHỐI LƯỢNG HOÀN THÀNH ĐƯA VÀO QUYẾT TOÁN</v>
          </cell>
        </row>
      </sheetData>
      <sheetData sheetId="6772">
        <row r="4">
          <cell r="A4" t="str">
            <v>BẢNG TÍNH TOÁN, ĐO BÓC KHỐI LƯỢNG HOÀN THÀNH ĐƯA VÀO QUYẾT TOÁN</v>
          </cell>
        </row>
      </sheetData>
      <sheetData sheetId="6773">
        <row r="4">
          <cell r="A4" t="str">
            <v>BẢNG TÍNH TOÁN, ĐO BÓC KHỐI LƯỢNG HOÀN THÀNH ĐƯA VÀO QUYẾT TOÁN</v>
          </cell>
        </row>
      </sheetData>
      <sheetData sheetId="6774">
        <row r="4">
          <cell r="A4" t="str">
            <v>BẢNG TÍNH TOÁN, ĐO BÓC KHỐI LƯỢNG HOÀN THÀNH ĐƯA VÀO QUYẾT TOÁN</v>
          </cell>
        </row>
      </sheetData>
      <sheetData sheetId="6775">
        <row r="4">
          <cell r="A4" t="str">
            <v>BẢNG TÍNH TOÁN, ĐO BÓC KHỐI LƯỢNG HOÀN THÀNH ĐƯA VÀO QUYẾT TOÁN</v>
          </cell>
        </row>
      </sheetData>
      <sheetData sheetId="6776">
        <row r="4">
          <cell r="A4" t="str">
            <v>BẢNG TÍNH TOÁN, ĐO BÓC KHỐI LƯỢNG HOÀN THÀNH ĐƯA VÀO QUYẾT TOÁN</v>
          </cell>
        </row>
      </sheetData>
      <sheetData sheetId="6777">
        <row r="4">
          <cell r="A4" t="str">
            <v>BẢNG TÍNH TOÁN, ĐO BÓC KHỐI LƯỢNG HOÀN THÀNH ĐƯA VÀO QUYẾT TOÁN</v>
          </cell>
        </row>
      </sheetData>
      <sheetData sheetId="6778">
        <row r="4">
          <cell r="A4" t="str">
            <v>BẢNG TÍNH TOÁN, ĐO BÓC KHỐI LƯỢNG HOÀN THÀNH ĐƯA VÀO QUYẾT TOÁN</v>
          </cell>
        </row>
      </sheetData>
      <sheetData sheetId="6779">
        <row r="4">
          <cell r="A4" t="str">
            <v>BẢNG TÍNH TOÁN, ĐO BÓC KHỐI LƯỢNG HOÀN THÀNH ĐƯA VÀO QUYẾT TOÁN</v>
          </cell>
        </row>
      </sheetData>
      <sheetData sheetId="6780">
        <row r="4">
          <cell r="A4" t="str">
            <v>BẢNG TÍNH TOÁN, ĐO BÓC KHỐI LƯỢNG HOÀN THÀNH ĐƯA VÀO QUYẾT TOÁN</v>
          </cell>
        </row>
      </sheetData>
      <sheetData sheetId="6781">
        <row r="4">
          <cell r="A4" t="str">
            <v>BẢNG TÍNH TOÁN, ĐO BÓC KHỐI LƯỢNG HOÀN THÀNH ĐƯA VÀO QUYẾT TOÁN</v>
          </cell>
        </row>
      </sheetData>
      <sheetData sheetId="6782">
        <row r="4">
          <cell r="A4" t="str">
            <v>BẢNG TÍNH TOÁN, ĐO BÓC KHỐI LƯỢNG HOÀN THÀNH ĐƯA VÀO QUYẾT TOÁN</v>
          </cell>
        </row>
      </sheetData>
      <sheetData sheetId="6783">
        <row r="4">
          <cell r="A4" t="str">
            <v>BẢNG TÍNH TOÁN, ĐO BÓC KHỐI LƯỢNG HOÀN THÀNH ĐƯA VÀO QUYẾT TOÁN</v>
          </cell>
        </row>
      </sheetData>
      <sheetData sheetId="6784">
        <row r="4">
          <cell r="A4" t="str">
            <v>BẢNG TÍNH TOÁN, ĐO BÓC KHỐI LƯỢNG HOÀN THÀNH ĐƯA VÀO QUYẾT TOÁN</v>
          </cell>
        </row>
      </sheetData>
      <sheetData sheetId="6785">
        <row r="4">
          <cell r="A4" t="str">
            <v>BẢNG TÍNH TOÁN, ĐO BÓC KHỐI LƯỢNG HOÀN THÀNH ĐƯA VÀO QUYẾT TOÁN</v>
          </cell>
        </row>
      </sheetData>
      <sheetData sheetId="6786">
        <row r="4">
          <cell r="A4" t="str">
            <v>BẢNG TÍNH TOÁN, ĐO BÓC KHỐI LƯỢNG HOÀN THÀNH ĐƯA VÀO QUYẾT TOÁN</v>
          </cell>
        </row>
      </sheetData>
      <sheetData sheetId="6787">
        <row r="4">
          <cell r="A4" t="str">
            <v>BẢNG TÍNH TOÁN, ĐO BÓC KHỐI LƯỢNG HOÀN THÀNH ĐƯA VÀO QUYẾT TOÁN</v>
          </cell>
        </row>
      </sheetData>
      <sheetData sheetId="6788">
        <row r="4">
          <cell r="A4" t="str">
            <v>BẢNG TÍNH TOÁN, ĐO BÓC KHỐI LƯỢNG HOÀN THÀNH ĐƯA VÀO QUYẾT TOÁN</v>
          </cell>
        </row>
      </sheetData>
      <sheetData sheetId="6789">
        <row r="4">
          <cell r="A4" t="str">
            <v>BẢNG TÍNH TOÁN, ĐO BÓC KHỐI LƯỢNG HOÀN THÀNH ĐƯA VÀO QUYẾT TOÁN</v>
          </cell>
        </row>
      </sheetData>
      <sheetData sheetId="6790">
        <row r="4">
          <cell r="A4" t="str">
            <v>BẢNG TÍNH TOÁN, ĐO BÓC KHỐI LƯỢNG HOÀN THÀNH ĐƯA VÀO QUYẾT TOÁN</v>
          </cell>
        </row>
      </sheetData>
      <sheetData sheetId="6791">
        <row r="4">
          <cell r="A4" t="str">
            <v>BẢNG TÍNH TOÁN, ĐO BÓC KHỐI LƯỢNG HOÀN THÀNH ĐƯA VÀO QUYẾT TOÁN</v>
          </cell>
        </row>
      </sheetData>
      <sheetData sheetId="6792">
        <row r="4">
          <cell r="A4" t="str">
            <v>BẢNG TÍNH TOÁN, ĐO BÓC KHỐI LƯỢNG HOÀN THÀNH ĐƯA VÀO QUYẾT TOÁN</v>
          </cell>
        </row>
      </sheetData>
      <sheetData sheetId="6793">
        <row r="4">
          <cell r="A4" t="str">
            <v>BẢNG TÍNH TOÁN, ĐO BÓC KHỐI LƯỢNG HOÀN THÀNH ĐƯA VÀO QUYẾT TOÁN</v>
          </cell>
        </row>
      </sheetData>
      <sheetData sheetId="6794">
        <row r="4">
          <cell r="A4" t="str">
            <v>BẢNG TÍNH TOÁN, ĐO BÓC KHỐI LƯỢNG HOÀN THÀNH ĐƯA VÀO QUYẾT TOÁN</v>
          </cell>
        </row>
      </sheetData>
      <sheetData sheetId="6795">
        <row r="4">
          <cell r="A4" t="str">
            <v>BẢNG TÍNH TOÁN, ĐO BÓC KHỐI LƯỢNG HOÀN THÀNH ĐƯA VÀO QUYẾT TOÁN</v>
          </cell>
        </row>
      </sheetData>
      <sheetData sheetId="6796">
        <row r="4">
          <cell r="A4" t="str">
            <v>BẢNG TÍNH TOÁN, ĐO BÓC KHỐI LƯỢNG HOÀN THÀNH ĐƯA VÀO QUYẾT TOÁN</v>
          </cell>
        </row>
      </sheetData>
      <sheetData sheetId="6797">
        <row r="4">
          <cell r="A4" t="str">
            <v>BẢNG TÍNH TOÁN, ĐO BÓC KHỐI LƯỢNG HOÀN THÀNH ĐƯA VÀO QUYẾT TOÁN</v>
          </cell>
        </row>
      </sheetData>
      <sheetData sheetId="6798">
        <row r="4">
          <cell r="A4" t="str">
            <v>BẢNG TÍNH TOÁN, ĐO BÓC KHỐI LƯỢNG HOÀN THÀNH ĐƯA VÀO QUYẾT TOÁN</v>
          </cell>
        </row>
      </sheetData>
      <sheetData sheetId="6799">
        <row r="4">
          <cell r="A4" t="str">
            <v>BẢNG TÍNH TOÁN, ĐO BÓC KHỐI LƯỢNG HOÀN THÀNH ĐƯA VÀO QUYẾT TOÁN</v>
          </cell>
        </row>
      </sheetData>
      <sheetData sheetId="6800">
        <row r="4">
          <cell r="A4" t="str">
            <v>BẢNG TÍNH TOÁN, ĐO BÓC KHỐI LƯỢNG HOÀN THÀNH ĐƯA VÀO QUYẾT TOÁN</v>
          </cell>
        </row>
      </sheetData>
      <sheetData sheetId="6801">
        <row r="4">
          <cell r="A4" t="str">
            <v>BẢNG TÍNH TOÁN, ĐO BÓC KHỐI LƯỢNG HOÀN THÀNH ĐƯA VÀO QUYẾT TOÁN</v>
          </cell>
        </row>
      </sheetData>
      <sheetData sheetId="6802">
        <row r="4">
          <cell r="A4" t="str">
            <v>BẢNG TÍNH TOÁN, ĐO BÓC KHỐI LƯỢNG HOÀN THÀNH ĐƯA VÀO QUYẾT TOÁN</v>
          </cell>
        </row>
      </sheetData>
      <sheetData sheetId="6803">
        <row r="4">
          <cell r="A4" t="str">
            <v>BẢNG TÍNH TOÁN, ĐO BÓC KHỐI LƯỢNG HOÀN THÀNH ĐƯA VÀO QUYẾT TOÁN</v>
          </cell>
        </row>
      </sheetData>
      <sheetData sheetId="6804">
        <row r="4">
          <cell r="A4" t="str">
            <v>BẢNG TÍNH TOÁN, ĐO BÓC KHỐI LƯỢNG HOÀN THÀNH ĐƯA VÀO QUYẾT TOÁN</v>
          </cell>
        </row>
      </sheetData>
      <sheetData sheetId="6805">
        <row r="4">
          <cell r="A4" t="str">
            <v>BẢNG TÍNH TOÁN, ĐO BÓC KHỐI LƯỢNG HOÀN THÀNH ĐƯA VÀO QUYẾT TOÁN</v>
          </cell>
        </row>
      </sheetData>
      <sheetData sheetId="6806">
        <row r="4">
          <cell r="A4" t="str">
            <v>BẢNG TÍNH TOÁN, ĐO BÓC KHỐI LƯỢNG HOÀN THÀNH ĐƯA VÀO QUYẾT TOÁN</v>
          </cell>
        </row>
      </sheetData>
      <sheetData sheetId="6807">
        <row r="4">
          <cell r="A4" t="str">
            <v>BẢNG TÍNH TOÁN, ĐO BÓC KHỐI LƯỢNG HOÀN THÀNH ĐƯA VÀO QUYẾT TOÁN</v>
          </cell>
        </row>
      </sheetData>
      <sheetData sheetId="6808">
        <row r="4">
          <cell r="A4" t="str">
            <v>BẢNG TÍNH TOÁN, ĐO BÓC KHỐI LƯỢNG HOÀN THÀNH ĐƯA VÀO QUYẾT TOÁN</v>
          </cell>
        </row>
      </sheetData>
      <sheetData sheetId="6809">
        <row r="4">
          <cell r="A4" t="str">
            <v>BẢNG TÍNH TOÁN, ĐO BÓC KHỐI LƯỢNG HOÀN THÀNH ĐƯA VÀO QUYẾT TOÁN</v>
          </cell>
        </row>
      </sheetData>
      <sheetData sheetId="6810">
        <row r="4">
          <cell r="A4" t="str">
            <v>BẢNG TÍNH TOÁN, ĐO BÓC KHỐI LƯỢNG HOÀN THÀNH ĐƯA VÀO QUYẾT TOÁN</v>
          </cell>
        </row>
      </sheetData>
      <sheetData sheetId="6811">
        <row r="4">
          <cell r="A4" t="str">
            <v>BẢNG TÍNH TOÁN, ĐO BÓC KHỐI LƯỢNG HOÀN THÀNH ĐƯA VÀO QUYẾT TOÁN</v>
          </cell>
        </row>
      </sheetData>
      <sheetData sheetId="6812">
        <row r="4">
          <cell r="A4" t="str">
            <v>BẢNG TÍNH TOÁN, ĐO BÓC KHỐI LƯỢNG HOÀN THÀNH ĐƯA VÀO QUYẾT TOÁN</v>
          </cell>
        </row>
      </sheetData>
      <sheetData sheetId="6813">
        <row r="4">
          <cell r="A4" t="str">
            <v>BẢNG TÍNH TOÁN, ĐO BÓC KHỐI LƯỢNG HOÀN THÀNH ĐƯA VÀO QUYẾT TOÁN</v>
          </cell>
        </row>
      </sheetData>
      <sheetData sheetId="6814">
        <row r="4">
          <cell r="A4" t="str">
            <v>BẢNG TÍNH TOÁN, ĐO BÓC KHỐI LƯỢNG HOÀN THÀNH ĐƯA VÀO QUYẾT TOÁN</v>
          </cell>
        </row>
      </sheetData>
      <sheetData sheetId="6815">
        <row r="4">
          <cell r="A4" t="str">
            <v>BẢNG TÍNH TOÁN, ĐO BÓC KHỐI LƯỢNG HOÀN THÀNH ĐƯA VÀO QUYẾT TOÁN</v>
          </cell>
        </row>
      </sheetData>
      <sheetData sheetId="6816">
        <row r="4">
          <cell r="A4" t="str">
            <v>BẢNG TÍNH TOÁN, ĐO BÓC KHỐI LƯỢNG HOÀN THÀNH ĐƯA VÀO QUYẾT TOÁN</v>
          </cell>
        </row>
      </sheetData>
      <sheetData sheetId="6817">
        <row r="4">
          <cell r="A4" t="str">
            <v>BẢNG TÍNH TOÁN, ĐO BÓC KHỐI LƯỢNG HOÀN THÀNH ĐƯA VÀO QUYẾT TOÁN</v>
          </cell>
        </row>
      </sheetData>
      <sheetData sheetId="6818">
        <row r="4">
          <cell r="A4" t="str">
            <v>BẢNG TÍNH TOÁN, ĐO BÓC KHỐI LƯỢNG HOÀN THÀNH ĐƯA VÀO QUYẾT TOÁN</v>
          </cell>
        </row>
      </sheetData>
      <sheetData sheetId="6819">
        <row r="4">
          <cell r="A4" t="str">
            <v>BẢNG TÍNH TOÁN, ĐO BÓC KHỐI LƯỢNG HOÀN THÀNH ĐƯA VÀO QUYẾT TOÁN</v>
          </cell>
        </row>
      </sheetData>
      <sheetData sheetId="6820">
        <row r="4">
          <cell r="A4" t="str">
            <v>BẢNG TÍNH TOÁN, ĐO BÓC KHỐI LƯỢNG HOÀN THÀNH ĐƯA VÀO QUYẾT TOÁN</v>
          </cell>
        </row>
      </sheetData>
      <sheetData sheetId="6821">
        <row r="4">
          <cell r="A4" t="str">
            <v>BẢNG TÍNH TOÁN, ĐO BÓC KHỐI LƯỢNG HOÀN THÀNH ĐƯA VÀO QUYẾT TOÁN</v>
          </cell>
        </row>
      </sheetData>
      <sheetData sheetId="6822">
        <row r="4">
          <cell r="A4" t="str">
            <v>BẢNG TÍNH TOÁN, ĐO BÓC KHỐI LƯỢNG HOÀN THÀNH ĐƯA VÀO QUYẾT TOÁN</v>
          </cell>
        </row>
      </sheetData>
      <sheetData sheetId="6823">
        <row r="4">
          <cell r="A4" t="str">
            <v>BẢNG TÍNH TOÁN, ĐO BÓC KHỐI LƯỢNG HOÀN THÀNH ĐƯA VÀO QUYẾT TOÁN</v>
          </cell>
        </row>
      </sheetData>
      <sheetData sheetId="6824">
        <row r="4">
          <cell r="A4" t="str">
            <v>BẢNG TÍNH TOÁN, ĐO BÓC KHỐI LƯỢNG HOÀN THÀNH ĐƯA VÀO QUYẾT TOÁN</v>
          </cell>
        </row>
      </sheetData>
      <sheetData sheetId="6825">
        <row r="4">
          <cell r="A4" t="str">
            <v>BẢNG TÍNH TOÁN, ĐO BÓC KHỐI LƯỢNG HOÀN THÀNH ĐƯA VÀO QUYẾT TOÁN</v>
          </cell>
        </row>
      </sheetData>
      <sheetData sheetId="6826">
        <row r="4">
          <cell r="A4" t="str">
            <v>BẢNG TÍNH TOÁN, ĐO BÓC KHỐI LƯỢNG HOÀN THÀNH ĐƯA VÀO QUYẾT TOÁN</v>
          </cell>
        </row>
      </sheetData>
      <sheetData sheetId="6827">
        <row r="4">
          <cell r="A4" t="str">
            <v>BẢNG TÍNH TOÁN, ĐO BÓC KHỐI LƯỢNG HOÀN THÀNH ĐƯA VÀO QUYẾT TOÁN</v>
          </cell>
        </row>
      </sheetData>
      <sheetData sheetId="6828">
        <row r="4">
          <cell r="A4" t="str">
            <v>BẢNG TÍNH TOÁN, ĐO BÓC KHỐI LƯỢNG HOÀN THÀNH ĐƯA VÀO QUYẾT TOÁN</v>
          </cell>
        </row>
      </sheetData>
      <sheetData sheetId="6829">
        <row r="4">
          <cell r="A4" t="str">
            <v>BẢNG TÍNH TOÁN, ĐO BÓC KHỐI LƯỢNG HOÀN THÀNH ĐƯA VÀO QUYẾT TOÁN</v>
          </cell>
        </row>
      </sheetData>
      <sheetData sheetId="6830">
        <row r="4">
          <cell r="A4" t="str">
            <v>BẢNG TÍNH TOÁN, ĐO BÓC KHỐI LƯỢNG HOÀN THÀNH ĐƯA VÀO QUYẾT TOÁN</v>
          </cell>
        </row>
      </sheetData>
      <sheetData sheetId="6831">
        <row r="4">
          <cell r="A4" t="str">
            <v>BẢNG TÍNH TOÁN, ĐO BÓC KHỐI LƯỢNG HOÀN THÀNH ĐƯA VÀO QUYẾT TOÁN</v>
          </cell>
        </row>
      </sheetData>
      <sheetData sheetId="6832">
        <row r="4">
          <cell r="A4" t="str">
            <v>BẢNG TÍNH TOÁN, ĐO BÓC KHỐI LƯỢNG HOÀN THÀNH ĐƯA VÀO QUYẾT TOÁN</v>
          </cell>
        </row>
      </sheetData>
      <sheetData sheetId="6833">
        <row r="4">
          <cell r="A4" t="str">
            <v>BẢNG TÍNH TOÁN, ĐO BÓC KHỐI LƯỢNG HOÀN THÀNH ĐƯA VÀO QUYẾT TOÁN</v>
          </cell>
        </row>
      </sheetData>
      <sheetData sheetId="6834">
        <row r="4">
          <cell r="A4" t="str">
            <v>BẢNG TÍNH TOÁN, ĐO BÓC KHỐI LƯỢNG HOÀN THÀNH ĐƯA VÀO QUYẾT TOÁN</v>
          </cell>
        </row>
      </sheetData>
      <sheetData sheetId="6835">
        <row r="4">
          <cell r="A4" t="str">
            <v>BẢNG TÍNH TOÁN, ĐO BÓC KHỐI LƯỢNG HOÀN THÀNH ĐƯA VÀO QUYẾT TOÁN</v>
          </cell>
        </row>
      </sheetData>
      <sheetData sheetId="6836">
        <row r="4">
          <cell r="A4" t="str">
            <v>BẢNG TÍNH TOÁN, ĐO BÓC KHỐI LƯỢNG HOÀN THÀNH ĐƯA VÀO QUYẾT TOÁN</v>
          </cell>
        </row>
      </sheetData>
      <sheetData sheetId="6837">
        <row r="4">
          <cell r="A4" t="str">
            <v>BẢNG TÍNH TOÁN, ĐO BÓC KHỐI LƯỢNG HOÀN THÀNH ĐƯA VÀO QUYẾT TOÁN</v>
          </cell>
        </row>
      </sheetData>
      <sheetData sheetId="6838">
        <row r="4">
          <cell r="A4" t="str">
            <v>BẢNG TÍNH TOÁN, ĐO BÓC KHỐI LƯỢNG HOÀN THÀNH ĐƯA VÀO QUYẾT TOÁN</v>
          </cell>
        </row>
      </sheetData>
      <sheetData sheetId="6839">
        <row r="4">
          <cell r="A4" t="str">
            <v>BẢNG TÍNH TOÁN, ĐO BÓC KHỐI LƯỢNG HOÀN THÀNH ĐƯA VÀO QUYẾT TOÁN</v>
          </cell>
        </row>
      </sheetData>
      <sheetData sheetId="6840">
        <row r="4">
          <cell r="A4" t="str">
            <v>BẢNG TÍNH TOÁN, ĐO BÓC KHỐI LƯỢNG HOÀN THÀNH ĐƯA VÀO QUYẾT TOÁN</v>
          </cell>
        </row>
      </sheetData>
      <sheetData sheetId="6841">
        <row r="4">
          <cell r="A4" t="str">
            <v>BẢNG TÍNH TOÁN, ĐO BÓC KHỐI LƯỢNG HOÀN THÀNH ĐƯA VÀO QUYẾT TOÁN</v>
          </cell>
        </row>
      </sheetData>
      <sheetData sheetId="6842">
        <row r="4">
          <cell r="A4" t="str">
            <v>BẢNG TÍNH TOÁN, ĐO BÓC KHỐI LƯỢNG HOÀN THÀNH ĐƯA VÀO QUYẾT TOÁN</v>
          </cell>
        </row>
      </sheetData>
      <sheetData sheetId="6843">
        <row r="4">
          <cell r="A4" t="str">
            <v>BẢNG TÍNH TOÁN, ĐO BÓC KHỐI LƯỢNG HOÀN THÀNH ĐƯA VÀO QUYẾT TOÁN</v>
          </cell>
        </row>
      </sheetData>
      <sheetData sheetId="6844">
        <row r="4">
          <cell r="A4" t="str">
            <v>BẢNG TÍNH TOÁN, ĐO BÓC KHỐI LƯỢNG HOÀN THÀNH ĐƯA VÀO QUYẾT TOÁN</v>
          </cell>
        </row>
      </sheetData>
      <sheetData sheetId="6845">
        <row r="4">
          <cell r="A4" t="str">
            <v>BẢNG TÍNH TOÁN, ĐO BÓC KHỐI LƯỢNG HOÀN THÀNH ĐƯA VÀO QUYẾT TOÁN</v>
          </cell>
        </row>
      </sheetData>
      <sheetData sheetId="6846">
        <row r="4">
          <cell r="A4" t="str">
            <v>BẢNG TÍNH TOÁN, ĐO BÓC KHỐI LƯỢNG HOÀN THÀNH ĐƯA VÀO QUYẾT TOÁN</v>
          </cell>
        </row>
      </sheetData>
      <sheetData sheetId="6847">
        <row r="4">
          <cell r="A4" t="str">
            <v>BẢNG TÍNH TOÁN, ĐO BÓC KHỐI LƯỢNG HOÀN THÀNH ĐƯA VÀO QUYẾT TOÁN</v>
          </cell>
        </row>
      </sheetData>
      <sheetData sheetId="6848">
        <row r="4">
          <cell r="A4" t="str">
            <v>BẢNG TÍNH TOÁN, ĐO BÓC KHỐI LƯỢNG HOÀN THÀNH ĐƯA VÀO QUYẾT TOÁN</v>
          </cell>
        </row>
      </sheetData>
      <sheetData sheetId="6849">
        <row r="4">
          <cell r="A4" t="str">
            <v>BẢNG TÍNH TOÁN, ĐO BÓC KHỐI LƯỢNG HOÀN THÀNH ĐƯA VÀO QUYẾT TOÁN</v>
          </cell>
        </row>
      </sheetData>
      <sheetData sheetId="6850">
        <row r="4">
          <cell r="A4" t="str">
            <v>BẢNG TÍNH TOÁN, ĐO BÓC KHỐI LƯỢNG HOÀN THÀNH ĐƯA VÀO QUYẾT TOÁN</v>
          </cell>
        </row>
      </sheetData>
      <sheetData sheetId="6851">
        <row r="4">
          <cell r="A4" t="str">
            <v>BẢNG TÍNH TOÁN, ĐO BÓC KHỐI LƯỢNG HOÀN THÀNH ĐƯA VÀO QUYẾT TOÁN</v>
          </cell>
        </row>
      </sheetData>
      <sheetData sheetId="6852">
        <row r="4">
          <cell r="A4" t="str">
            <v>BẢNG TÍNH TOÁN, ĐO BÓC KHỐI LƯỢNG HOÀN THÀNH ĐƯA VÀO QUYẾT TOÁN</v>
          </cell>
        </row>
      </sheetData>
      <sheetData sheetId="6853">
        <row r="4">
          <cell r="A4" t="str">
            <v>BẢNG TÍNH TOÁN, ĐO BÓC KHỐI LƯỢNG HOÀN THÀNH ĐƯA VÀO QUYẾT TOÁN</v>
          </cell>
        </row>
      </sheetData>
      <sheetData sheetId="6854">
        <row r="4">
          <cell r="A4" t="str">
            <v>BẢNG TÍNH TOÁN, ĐO BÓC KHỐI LƯỢNG HOÀN THÀNH ĐƯA VÀO QUYẾT TOÁN</v>
          </cell>
        </row>
      </sheetData>
      <sheetData sheetId="6855">
        <row r="4">
          <cell r="A4" t="str">
            <v>BẢNG TÍNH TOÁN, ĐO BÓC KHỐI LƯỢNG HOÀN THÀNH ĐƯA VÀO QUYẾT TOÁN</v>
          </cell>
        </row>
      </sheetData>
      <sheetData sheetId="6856">
        <row r="4">
          <cell r="A4" t="str">
            <v>BẢNG TÍNH TOÁN, ĐO BÓC KHỐI LƯỢNG HOÀN THÀNH ĐƯA VÀO QUYẾT TOÁN</v>
          </cell>
        </row>
      </sheetData>
      <sheetData sheetId="6857">
        <row r="4">
          <cell r="A4" t="str">
            <v>BẢNG TÍNH TOÁN, ĐO BÓC KHỐI LƯỢNG HOÀN THÀNH ĐƯA VÀO QUYẾT TOÁN</v>
          </cell>
        </row>
      </sheetData>
      <sheetData sheetId="6858">
        <row r="4">
          <cell r="A4" t="str">
            <v>BẢNG TÍNH TOÁN, ĐO BÓC KHỐI LƯỢNG HOÀN THÀNH ĐƯA VÀO QUYẾT TOÁN</v>
          </cell>
        </row>
      </sheetData>
      <sheetData sheetId="6859">
        <row r="4">
          <cell r="A4" t="str">
            <v>BẢNG TÍNH TOÁN, ĐO BÓC KHỐI LƯỢNG HOÀN THÀNH ĐƯA VÀO QUYẾT TOÁN</v>
          </cell>
        </row>
      </sheetData>
      <sheetData sheetId="6860">
        <row r="4">
          <cell r="A4" t="str">
            <v>BẢNG TÍNH TOÁN, ĐO BÓC KHỐI LƯỢNG HOÀN THÀNH ĐƯA VÀO QUYẾT TOÁN</v>
          </cell>
        </row>
      </sheetData>
      <sheetData sheetId="6861">
        <row r="4">
          <cell r="A4" t="str">
            <v>BẢNG TÍNH TOÁN, ĐO BÓC KHỐI LƯỢNG HOÀN THÀNH ĐƯA VÀO QUYẾT TOÁN</v>
          </cell>
        </row>
      </sheetData>
      <sheetData sheetId="6862">
        <row r="4">
          <cell r="A4" t="str">
            <v>BẢNG TÍNH TOÁN, ĐO BÓC KHỐI LƯỢNG HOÀN THÀNH ĐƯA VÀO QUYẾT TOÁN</v>
          </cell>
        </row>
      </sheetData>
      <sheetData sheetId="6863">
        <row r="4">
          <cell r="A4" t="str">
            <v>BẢNG TÍNH TOÁN, ĐO BÓC KHỐI LƯỢNG HOÀN THÀNH ĐƯA VÀO QUYẾT TOÁN</v>
          </cell>
        </row>
      </sheetData>
      <sheetData sheetId="6864">
        <row r="4">
          <cell r="A4" t="str">
            <v>BẢNG TÍNH TOÁN, ĐO BÓC KHỐI LƯỢNG HOÀN THÀNH ĐƯA VÀO QUYẾT TOÁN</v>
          </cell>
        </row>
      </sheetData>
      <sheetData sheetId="6865">
        <row r="4">
          <cell r="A4" t="str">
            <v>BẢNG TÍNH TOÁN, ĐO BÓC KHỐI LƯỢNG HOÀN THÀNH ĐƯA VÀO QUYẾT TOÁN</v>
          </cell>
        </row>
      </sheetData>
      <sheetData sheetId="6866">
        <row r="4">
          <cell r="A4" t="str">
            <v>BẢNG TÍNH TOÁN, ĐO BÓC KHỐI LƯỢNG HOÀN THÀNH ĐƯA VÀO QUYẾT TOÁN</v>
          </cell>
        </row>
      </sheetData>
      <sheetData sheetId="6867">
        <row r="4">
          <cell r="A4" t="str">
            <v>BẢNG TÍNH TOÁN, ĐO BÓC KHỐI LƯỢNG HOÀN THÀNH ĐƯA VÀO QUYẾT TOÁN</v>
          </cell>
        </row>
      </sheetData>
      <sheetData sheetId="6868">
        <row r="4">
          <cell r="A4" t="str">
            <v>BẢNG TÍNH TOÁN, ĐO BÓC KHỐI LƯỢNG HOÀN THÀNH ĐƯA VÀO QUYẾT TOÁN</v>
          </cell>
        </row>
      </sheetData>
      <sheetData sheetId="6869">
        <row r="4">
          <cell r="A4" t="str">
            <v>BẢNG TÍNH TOÁN, ĐO BÓC KHỐI LƯỢNG HOÀN THÀNH ĐƯA VÀO QUYẾT TOÁN</v>
          </cell>
        </row>
      </sheetData>
      <sheetData sheetId="6870">
        <row r="4">
          <cell r="A4" t="str">
            <v>BẢNG TÍNH TOÁN, ĐO BÓC KHỐI LƯỢNG HOÀN THÀNH ĐƯA VÀO QUYẾT TOÁN</v>
          </cell>
        </row>
      </sheetData>
      <sheetData sheetId="6871">
        <row r="4">
          <cell r="A4" t="str">
            <v>BẢNG TÍNH TOÁN, ĐO BÓC KHỐI LƯỢNG HOÀN THÀNH ĐƯA VÀO QUYẾT TOÁN</v>
          </cell>
        </row>
      </sheetData>
      <sheetData sheetId="6872">
        <row r="4">
          <cell r="A4" t="str">
            <v>BẢNG TÍNH TOÁN, ĐO BÓC KHỐI LƯỢNG HOÀN THÀNH ĐƯA VÀO QUYẾT TOÁN</v>
          </cell>
        </row>
      </sheetData>
      <sheetData sheetId="6873">
        <row r="4">
          <cell r="A4" t="str">
            <v>BẢNG TÍNH TOÁN, ĐO BÓC KHỐI LƯỢNG HOÀN THÀNH ĐƯA VÀO QUYẾT TOÁN</v>
          </cell>
        </row>
      </sheetData>
      <sheetData sheetId="6874">
        <row r="4">
          <cell r="A4" t="str">
            <v>BẢNG TÍNH TOÁN, ĐO BÓC KHỐI LƯỢNG HOÀN THÀNH ĐƯA VÀO QUYẾT TOÁN</v>
          </cell>
        </row>
      </sheetData>
      <sheetData sheetId="6875">
        <row r="4">
          <cell r="A4" t="str">
            <v>BẢNG TÍNH TOÁN, ĐO BÓC KHỐI LƯỢNG HOÀN THÀNH ĐƯA VÀO QUYẾT TOÁN</v>
          </cell>
        </row>
      </sheetData>
      <sheetData sheetId="6876">
        <row r="4">
          <cell r="A4" t="str">
            <v>BẢNG TÍNH TOÁN, ĐO BÓC KHỐI LƯỢNG HOÀN THÀNH ĐƯA VÀO QUYẾT TOÁN</v>
          </cell>
        </row>
      </sheetData>
      <sheetData sheetId="6877">
        <row r="4">
          <cell r="A4" t="str">
            <v>BẢNG TÍNH TOÁN, ĐO BÓC KHỐI LƯỢNG HOÀN THÀNH ĐƯA VÀO QUYẾT TOÁN</v>
          </cell>
        </row>
      </sheetData>
      <sheetData sheetId="6878">
        <row r="4">
          <cell r="A4" t="str">
            <v>BẢNG TÍNH TOÁN, ĐO BÓC KHỐI LƯỢNG HOÀN THÀNH ĐƯA VÀO QUYẾT TOÁN</v>
          </cell>
        </row>
      </sheetData>
      <sheetData sheetId="6879">
        <row r="4">
          <cell r="A4" t="str">
            <v>BẢNG TÍNH TOÁN, ĐO BÓC KHỐI LƯỢNG HOÀN THÀNH ĐƯA VÀO QUYẾT TOÁN</v>
          </cell>
        </row>
      </sheetData>
      <sheetData sheetId="6880">
        <row r="4">
          <cell r="A4" t="str">
            <v>BẢNG TÍNH TOÁN, ĐO BÓC KHỐI LƯỢNG HOÀN THÀNH ĐƯA VÀO QUYẾT TOÁN</v>
          </cell>
        </row>
      </sheetData>
      <sheetData sheetId="6881">
        <row r="4">
          <cell r="A4" t="str">
            <v>BẢNG TÍNH TOÁN, ĐO BÓC KHỐI LƯỢNG HOÀN THÀNH ĐƯA VÀO QUYẾT TOÁN</v>
          </cell>
        </row>
      </sheetData>
      <sheetData sheetId="6882">
        <row r="4">
          <cell r="A4" t="str">
            <v>BẢNG TÍNH TOÁN, ĐO BÓC KHỐI LƯỢNG HOÀN THÀNH ĐƯA VÀO QUYẾT TOÁN</v>
          </cell>
        </row>
      </sheetData>
      <sheetData sheetId="6883">
        <row r="4">
          <cell r="A4" t="str">
            <v>BẢNG TÍNH TOÁN, ĐO BÓC KHỐI LƯỢNG HOÀN THÀNH ĐƯA VÀO QUYẾT TOÁN</v>
          </cell>
        </row>
      </sheetData>
      <sheetData sheetId="6884">
        <row r="4">
          <cell r="A4" t="str">
            <v>BẢNG TÍNH TOÁN, ĐO BÓC KHỐI LƯỢNG HOÀN THÀNH ĐƯA VÀO QUYẾT TOÁN</v>
          </cell>
        </row>
      </sheetData>
      <sheetData sheetId="6885">
        <row r="4">
          <cell r="A4" t="str">
            <v>BẢNG TÍNH TOÁN, ĐO BÓC KHỐI LƯỢNG HOÀN THÀNH ĐƯA VÀO QUYẾT TOÁN</v>
          </cell>
        </row>
      </sheetData>
      <sheetData sheetId="6886">
        <row r="4">
          <cell r="A4" t="str">
            <v>BẢNG TÍNH TOÁN, ĐO BÓC KHỐI LƯỢNG HOÀN THÀNH ĐƯA VÀO QUYẾT TOÁN</v>
          </cell>
        </row>
      </sheetData>
      <sheetData sheetId="6887">
        <row r="4">
          <cell r="A4" t="str">
            <v>BẢNG TÍNH TOÁN, ĐO BÓC KHỐI LƯỢNG HOÀN THÀNH ĐƯA VÀO QUYẾT TOÁN</v>
          </cell>
        </row>
      </sheetData>
      <sheetData sheetId="6888">
        <row r="4">
          <cell r="A4" t="str">
            <v>BẢNG TÍNH TOÁN, ĐO BÓC KHỐI LƯỢNG HOÀN THÀNH ĐƯA VÀO QUYẾT TOÁN</v>
          </cell>
        </row>
      </sheetData>
      <sheetData sheetId="6889">
        <row r="4">
          <cell r="A4" t="str">
            <v>BẢNG TÍNH TOÁN, ĐO BÓC KHỐI LƯỢNG HOÀN THÀNH ĐƯA VÀO QUYẾT TOÁN</v>
          </cell>
        </row>
      </sheetData>
      <sheetData sheetId="6890">
        <row r="4">
          <cell r="A4" t="str">
            <v>BẢNG TÍNH TOÁN, ĐO BÓC KHỐI LƯỢNG HOÀN THÀNH ĐƯA VÀO QUYẾT TOÁN</v>
          </cell>
        </row>
      </sheetData>
      <sheetData sheetId="6891">
        <row r="4">
          <cell r="A4" t="str">
            <v>BẢNG TÍNH TOÁN, ĐO BÓC KHỐI LƯỢNG HOÀN THÀNH ĐƯA VÀO QUYẾT TOÁN</v>
          </cell>
        </row>
      </sheetData>
      <sheetData sheetId="6892">
        <row r="4">
          <cell r="A4" t="str">
            <v>BẢNG TÍNH TOÁN, ĐO BÓC KHỐI LƯỢNG HOÀN THÀNH ĐƯA VÀO QUYẾT TOÁN</v>
          </cell>
        </row>
      </sheetData>
      <sheetData sheetId="6893">
        <row r="4">
          <cell r="A4" t="str">
            <v>BẢNG TÍNH TOÁN, ĐO BÓC KHỐI LƯỢNG HOÀN THÀNH ĐƯA VÀO QUYẾT TOÁN</v>
          </cell>
        </row>
      </sheetData>
      <sheetData sheetId="6894">
        <row r="4">
          <cell r="A4" t="str">
            <v>BẢNG TÍNH TOÁN, ĐO BÓC KHỐI LƯỢNG HOÀN THÀNH ĐƯA VÀO QUYẾT TOÁN</v>
          </cell>
        </row>
      </sheetData>
      <sheetData sheetId="6895">
        <row r="4">
          <cell r="A4" t="str">
            <v>BẢNG TÍNH TOÁN, ĐO BÓC KHỐI LƯỢNG HOÀN THÀNH ĐƯA VÀO QUYẾT TOÁN</v>
          </cell>
        </row>
      </sheetData>
      <sheetData sheetId="6896">
        <row r="4">
          <cell r="A4" t="str">
            <v>BẢNG TÍNH TOÁN, ĐO BÓC KHỐI LƯỢNG HOÀN THÀNH ĐƯA VÀO QUYẾT TOÁN</v>
          </cell>
        </row>
      </sheetData>
      <sheetData sheetId="6897">
        <row r="4">
          <cell r="A4" t="str">
            <v>BẢNG TÍNH TOÁN, ĐO BÓC KHỐI LƯỢNG HOÀN THÀNH ĐƯA VÀO QUYẾT TOÁN</v>
          </cell>
        </row>
      </sheetData>
      <sheetData sheetId="6898">
        <row r="4">
          <cell r="A4" t="str">
            <v>BẢNG TÍNH TOÁN, ĐO BÓC KHỐI LƯỢNG HOÀN THÀNH ĐƯA VÀO QUYẾT TOÁN</v>
          </cell>
        </row>
      </sheetData>
      <sheetData sheetId="6899">
        <row r="4">
          <cell r="A4" t="str">
            <v>BẢNG TÍNH TOÁN, ĐO BÓC KHỐI LƯỢNG HOÀN THÀNH ĐƯA VÀO QUYẾT TOÁN</v>
          </cell>
        </row>
      </sheetData>
      <sheetData sheetId="6900">
        <row r="4">
          <cell r="A4" t="str">
            <v>BẢNG TÍNH TOÁN, ĐO BÓC KHỐI LƯỢNG HOÀN THÀNH ĐƯA VÀO QUYẾT TOÁN</v>
          </cell>
        </row>
      </sheetData>
      <sheetData sheetId="6901">
        <row r="4">
          <cell r="A4" t="str">
            <v>BẢNG TÍNH TOÁN, ĐO BÓC KHỐI LƯỢNG HOÀN THÀNH ĐƯA VÀO QUYẾT TOÁN</v>
          </cell>
        </row>
      </sheetData>
      <sheetData sheetId="6902">
        <row r="4">
          <cell r="A4" t="str">
            <v>BẢNG TÍNH TOÁN, ĐO BÓC KHỐI LƯỢNG HOÀN THÀNH ĐƯA VÀO QUYẾT TOÁN</v>
          </cell>
        </row>
      </sheetData>
      <sheetData sheetId="6903">
        <row r="4">
          <cell r="A4" t="str">
            <v>BẢNG TÍNH TOÁN, ĐO BÓC KHỐI LƯỢNG HOÀN THÀNH ĐƯA VÀO QUYẾT TOÁN</v>
          </cell>
        </row>
      </sheetData>
      <sheetData sheetId="6904">
        <row r="4">
          <cell r="A4" t="str">
            <v>BẢNG TÍNH TOÁN, ĐO BÓC KHỐI LƯỢNG HOÀN THÀNH ĐƯA VÀO QUYẾT TOÁN</v>
          </cell>
        </row>
      </sheetData>
      <sheetData sheetId="6905">
        <row r="4">
          <cell r="A4" t="str">
            <v>BẢNG TÍNH TOÁN, ĐO BÓC KHỐI LƯỢNG HOÀN THÀNH ĐƯA VÀO QUYẾT TOÁN</v>
          </cell>
        </row>
      </sheetData>
      <sheetData sheetId="6906">
        <row r="4">
          <cell r="A4" t="str">
            <v>BẢNG TÍNH TOÁN, ĐO BÓC KHỐI LƯỢNG HOÀN THÀNH ĐƯA VÀO QUYẾT TOÁN</v>
          </cell>
        </row>
      </sheetData>
      <sheetData sheetId="6907">
        <row r="4">
          <cell r="A4" t="str">
            <v>BẢNG TÍNH TOÁN, ĐO BÓC KHỐI LƯỢNG HOÀN THÀNH ĐƯA VÀO QUYẾT TOÁN</v>
          </cell>
        </row>
      </sheetData>
      <sheetData sheetId="6908">
        <row r="4">
          <cell r="A4" t="str">
            <v>BẢNG TÍNH TOÁN, ĐO BÓC KHỐI LƯỢNG HOÀN THÀNH ĐƯA VÀO QUYẾT TOÁN</v>
          </cell>
        </row>
      </sheetData>
      <sheetData sheetId="6909">
        <row r="4">
          <cell r="A4" t="str">
            <v>BẢNG TÍNH TOÁN, ĐO BÓC KHỐI LƯỢNG HOÀN THÀNH ĐƯA VÀO QUYẾT TOÁN</v>
          </cell>
        </row>
      </sheetData>
      <sheetData sheetId="6910">
        <row r="4">
          <cell r="A4" t="str">
            <v>BẢNG TÍNH TOÁN, ĐO BÓC KHỐI LƯỢNG HOÀN THÀNH ĐƯA VÀO QUYẾT TOÁN</v>
          </cell>
        </row>
      </sheetData>
      <sheetData sheetId="6911">
        <row r="4">
          <cell r="A4" t="str">
            <v>BẢNG TÍNH TOÁN, ĐO BÓC KHỐI LƯỢNG HOÀN THÀNH ĐƯA VÀO QUYẾT TOÁN</v>
          </cell>
        </row>
      </sheetData>
      <sheetData sheetId="6912">
        <row r="4">
          <cell r="A4" t="str">
            <v>BẢNG TÍNH TOÁN, ĐO BÓC KHỐI LƯỢNG HOÀN THÀNH ĐƯA VÀO QUYẾT TOÁN</v>
          </cell>
        </row>
      </sheetData>
      <sheetData sheetId="6913">
        <row r="4">
          <cell r="A4" t="str">
            <v>BẢNG TÍNH TOÁN, ĐO BÓC KHỐI LƯỢNG HOÀN THÀNH ĐƯA VÀO QUYẾT TOÁN</v>
          </cell>
        </row>
      </sheetData>
      <sheetData sheetId="6914">
        <row r="4">
          <cell r="A4" t="str">
            <v>BẢNG TÍNH TOÁN, ĐO BÓC KHỐI LƯỢNG HOÀN THÀNH ĐƯA VÀO QUYẾT TOÁN</v>
          </cell>
        </row>
      </sheetData>
      <sheetData sheetId="6915">
        <row r="4">
          <cell r="A4" t="str">
            <v>BẢNG TÍNH TOÁN, ĐO BÓC KHỐI LƯỢNG HOÀN THÀNH ĐƯA VÀO QUYẾT TOÁN</v>
          </cell>
        </row>
      </sheetData>
      <sheetData sheetId="6916">
        <row r="4">
          <cell r="A4" t="str">
            <v>BẢNG TÍNH TOÁN, ĐO BÓC KHỐI LƯỢNG HOÀN THÀNH ĐƯA VÀO QUYẾT TOÁN</v>
          </cell>
        </row>
      </sheetData>
      <sheetData sheetId="6917">
        <row r="4">
          <cell r="A4" t="str">
            <v>BẢNG TÍNH TOÁN, ĐO BÓC KHỐI LƯỢNG HOÀN THÀNH ĐƯA VÀO QUYẾT TOÁN</v>
          </cell>
        </row>
      </sheetData>
      <sheetData sheetId="6918">
        <row r="4">
          <cell r="A4" t="str">
            <v>BẢNG TÍNH TOÁN, ĐO BÓC KHỐI LƯỢNG HOÀN THÀNH ĐƯA VÀO QUYẾT TOÁN</v>
          </cell>
        </row>
      </sheetData>
      <sheetData sheetId="6919">
        <row r="4">
          <cell r="A4" t="str">
            <v>BẢNG TÍNH TOÁN, ĐO BÓC KHỐI LƯỢNG HOÀN THÀNH ĐƯA VÀO QUYẾT TOÁN</v>
          </cell>
        </row>
      </sheetData>
      <sheetData sheetId="6920">
        <row r="4">
          <cell r="A4" t="str">
            <v>BẢNG TÍNH TOÁN, ĐO BÓC KHỐI LƯỢNG HOÀN THÀNH ĐƯA VÀO QUYẾT TOÁN</v>
          </cell>
        </row>
      </sheetData>
      <sheetData sheetId="6921">
        <row r="4">
          <cell r="A4" t="str">
            <v>BẢNG TÍNH TOÁN, ĐO BÓC KHỐI LƯỢNG HOÀN THÀNH ĐƯA VÀO QUYẾT TOÁN</v>
          </cell>
        </row>
      </sheetData>
      <sheetData sheetId="6922">
        <row r="4">
          <cell r="A4" t="str">
            <v>BẢNG TÍNH TOÁN, ĐO BÓC KHỐI LƯỢNG HOÀN THÀNH ĐƯA VÀO QUYẾT TOÁN</v>
          </cell>
        </row>
      </sheetData>
      <sheetData sheetId="6923">
        <row r="4">
          <cell r="A4" t="str">
            <v>BẢNG TÍNH TOÁN, ĐO BÓC KHỐI LƯỢNG HOÀN THÀNH ĐƯA VÀO QUYẾT TOÁN</v>
          </cell>
        </row>
      </sheetData>
      <sheetData sheetId="6924">
        <row r="4">
          <cell r="A4" t="str">
            <v>BẢNG TÍNH TOÁN, ĐO BÓC KHỐI LƯỢNG HOÀN THÀNH ĐƯA VÀO QUYẾT TOÁN</v>
          </cell>
        </row>
      </sheetData>
      <sheetData sheetId="6925">
        <row r="4">
          <cell r="A4" t="str">
            <v>BẢNG TÍNH TOÁN, ĐO BÓC KHỐI LƯỢNG HOÀN THÀNH ĐƯA VÀO QUYẾT TOÁN</v>
          </cell>
        </row>
      </sheetData>
      <sheetData sheetId="6926">
        <row r="4">
          <cell r="A4" t="str">
            <v>BẢNG TÍNH TOÁN, ĐO BÓC KHỐI LƯỢNG HOÀN THÀNH ĐƯA VÀO QUYẾT TOÁN</v>
          </cell>
        </row>
      </sheetData>
      <sheetData sheetId="6927">
        <row r="4">
          <cell r="A4" t="str">
            <v>BẢNG TÍNH TOÁN, ĐO BÓC KHỐI LƯỢNG HOÀN THÀNH ĐƯA VÀO QUYẾT TOÁN</v>
          </cell>
        </row>
      </sheetData>
      <sheetData sheetId="6928">
        <row r="4">
          <cell r="A4" t="str">
            <v>BẢNG TÍNH TOÁN, ĐO BÓC KHỐI LƯỢNG HOÀN THÀNH ĐƯA VÀO QUYẾT TOÁN</v>
          </cell>
        </row>
      </sheetData>
      <sheetData sheetId="6929">
        <row r="4">
          <cell r="A4" t="str">
            <v>BẢNG TÍNH TOÁN, ĐO BÓC KHỐI LƯỢNG HOÀN THÀNH ĐƯA VÀO QUYẾT TOÁN</v>
          </cell>
        </row>
      </sheetData>
      <sheetData sheetId="6930">
        <row r="4">
          <cell r="A4" t="str">
            <v>BẢNG TÍNH TOÁN, ĐO BÓC KHỐI LƯỢNG HOÀN THÀNH ĐƯA VÀO QUYẾT TOÁN</v>
          </cell>
        </row>
      </sheetData>
      <sheetData sheetId="6931">
        <row r="4">
          <cell r="A4" t="str">
            <v>BẢNG TÍNH TOÁN, ĐO BÓC KHỐI LƯỢNG HOÀN THÀNH ĐƯA VÀO QUYẾT TOÁN</v>
          </cell>
        </row>
      </sheetData>
      <sheetData sheetId="6932">
        <row r="4">
          <cell r="A4" t="str">
            <v>BẢNG TÍNH TOÁN, ĐO BÓC KHỐI LƯỢNG HOÀN THÀNH ĐƯA VÀO QUYẾT TOÁN</v>
          </cell>
        </row>
      </sheetData>
      <sheetData sheetId="6933">
        <row r="4">
          <cell r="A4" t="str">
            <v>BẢNG TÍNH TOÁN, ĐO BÓC KHỐI LƯỢNG HOÀN THÀNH ĐƯA VÀO QUYẾT TOÁN</v>
          </cell>
        </row>
      </sheetData>
      <sheetData sheetId="6934">
        <row r="4">
          <cell r="A4" t="str">
            <v>BẢNG TÍNH TOÁN, ĐO BÓC KHỐI LƯỢNG HOÀN THÀNH ĐƯA VÀO QUYẾT TOÁN</v>
          </cell>
        </row>
      </sheetData>
      <sheetData sheetId="6935">
        <row r="4">
          <cell r="A4" t="str">
            <v>BẢNG TÍNH TOÁN, ĐO BÓC KHỐI LƯỢNG HOÀN THÀNH ĐƯA VÀO QUYẾT TOÁN</v>
          </cell>
        </row>
      </sheetData>
      <sheetData sheetId="6936">
        <row r="4">
          <cell r="A4" t="str">
            <v>BẢNG TÍNH TOÁN, ĐO BÓC KHỐI LƯỢNG HOÀN THÀNH ĐƯA VÀO QUYẾT TOÁN</v>
          </cell>
        </row>
      </sheetData>
      <sheetData sheetId="6937">
        <row r="4">
          <cell r="A4" t="str">
            <v>BẢNG TÍNH TOÁN, ĐO BÓC KHỐI LƯỢNG HOÀN THÀNH ĐƯA VÀO QUYẾT TOÁN</v>
          </cell>
        </row>
      </sheetData>
      <sheetData sheetId="6938">
        <row r="4">
          <cell r="A4" t="str">
            <v>BẢNG TÍNH TOÁN, ĐO BÓC KHỐI LƯỢNG HOÀN THÀNH ĐƯA VÀO QUYẾT TOÁN</v>
          </cell>
        </row>
      </sheetData>
      <sheetData sheetId="6939">
        <row r="4">
          <cell r="A4" t="str">
            <v>BẢNG TÍNH TOÁN, ĐO BÓC KHỐI LƯỢNG HOÀN THÀNH ĐƯA VÀO QUYẾT TOÁN</v>
          </cell>
        </row>
      </sheetData>
      <sheetData sheetId="6940">
        <row r="4">
          <cell r="A4" t="str">
            <v>BẢNG TÍNH TOÁN, ĐO BÓC KHỐI LƯỢNG HOÀN THÀNH ĐƯA VÀO QUYẾT TOÁN</v>
          </cell>
        </row>
      </sheetData>
      <sheetData sheetId="6941">
        <row r="4">
          <cell r="A4" t="str">
            <v>BẢNG TÍNH TOÁN, ĐO BÓC KHỐI LƯỢNG HOÀN THÀNH ĐƯA VÀO QUYẾT TOÁN</v>
          </cell>
        </row>
      </sheetData>
      <sheetData sheetId="6942">
        <row r="4">
          <cell r="A4" t="str">
            <v>BẢNG TÍNH TOÁN, ĐO BÓC KHỐI LƯỢNG HOÀN THÀNH ĐƯA VÀO QUYẾT TOÁN</v>
          </cell>
        </row>
      </sheetData>
      <sheetData sheetId="6943">
        <row r="4">
          <cell r="A4" t="str">
            <v>BẢNG TÍNH TOÁN, ĐO BÓC KHỐI LƯỢNG HOÀN THÀNH ĐƯA VÀO QUYẾT TOÁN</v>
          </cell>
        </row>
      </sheetData>
      <sheetData sheetId="6944">
        <row r="4">
          <cell r="A4" t="str">
            <v>BẢNG TÍNH TOÁN, ĐO BÓC KHỐI LƯỢNG HOÀN THÀNH ĐƯA VÀO QUYẾT TOÁN</v>
          </cell>
        </row>
      </sheetData>
      <sheetData sheetId="6945">
        <row r="4">
          <cell r="A4" t="str">
            <v>BẢNG TÍNH TOÁN, ĐO BÓC KHỐI LƯỢNG HOÀN THÀNH ĐƯA VÀO QUYẾT TOÁN</v>
          </cell>
        </row>
      </sheetData>
      <sheetData sheetId="6946">
        <row r="4">
          <cell r="A4" t="str">
            <v>BẢNG TÍNH TOÁN, ĐO BÓC KHỐI LƯỢNG HOÀN THÀNH ĐƯA VÀO QUYẾT TOÁN</v>
          </cell>
        </row>
      </sheetData>
      <sheetData sheetId="6947">
        <row r="4">
          <cell r="A4" t="str">
            <v>BẢNG TÍNH TOÁN, ĐO BÓC KHỐI LƯỢNG HOÀN THÀNH ĐƯA VÀO QUYẾT TOÁN</v>
          </cell>
        </row>
      </sheetData>
      <sheetData sheetId="6948">
        <row r="4">
          <cell r="A4" t="str">
            <v>BẢNG TÍNH TOÁN, ĐO BÓC KHỐI LƯỢNG HOÀN THÀNH ĐƯA VÀO QUYẾT TOÁN</v>
          </cell>
        </row>
      </sheetData>
      <sheetData sheetId="6949">
        <row r="4">
          <cell r="A4" t="str">
            <v>BẢNG TÍNH TOÁN, ĐO BÓC KHỐI LƯỢNG HOÀN THÀNH ĐƯA VÀO QUYẾT TOÁN</v>
          </cell>
        </row>
      </sheetData>
      <sheetData sheetId="6950">
        <row r="4">
          <cell r="A4" t="str">
            <v>BẢNG TÍNH TOÁN, ĐO BÓC KHỐI LƯỢNG HOÀN THÀNH ĐƯA VÀO QUYẾT TOÁN</v>
          </cell>
        </row>
      </sheetData>
      <sheetData sheetId="6951">
        <row r="4">
          <cell r="A4" t="str">
            <v>BẢNG TÍNH TOÁN, ĐO BÓC KHỐI LƯỢNG HOÀN THÀNH ĐƯA VÀO QUYẾT TOÁN</v>
          </cell>
        </row>
      </sheetData>
      <sheetData sheetId="6952">
        <row r="4">
          <cell r="A4" t="str">
            <v>BẢNG TÍNH TOÁN, ĐO BÓC KHỐI LƯỢNG HOÀN THÀNH ĐƯA VÀO QUYẾT TOÁN</v>
          </cell>
        </row>
      </sheetData>
      <sheetData sheetId="6953">
        <row r="4">
          <cell r="A4" t="str">
            <v>BẢNG TÍNH TOÁN, ĐO BÓC KHỐI LƯỢNG HOÀN THÀNH ĐƯA VÀO QUYẾT TOÁN</v>
          </cell>
        </row>
      </sheetData>
      <sheetData sheetId="6954">
        <row r="4">
          <cell r="A4" t="str">
            <v>BẢNG TÍNH TOÁN, ĐO BÓC KHỐI LƯỢNG HOÀN THÀNH ĐƯA VÀO QUYẾT TOÁN</v>
          </cell>
        </row>
      </sheetData>
      <sheetData sheetId="6955">
        <row r="4">
          <cell r="A4" t="str">
            <v>BẢNG TÍNH TOÁN, ĐO BÓC KHỐI LƯỢNG HOÀN THÀNH ĐƯA VÀO QUYẾT TOÁN</v>
          </cell>
        </row>
      </sheetData>
      <sheetData sheetId="6956">
        <row r="4">
          <cell r="A4" t="str">
            <v>BẢNG TÍNH TOÁN, ĐO BÓC KHỐI LƯỢNG HOÀN THÀNH ĐƯA VÀO QUYẾT TOÁN</v>
          </cell>
        </row>
      </sheetData>
      <sheetData sheetId="6957">
        <row r="4">
          <cell r="A4" t="str">
            <v>BẢNG TÍNH TOÁN, ĐO BÓC KHỐI LƯỢNG HOÀN THÀNH ĐƯA VÀO QUYẾT TOÁN</v>
          </cell>
        </row>
      </sheetData>
      <sheetData sheetId="6958">
        <row r="4">
          <cell r="A4" t="str">
            <v>BẢNG TÍNH TOÁN, ĐO BÓC KHỐI LƯỢNG HOÀN THÀNH ĐƯA VÀO QUYẾT TOÁN</v>
          </cell>
        </row>
      </sheetData>
      <sheetData sheetId="6959">
        <row r="4">
          <cell r="A4" t="str">
            <v>BẢNG TÍNH TOÁN, ĐO BÓC KHỐI LƯỢNG HOÀN THÀNH ĐƯA VÀO QUYẾT TOÁN</v>
          </cell>
        </row>
      </sheetData>
      <sheetData sheetId="6960">
        <row r="4">
          <cell r="A4" t="str">
            <v>BẢNG TÍNH TOÁN, ĐO BÓC KHỐI LƯỢNG HOÀN THÀNH ĐƯA VÀO QUYẾT TOÁN</v>
          </cell>
        </row>
      </sheetData>
      <sheetData sheetId="6961">
        <row r="4">
          <cell r="A4" t="str">
            <v>BẢNG TÍNH TOÁN, ĐO BÓC KHỐI LƯỢNG HOÀN THÀNH ĐƯA VÀO QUYẾT TOÁN</v>
          </cell>
        </row>
      </sheetData>
      <sheetData sheetId="6962">
        <row r="4">
          <cell r="A4" t="str">
            <v>BẢNG TÍNH TOÁN, ĐO BÓC KHỐI LƯỢNG HOÀN THÀNH ĐƯA VÀO QUYẾT TOÁN</v>
          </cell>
        </row>
      </sheetData>
      <sheetData sheetId="6963">
        <row r="4">
          <cell r="A4" t="str">
            <v>BẢNG TÍNH TOÁN, ĐO BÓC KHỐI LƯỢNG HOÀN THÀNH ĐƯA VÀO QUYẾT TOÁN</v>
          </cell>
        </row>
      </sheetData>
      <sheetData sheetId="6964">
        <row r="4">
          <cell r="A4" t="str">
            <v>BẢNG TÍNH TOÁN, ĐO BÓC KHỐI LƯỢNG HOÀN THÀNH ĐƯA VÀO QUYẾT TOÁN</v>
          </cell>
        </row>
      </sheetData>
      <sheetData sheetId="6965">
        <row r="4">
          <cell r="A4" t="str">
            <v>BẢNG TÍNH TOÁN, ĐO BÓC KHỐI LƯỢNG HOÀN THÀNH ĐƯA VÀO QUYẾT TOÁN</v>
          </cell>
        </row>
      </sheetData>
      <sheetData sheetId="6966">
        <row r="4">
          <cell r="A4" t="str">
            <v>BẢNG TÍNH TOÁN, ĐO BÓC KHỐI LƯỢNG HOÀN THÀNH ĐƯA VÀO QUYẾT TOÁN</v>
          </cell>
        </row>
      </sheetData>
      <sheetData sheetId="6967">
        <row r="4">
          <cell r="A4" t="str">
            <v>BẢNG TÍNH TOÁN, ĐO BÓC KHỐI LƯỢNG HOÀN THÀNH ĐƯA VÀO QUYẾT TOÁN</v>
          </cell>
        </row>
      </sheetData>
      <sheetData sheetId="6968">
        <row r="4">
          <cell r="A4" t="str">
            <v>BẢNG TÍNH TOÁN, ĐO BÓC KHỐI LƯỢNG HOÀN THÀNH ĐƯA VÀO QUYẾT TOÁN</v>
          </cell>
        </row>
      </sheetData>
      <sheetData sheetId="6969">
        <row r="4">
          <cell r="A4" t="str">
            <v>BẢNG TÍNH TOÁN, ĐO BÓC KHỐI LƯỢNG HOÀN THÀNH ĐƯA VÀO QUYẾT TOÁN</v>
          </cell>
        </row>
      </sheetData>
      <sheetData sheetId="6970">
        <row r="4">
          <cell r="A4" t="str">
            <v>BẢNG TÍNH TOÁN, ĐO BÓC KHỐI LƯỢNG HOÀN THÀNH ĐƯA VÀO QUYẾT TOÁN</v>
          </cell>
        </row>
      </sheetData>
      <sheetData sheetId="6971">
        <row r="4">
          <cell r="A4" t="str">
            <v>BẢNG TÍNH TOÁN, ĐO BÓC KHỐI LƯỢNG HOÀN THÀNH ĐƯA VÀO QUYẾT TOÁN</v>
          </cell>
        </row>
      </sheetData>
      <sheetData sheetId="6972">
        <row r="4">
          <cell r="A4" t="str">
            <v>BẢNG TÍNH TOÁN, ĐO BÓC KHỐI LƯỢNG HOÀN THÀNH ĐƯA VÀO QUYẾT TOÁN</v>
          </cell>
        </row>
      </sheetData>
      <sheetData sheetId="6973">
        <row r="4">
          <cell r="A4" t="str">
            <v>BẢNG TÍNH TOÁN, ĐO BÓC KHỐI LƯỢNG HOÀN THÀNH ĐƯA VÀO QUYẾT TOÁN</v>
          </cell>
        </row>
      </sheetData>
      <sheetData sheetId="6974">
        <row r="4">
          <cell r="A4" t="str">
            <v>BẢNG TÍNH TOÁN, ĐO BÓC KHỐI LƯỢNG HOÀN THÀNH ĐƯA VÀO QUYẾT TOÁN</v>
          </cell>
        </row>
      </sheetData>
      <sheetData sheetId="6975">
        <row r="4">
          <cell r="A4" t="str">
            <v>BẢNG TÍNH TOÁN, ĐO BÓC KHỐI LƯỢNG HOÀN THÀNH ĐƯA VÀO QUYẾT TOÁN</v>
          </cell>
        </row>
      </sheetData>
      <sheetData sheetId="6976">
        <row r="4">
          <cell r="A4" t="str">
            <v>BẢNG TÍNH TOÁN, ĐO BÓC KHỐI LƯỢNG HOÀN THÀNH ĐƯA VÀO QUYẾT TOÁN</v>
          </cell>
        </row>
      </sheetData>
      <sheetData sheetId="6977">
        <row r="4">
          <cell r="A4" t="str">
            <v>BẢNG TÍNH TOÁN, ĐO BÓC KHỐI LƯỢNG HOÀN THÀNH ĐƯA VÀO QUYẾT TOÁN</v>
          </cell>
        </row>
      </sheetData>
      <sheetData sheetId="6978">
        <row r="4">
          <cell r="A4" t="str">
            <v>BẢNG TÍNH TOÁN, ĐO BÓC KHỐI LƯỢNG HOÀN THÀNH ĐƯA VÀO QUYẾT TOÁN</v>
          </cell>
        </row>
      </sheetData>
      <sheetData sheetId="6979">
        <row r="4">
          <cell r="A4" t="str">
            <v>BẢNG TÍNH TOÁN, ĐO BÓC KHỐI LƯỢNG HOÀN THÀNH ĐƯA VÀO QUYẾT TOÁN</v>
          </cell>
        </row>
      </sheetData>
      <sheetData sheetId="6980">
        <row r="4">
          <cell r="A4" t="str">
            <v>BẢNG TÍNH TOÁN, ĐO BÓC KHỐI LƯỢNG HOÀN THÀNH ĐƯA VÀO QUYẾT TOÁN</v>
          </cell>
        </row>
      </sheetData>
      <sheetData sheetId="6981">
        <row r="4">
          <cell r="A4" t="str">
            <v>BẢNG TÍNH TOÁN, ĐO BÓC KHỐI LƯỢNG HOÀN THÀNH ĐƯA VÀO QUYẾT TOÁN</v>
          </cell>
        </row>
      </sheetData>
      <sheetData sheetId="6982">
        <row r="4">
          <cell r="A4" t="str">
            <v>BẢNG TÍNH TOÁN, ĐO BÓC KHỐI LƯỢNG HOÀN THÀNH ĐƯA VÀO QUYẾT TOÁN</v>
          </cell>
        </row>
      </sheetData>
      <sheetData sheetId="6983">
        <row r="4">
          <cell r="A4" t="str">
            <v>BẢNG TÍNH TOÁN, ĐO BÓC KHỐI LƯỢNG HOÀN THÀNH ĐƯA VÀO QUYẾT TOÁN</v>
          </cell>
        </row>
      </sheetData>
      <sheetData sheetId="6984">
        <row r="4">
          <cell r="A4" t="str">
            <v>BẢNG TÍNH TOÁN, ĐO BÓC KHỐI LƯỢNG HOÀN THÀNH ĐƯA VÀO QUYẾT TOÁN</v>
          </cell>
        </row>
      </sheetData>
      <sheetData sheetId="6985">
        <row r="4">
          <cell r="A4" t="str">
            <v>BẢNG TÍNH TOÁN, ĐO BÓC KHỐI LƯỢNG HOÀN THÀNH ĐƯA VÀO QUYẾT TOÁN</v>
          </cell>
        </row>
      </sheetData>
      <sheetData sheetId="6986">
        <row r="4">
          <cell r="A4" t="str">
            <v>BẢNG TÍNH TOÁN, ĐO BÓC KHỐI LƯỢNG HOÀN THÀNH ĐƯA VÀO QUYẾT TOÁN</v>
          </cell>
        </row>
      </sheetData>
      <sheetData sheetId="6987">
        <row r="4">
          <cell r="A4" t="str">
            <v>BẢNG TÍNH TOÁN, ĐO BÓC KHỐI LƯỢNG HOÀN THÀNH ĐƯA VÀO QUYẾT TOÁN</v>
          </cell>
        </row>
      </sheetData>
      <sheetData sheetId="6988">
        <row r="4">
          <cell r="A4" t="str">
            <v>BẢNG TÍNH TOÁN, ĐO BÓC KHỐI LƯỢNG HOÀN THÀNH ĐƯA VÀO QUYẾT TOÁN</v>
          </cell>
        </row>
      </sheetData>
      <sheetData sheetId="6989">
        <row r="4">
          <cell r="A4" t="str">
            <v>BẢNG TÍNH TOÁN, ĐO BÓC KHỐI LƯỢNG HOÀN THÀNH ĐƯA VÀO QUYẾT TOÁN</v>
          </cell>
        </row>
      </sheetData>
      <sheetData sheetId="6990">
        <row r="4">
          <cell r="A4" t="str">
            <v>BẢNG TÍNH TOÁN, ĐO BÓC KHỐI LƯỢNG HOÀN THÀNH ĐƯA VÀO QUYẾT TOÁN</v>
          </cell>
        </row>
      </sheetData>
      <sheetData sheetId="6991">
        <row r="4">
          <cell r="A4" t="str">
            <v>BẢNG TÍNH TOÁN, ĐO BÓC KHỐI LƯỢNG HOÀN THÀNH ĐƯA VÀO QUYẾT TOÁN</v>
          </cell>
        </row>
      </sheetData>
      <sheetData sheetId="6992">
        <row r="4">
          <cell r="A4" t="str">
            <v>BẢNG TÍNH TOÁN, ĐO BÓC KHỐI LƯỢNG HOÀN THÀNH ĐƯA VÀO QUYẾT TOÁN</v>
          </cell>
        </row>
      </sheetData>
      <sheetData sheetId="6993">
        <row r="4">
          <cell r="A4" t="str">
            <v>BẢNG TÍNH TOÁN, ĐO BÓC KHỐI LƯỢNG HOÀN THÀNH ĐƯA VÀO QUYẾT TOÁN</v>
          </cell>
        </row>
      </sheetData>
      <sheetData sheetId="6994">
        <row r="4">
          <cell r="A4" t="str">
            <v>BẢNG TÍNH TOÁN, ĐO BÓC KHỐI LƯỢNG HOÀN THÀNH ĐƯA VÀO QUYẾT TOÁN</v>
          </cell>
        </row>
      </sheetData>
      <sheetData sheetId="6995">
        <row r="4">
          <cell r="A4" t="str">
            <v>BẢNG TÍNH TOÁN, ĐO BÓC KHỐI LƯỢNG HOÀN THÀNH ĐƯA VÀO QUYẾT TOÁN</v>
          </cell>
        </row>
      </sheetData>
      <sheetData sheetId="6996">
        <row r="4">
          <cell r="A4" t="str">
            <v>BẢNG TÍNH TOÁN, ĐO BÓC KHỐI LƯỢNG HOÀN THÀNH ĐƯA VÀO QUYẾT TOÁN</v>
          </cell>
        </row>
      </sheetData>
      <sheetData sheetId="6997">
        <row r="4">
          <cell r="A4" t="str">
            <v>BẢNG TÍNH TOÁN, ĐO BÓC KHỐI LƯỢNG HOÀN THÀNH ĐƯA VÀO QUYẾT TOÁN</v>
          </cell>
        </row>
      </sheetData>
      <sheetData sheetId="6998">
        <row r="4">
          <cell r="A4" t="str">
            <v>BẢNG TÍNH TOÁN, ĐO BÓC KHỐI LƯỢNG HOÀN THÀNH ĐƯA VÀO QUYẾT TOÁN</v>
          </cell>
        </row>
      </sheetData>
      <sheetData sheetId="6999">
        <row r="4">
          <cell r="A4" t="str">
            <v>BẢNG TÍNH TOÁN, ĐO BÓC KHỐI LƯỢNG HOÀN THÀNH ĐƯA VÀO QUYẾT TOÁN</v>
          </cell>
        </row>
      </sheetData>
      <sheetData sheetId="7000">
        <row r="4">
          <cell r="A4" t="str">
            <v>BẢNG TÍNH TOÁN, ĐO BÓC KHỐI LƯỢNG HOÀN THÀNH ĐƯA VÀO QUYẾT TOÁN</v>
          </cell>
        </row>
      </sheetData>
      <sheetData sheetId="7001">
        <row r="4">
          <cell r="A4" t="str">
            <v>BẢNG TÍNH TOÁN, ĐO BÓC KHỐI LƯỢNG HOÀN THÀNH ĐƯA VÀO QUYẾT TOÁN</v>
          </cell>
        </row>
      </sheetData>
      <sheetData sheetId="7002">
        <row r="4">
          <cell r="A4" t="str">
            <v>BẢNG TÍNH TOÁN, ĐO BÓC KHỐI LƯỢNG HOÀN THÀNH ĐƯA VÀO QUYẾT TOÁN</v>
          </cell>
        </row>
      </sheetData>
      <sheetData sheetId="7003">
        <row r="4">
          <cell r="A4" t="str">
            <v>BẢNG TÍNH TOÁN, ĐO BÓC KHỐI LƯỢNG HOÀN THÀNH ĐƯA VÀO QUYẾT TOÁN</v>
          </cell>
        </row>
      </sheetData>
      <sheetData sheetId="7004">
        <row r="4">
          <cell r="A4" t="str">
            <v>BẢNG TÍNH TOÁN, ĐO BÓC KHỐI LƯỢNG HOÀN THÀNH ĐƯA VÀO QUYẾT TOÁN</v>
          </cell>
        </row>
      </sheetData>
      <sheetData sheetId="7005">
        <row r="4">
          <cell r="A4" t="str">
            <v>BẢNG TÍNH TOÁN, ĐO BÓC KHỐI LƯỢNG HOÀN THÀNH ĐƯA VÀO QUYẾT TOÁN</v>
          </cell>
        </row>
      </sheetData>
      <sheetData sheetId="7006">
        <row r="4">
          <cell r="A4" t="str">
            <v>BẢNG TÍNH TOÁN, ĐO BÓC KHỐI LƯỢNG HOÀN THÀNH ĐƯA VÀO QUYẾT TOÁN</v>
          </cell>
        </row>
      </sheetData>
      <sheetData sheetId="7007">
        <row r="4">
          <cell r="A4" t="str">
            <v>BẢNG TÍNH TOÁN, ĐO BÓC KHỐI LƯỢNG HOÀN THÀNH ĐƯA VÀO QUYẾT TOÁN</v>
          </cell>
        </row>
      </sheetData>
      <sheetData sheetId="7008">
        <row r="4">
          <cell r="A4" t="str">
            <v>BẢNG TÍNH TOÁN, ĐO BÓC KHỐI LƯỢNG HOÀN THÀNH ĐƯA VÀO QUYẾT TOÁN</v>
          </cell>
        </row>
      </sheetData>
      <sheetData sheetId="7009">
        <row r="4">
          <cell r="A4" t="str">
            <v>BẢNG TÍNH TOÁN, ĐO BÓC KHỐI LƯỢNG HOÀN THÀNH ĐƯA VÀO QUYẾT TOÁN</v>
          </cell>
        </row>
      </sheetData>
      <sheetData sheetId="7010">
        <row r="4">
          <cell r="A4" t="str">
            <v>BẢNG TÍNH TOÁN, ĐO BÓC KHỐI LƯỢNG HOÀN THÀNH ĐƯA VÀO QUYẾT TOÁN</v>
          </cell>
        </row>
      </sheetData>
      <sheetData sheetId="7011">
        <row r="4">
          <cell r="A4" t="str">
            <v>BẢNG TÍNH TOÁN, ĐO BÓC KHỐI LƯỢNG HOÀN THÀNH ĐƯA VÀO QUYẾT TOÁN</v>
          </cell>
        </row>
      </sheetData>
      <sheetData sheetId="7012">
        <row r="4">
          <cell r="A4" t="str">
            <v>BẢNG TÍNH TOÁN, ĐO BÓC KHỐI LƯỢNG HOÀN THÀNH ĐƯA VÀO QUYẾT TOÁN</v>
          </cell>
        </row>
      </sheetData>
      <sheetData sheetId="7013">
        <row r="4">
          <cell r="A4" t="str">
            <v>BẢNG TÍNH TOÁN, ĐO BÓC KHỐI LƯỢNG HOÀN THÀNH ĐƯA VÀO QUYẾT TOÁN</v>
          </cell>
        </row>
      </sheetData>
      <sheetData sheetId="7014">
        <row r="4">
          <cell r="A4" t="str">
            <v>BẢNG TÍNH TOÁN, ĐO BÓC KHỐI LƯỢNG HOÀN THÀNH ĐƯA VÀO QUYẾT TOÁN</v>
          </cell>
        </row>
      </sheetData>
      <sheetData sheetId="7015">
        <row r="4">
          <cell r="A4" t="str">
            <v>BẢNG TÍNH TOÁN, ĐO BÓC KHỐI LƯỢNG HOÀN THÀNH ĐƯA VÀO QUYẾT TOÁN</v>
          </cell>
        </row>
      </sheetData>
      <sheetData sheetId="7016">
        <row r="4">
          <cell r="A4" t="str">
            <v>BẢNG TÍNH TOÁN, ĐO BÓC KHỐI LƯỢNG HOÀN THÀNH ĐƯA VÀO QUYẾT TOÁN</v>
          </cell>
        </row>
      </sheetData>
      <sheetData sheetId="7017">
        <row r="4">
          <cell r="A4" t="str">
            <v>BẢNG TÍNH TOÁN, ĐO BÓC KHỐI LƯỢNG HOÀN THÀNH ĐƯA VÀO QUYẾT TOÁN</v>
          </cell>
        </row>
      </sheetData>
      <sheetData sheetId="7018">
        <row r="4">
          <cell r="A4" t="str">
            <v>BẢNG TÍNH TOÁN, ĐO BÓC KHỐI LƯỢNG HOÀN THÀNH ĐƯA VÀO QUYẾT TOÁN</v>
          </cell>
        </row>
      </sheetData>
      <sheetData sheetId="7019">
        <row r="4">
          <cell r="A4" t="str">
            <v>BẢNG TÍNH TOÁN, ĐO BÓC KHỐI LƯỢNG HOÀN THÀNH ĐƯA VÀO QUYẾT TOÁN</v>
          </cell>
        </row>
      </sheetData>
      <sheetData sheetId="7020">
        <row r="4">
          <cell r="A4" t="str">
            <v>BẢNG TÍNH TOÁN, ĐO BÓC KHỐI LƯỢNG HOÀN THÀNH ĐƯA VÀO QUYẾT TOÁN</v>
          </cell>
        </row>
      </sheetData>
      <sheetData sheetId="7021">
        <row r="4">
          <cell r="A4" t="str">
            <v>BẢNG TÍNH TOÁN, ĐO BÓC KHỐI LƯỢNG HOÀN THÀNH ĐƯA VÀO QUYẾT TOÁN</v>
          </cell>
        </row>
      </sheetData>
      <sheetData sheetId="7022">
        <row r="4">
          <cell r="A4" t="str">
            <v>BẢNG TÍNH TOÁN, ĐO BÓC KHỐI LƯỢNG HOÀN THÀNH ĐƯA VÀO QUYẾT TOÁN</v>
          </cell>
        </row>
      </sheetData>
      <sheetData sheetId="7023">
        <row r="4">
          <cell r="A4" t="str">
            <v>BẢNG TÍNH TOÁN, ĐO BÓC KHỐI LƯỢNG HOÀN THÀNH ĐƯA VÀO QUYẾT TOÁN</v>
          </cell>
        </row>
      </sheetData>
      <sheetData sheetId="7024">
        <row r="4">
          <cell r="A4" t="str">
            <v>BẢNG TÍNH TOÁN, ĐO BÓC KHỐI LƯỢNG HOÀN THÀNH ĐƯA VÀO QUYẾT TOÁN</v>
          </cell>
        </row>
      </sheetData>
      <sheetData sheetId="7025">
        <row r="4">
          <cell r="A4" t="str">
            <v>BẢNG TÍNH TOÁN, ĐO BÓC KHỐI LƯỢNG HOÀN THÀNH ĐƯA VÀO QUYẾT TOÁN</v>
          </cell>
        </row>
      </sheetData>
      <sheetData sheetId="7026">
        <row r="4">
          <cell r="A4" t="str">
            <v>BẢNG TÍNH TOÁN, ĐO BÓC KHỐI LƯỢNG HOÀN THÀNH ĐƯA VÀO QUYẾT TOÁN</v>
          </cell>
        </row>
      </sheetData>
      <sheetData sheetId="7027">
        <row r="4">
          <cell r="A4" t="str">
            <v>BẢNG TÍNH TOÁN, ĐO BÓC KHỐI LƯỢNG HOÀN THÀNH ĐƯA VÀO QUYẾT TOÁN</v>
          </cell>
        </row>
      </sheetData>
      <sheetData sheetId="7028">
        <row r="4">
          <cell r="A4" t="str">
            <v>BẢNG TÍNH TOÁN, ĐO BÓC KHỐI LƯỢNG HOÀN THÀNH ĐƯA VÀO QUYẾT TOÁN</v>
          </cell>
        </row>
      </sheetData>
      <sheetData sheetId="7029">
        <row r="4">
          <cell r="A4" t="str">
            <v>BẢNG TÍNH TOÁN, ĐO BÓC KHỐI LƯỢNG HOÀN THÀNH ĐƯA VÀO QUYẾT TOÁN</v>
          </cell>
        </row>
      </sheetData>
      <sheetData sheetId="7030">
        <row r="4">
          <cell r="A4" t="str">
            <v>BẢNG TÍNH TOÁN, ĐO BÓC KHỐI LƯỢNG HOÀN THÀNH ĐƯA VÀO QUYẾT TOÁN</v>
          </cell>
        </row>
      </sheetData>
      <sheetData sheetId="7031">
        <row r="4">
          <cell r="A4" t="str">
            <v>BẢNG TÍNH TOÁN, ĐO BÓC KHỐI LƯỢNG HOÀN THÀNH ĐƯA VÀO QUYẾT TOÁN</v>
          </cell>
        </row>
      </sheetData>
      <sheetData sheetId="7032">
        <row r="4">
          <cell r="A4" t="str">
            <v>BẢNG TÍNH TOÁN, ĐO BÓC KHỐI LƯỢNG HOÀN THÀNH ĐƯA VÀO QUYẾT TOÁN</v>
          </cell>
        </row>
      </sheetData>
      <sheetData sheetId="7033">
        <row r="4">
          <cell r="A4" t="str">
            <v>BẢNG TÍNH TOÁN, ĐO BÓC KHỐI LƯỢNG HOÀN THÀNH ĐƯA VÀO QUYẾT TOÁN</v>
          </cell>
        </row>
      </sheetData>
      <sheetData sheetId="7034">
        <row r="4">
          <cell r="A4" t="str">
            <v>BẢNG TÍNH TOÁN, ĐO BÓC KHỐI LƯỢNG HOÀN THÀNH ĐƯA VÀO QUYẾT TOÁN</v>
          </cell>
        </row>
      </sheetData>
      <sheetData sheetId="7035">
        <row r="4">
          <cell r="A4" t="str">
            <v>BẢNG TÍNH TOÁN, ĐO BÓC KHỐI LƯỢNG HOÀN THÀNH ĐƯA VÀO QUYẾT TOÁN</v>
          </cell>
        </row>
      </sheetData>
      <sheetData sheetId="7036">
        <row r="4">
          <cell r="A4" t="str">
            <v>BẢNG TÍNH TOÁN, ĐO BÓC KHỐI LƯỢNG HOÀN THÀNH ĐƯA VÀO QUYẾT TOÁN</v>
          </cell>
        </row>
      </sheetData>
      <sheetData sheetId="7037">
        <row r="4">
          <cell r="A4" t="str">
            <v>BẢNG TÍNH TOÁN, ĐO BÓC KHỐI LƯỢNG HOÀN THÀNH ĐƯA VÀO QUYẾT TOÁN</v>
          </cell>
        </row>
      </sheetData>
      <sheetData sheetId="7038">
        <row r="4">
          <cell r="A4" t="str">
            <v>BẢNG TÍNH TOÁN, ĐO BÓC KHỐI LƯỢNG HOÀN THÀNH ĐƯA VÀO QUYẾT TOÁN</v>
          </cell>
        </row>
      </sheetData>
      <sheetData sheetId="7039">
        <row r="4">
          <cell r="A4" t="str">
            <v>BẢNG TÍNH TOÁN, ĐO BÓC KHỐI LƯỢNG HOÀN THÀNH ĐƯA VÀO QUYẾT TOÁN</v>
          </cell>
        </row>
      </sheetData>
      <sheetData sheetId="7040">
        <row r="4">
          <cell r="A4" t="str">
            <v>BẢNG TÍNH TOÁN, ĐO BÓC KHỐI LƯỢNG HOÀN THÀNH ĐƯA VÀO QUYẾT TOÁN</v>
          </cell>
        </row>
      </sheetData>
      <sheetData sheetId="7041">
        <row r="4">
          <cell r="A4" t="str">
            <v>BẢNG TÍNH TOÁN, ĐO BÓC KHỐI LƯỢNG HOÀN THÀNH ĐƯA VÀO QUYẾT TOÁN</v>
          </cell>
        </row>
      </sheetData>
      <sheetData sheetId="7042">
        <row r="4">
          <cell r="A4" t="str">
            <v>BẢNG TÍNH TOÁN, ĐO BÓC KHỐI LƯỢNG HOÀN THÀNH ĐƯA VÀO QUYẾT TOÁN</v>
          </cell>
        </row>
      </sheetData>
      <sheetData sheetId="7043">
        <row r="4">
          <cell r="A4" t="str">
            <v>BẢNG TÍNH TOÁN, ĐO BÓC KHỐI LƯỢNG HOÀN THÀNH ĐƯA VÀO QUYẾT TOÁN</v>
          </cell>
        </row>
      </sheetData>
      <sheetData sheetId="7044">
        <row r="4">
          <cell r="A4" t="str">
            <v>BẢNG TÍNH TOÁN, ĐO BÓC KHỐI LƯỢNG HOÀN THÀNH ĐƯA VÀO QUYẾT TOÁN</v>
          </cell>
        </row>
      </sheetData>
      <sheetData sheetId="7045">
        <row r="4">
          <cell r="A4" t="str">
            <v>BẢNG TÍNH TOÁN, ĐO BÓC KHỐI LƯỢNG HOÀN THÀNH ĐƯA VÀO QUYẾT TOÁN</v>
          </cell>
        </row>
      </sheetData>
      <sheetData sheetId="7046">
        <row r="4">
          <cell r="A4" t="str">
            <v>BẢNG TÍNH TOÁN, ĐO BÓC KHỐI LƯỢNG HOÀN THÀNH ĐƯA VÀO QUYẾT TOÁN</v>
          </cell>
        </row>
      </sheetData>
      <sheetData sheetId="7047">
        <row r="4">
          <cell r="A4" t="str">
            <v>BẢNG TÍNH TOÁN, ĐO BÓC KHỐI LƯỢNG HOÀN THÀNH ĐƯA VÀO QUYẾT TOÁN</v>
          </cell>
        </row>
      </sheetData>
      <sheetData sheetId="7048">
        <row r="4">
          <cell r="A4" t="str">
            <v>BẢNG TÍNH TOÁN, ĐO BÓC KHỐI LƯỢNG HOÀN THÀNH ĐƯA VÀO QUYẾT TOÁN</v>
          </cell>
        </row>
      </sheetData>
      <sheetData sheetId="7049">
        <row r="4">
          <cell r="A4" t="str">
            <v>BẢNG TÍNH TOÁN, ĐO BÓC KHỐI LƯỢNG HOÀN THÀNH ĐƯA VÀO QUYẾT TOÁN</v>
          </cell>
        </row>
      </sheetData>
      <sheetData sheetId="7050">
        <row r="4">
          <cell r="A4" t="str">
            <v>BẢNG TÍNH TOÁN, ĐO BÓC KHỐI LƯỢNG HOÀN THÀNH ĐƯA VÀO QUYẾT TOÁN</v>
          </cell>
        </row>
      </sheetData>
      <sheetData sheetId="7051">
        <row r="4">
          <cell r="A4" t="str">
            <v>BẢNG TÍNH TOÁN, ĐO BÓC KHỐI LƯỢNG HOÀN THÀNH ĐƯA VÀO QUYẾT TOÁN</v>
          </cell>
        </row>
      </sheetData>
      <sheetData sheetId="7052">
        <row r="4">
          <cell r="A4" t="str">
            <v>BẢNG TÍNH TOÁN, ĐO BÓC KHỐI LƯỢNG HOÀN THÀNH ĐƯA VÀO QUYẾT TOÁN</v>
          </cell>
        </row>
      </sheetData>
      <sheetData sheetId="7053">
        <row r="4">
          <cell r="A4" t="str">
            <v>BẢNG TÍNH TOÁN, ĐO BÓC KHỐI LƯỢNG HOÀN THÀNH ĐƯA VÀO QUYẾT TOÁN</v>
          </cell>
        </row>
      </sheetData>
      <sheetData sheetId="7054">
        <row r="4">
          <cell r="A4" t="str">
            <v>BẢNG TÍNH TOÁN, ĐO BÓC KHỐI LƯỢNG HOÀN THÀNH ĐƯA VÀO QUYẾT TOÁN</v>
          </cell>
        </row>
      </sheetData>
      <sheetData sheetId="7055">
        <row r="4">
          <cell r="A4" t="str">
            <v>BẢNG TÍNH TOÁN, ĐO BÓC KHỐI LƯỢNG HOÀN THÀNH ĐƯA VÀO QUYẾT TOÁN</v>
          </cell>
        </row>
      </sheetData>
      <sheetData sheetId="7056">
        <row r="4">
          <cell r="A4" t="str">
            <v>BẢNG TÍNH TOÁN, ĐO BÓC KHỐI LƯỢNG HOÀN THÀNH ĐƯA VÀO QUYẾT TOÁN</v>
          </cell>
        </row>
      </sheetData>
      <sheetData sheetId="7057">
        <row r="4">
          <cell r="A4" t="str">
            <v>BẢNG TÍNH TOÁN, ĐO BÓC KHỐI LƯỢNG HOÀN THÀNH ĐƯA VÀO QUYẾT TOÁN</v>
          </cell>
        </row>
      </sheetData>
      <sheetData sheetId="7058">
        <row r="4">
          <cell r="A4" t="str">
            <v>BẢNG TÍNH TOÁN, ĐO BÓC KHỐI LƯỢNG HOÀN THÀNH ĐƯA VÀO QUYẾT TOÁN</v>
          </cell>
        </row>
      </sheetData>
      <sheetData sheetId="7059">
        <row r="4">
          <cell r="A4" t="str">
            <v>BẢNG TÍNH TOÁN, ĐO BÓC KHỐI LƯỢNG HOÀN THÀNH ĐƯA VÀO QUYẾT TOÁN</v>
          </cell>
        </row>
      </sheetData>
      <sheetData sheetId="7060">
        <row r="4">
          <cell r="A4" t="str">
            <v>BẢNG TÍNH TOÁN, ĐO BÓC KHỐI LƯỢNG HOÀN THÀNH ĐƯA VÀO QUYẾT TOÁN</v>
          </cell>
        </row>
      </sheetData>
      <sheetData sheetId="7061">
        <row r="4">
          <cell r="A4" t="str">
            <v>BẢNG TÍNH TOÁN, ĐO BÓC KHỐI LƯỢNG HOÀN THÀNH ĐƯA VÀO QUYẾT TOÁN</v>
          </cell>
        </row>
      </sheetData>
      <sheetData sheetId="7062">
        <row r="4">
          <cell r="A4" t="str">
            <v>BẢNG TÍNH TOÁN, ĐO BÓC KHỐI LƯỢNG HOÀN THÀNH ĐƯA VÀO QUYẾT TOÁN</v>
          </cell>
        </row>
      </sheetData>
      <sheetData sheetId="7063">
        <row r="4">
          <cell r="A4" t="str">
            <v>BẢNG TÍNH TOÁN, ĐO BÓC KHỐI LƯỢNG HOÀN THÀNH ĐƯA VÀO QUYẾT TOÁN</v>
          </cell>
        </row>
      </sheetData>
      <sheetData sheetId="7064">
        <row r="4">
          <cell r="A4" t="str">
            <v>BẢNG TÍNH TOÁN, ĐO BÓC KHỐI LƯỢNG HOÀN THÀNH ĐƯA VÀO QUYẾT TOÁN</v>
          </cell>
        </row>
      </sheetData>
      <sheetData sheetId="7065">
        <row r="4">
          <cell r="A4" t="str">
            <v>BẢNG TÍNH TOÁN, ĐO BÓC KHỐI LƯỢNG HOÀN THÀNH ĐƯA VÀO QUYẾT TOÁN</v>
          </cell>
        </row>
      </sheetData>
      <sheetData sheetId="7066">
        <row r="4">
          <cell r="A4" t="str">
            <v>BẢNG TÍNH TOÁN, ĐO BÓC KHỐI LƯỢNG HOÀN THÀNH ĐƯA VÀO QUYẾT TOÁN</v>
          </cell>
        </row>
      </sheetData>
      <sheetData sheetId="7067">
        <row r="4">
          <cell r="A4" t="str">
            <v>BẢNG TÍNH TOÁN, ĐO BÓC KHỐI LƯỢNG HOÀN THÀNH ĐƯA VÀO QUYẾT TOÁN</v>
          </cell>
        </row>
      </sheetData>
      <sheetData sheetId="7068">
        <row r="4">
          <cell r="A4" t="str">
            <v>BẢNG TÍNH TOÁN, ĐO BÓC KHỐI LƯỢNG HOÀN THÀNH ĐƯA VÀO QUYẾT TOÁN</v>
          </cell>
        </row>
      </sheetData>
      <sheetData sheetId="7069">
        <row r="4">
          <cell r="A4" t="str">
            <v>BẢNG TÍNH TOÁN, ĐO BÓC KHỐI LƯỢNG HOÀN THÀNH ĐƯA VÀO QUYẾT TOÁN</v>
          </cell>
        </row>
      </sheetData>
      <sheetData sheetId="7070">
        <row r="4">
          <cell r="A4" t="str">
            <v>BẢNG TÍNH TOÁN, ĐO BÓC KHỐI LƯỢNG HOÀN THÀNH ĐƯA VÀO QUYẾT TOÁN</v>
          </cell>
        </row>
      </sheetData>
      <sheetData sheetId="7071">
        <row r="4">
          <cell r="A4" t="str">
            <v>BẢNG TÍNH TOÁN, ĐO BÓC KHỐI LƯỢNG HOÀN THÀNH ĐƯA VÀO QUYẾT TOÁN</v>
          </cell>
        </row>
      </sheetData>
      <sheetData sheetId="7072">
        <row r="4">
          <cell r="A4" t="str">
            <v>BẢNG TÍNH TOÁN, ĐO BÓC KHỐI LƯỢNG HOÀN THÀNH ĐƯA VÀO QUYẾT TOÁN</v>
          </cell>
        </row>
      </sheetData>
      <sheetData sheetId="7073">
        <row r="4">
          <cell r="A4" t="str">
            <v>BẢNG TÍNH TOÁN, ĐO BÓC KHỐI LƯỢNG HOÀN THÀNH ĐƯA VÀO QUYẾT TOÁN</v>
          </cell>
        </row>
      </sheetData>
      <sheetData sheetId="7074">
        <row r="4">
          <cell r="A4" t="str">
            <v>BẢNG TÍNH TOÁN, ĐO BÓC KHỐI LƯỢNG HOÀN THÀNH ĐƯA VÀO QUYẾT TOÁN</v>
          </cell>
        </row>
      </sheetData>
      <sheetData sheetId="7075">
        <row r="4">
          <cell r="A4" t="str">
            <v>BẢNG TÍNH TOÁN, ĐO BÓC KHỐI LƯỢNG HOÀN THÀNH ĐƯA VÀO QUYẾT TOÁN</v>
          </cell>
        </row>
      </sheetData>
      <sheetData sheetId="7076">
        <row r="4">
          <cell r="A4" t="str">
            <v>BẢNG TÍNH TOÁN, ĐO BÓC KHỐI LƯỢNG HOÀN THÀNH ĐƯA VÀO QUYẾT TOÁN</v>
          </cell>
        </row>
      </sheetData>
      <sheetData sheetId="7077">
        <row r="4">
          <cell r="A4" t="str">
            <v>BẢNG TÍNH TOÁN, ĐO BÓC KHỐI LƯỢNG HOÀN THÀNH ĐƯA VÀO QUYẾT TOÁN</v>
          </cell>
        </row>
      </sheetData>
      <sheetData sheetId="7078">
        <row r="4">
          <cell r="A4" t="str">
            <v>BẢNG TÍNH TOÁN, ĐO BÓC KHỐI LƯỢNG HOÀN THÀNH ĐƯA VÀO QUYẾT TOÁN</v>
          </cell>
        </row>
      </sheetData>
      <sheetData sheetId="7079">
        <row r="4">
          <cell r="A4" t="str">
            <v>BẢNG TÍNH TOÁN, ĐO BÓC KHỐI LƯỢNG HOÀN THÀNH ĐƯA VÀO QUYẾT TOÁN</v>
          </cell>
        </row>
      </sheetData>
      <sheetData sheetId="7080">
        <row r="4">
          <cell r="A4" t="str">
            <v>BẢNG TÍNH TOÁN, ĐO BÓC KHỐI LƯỢNG HOÀN THÀNH ĐƯA VÀO QUYẾT TOÁN</v>
          </cell>
        </row>
      </sheetData>
      <sheetData sheetId="7081">
        <row r="4">
          <cell r="A4" t="str">
            <v>BẢNG TÍNH TOÁN, ĐO BÓC KHỐI LƯỢNG HOÀN THÀNH ĐƯA VÀO QUYẾT TOÁN</v>
          </cell>
        </row>
      </sheetData>
      <sheetData sheetId="7082">
        <row r="4">
          <cell r="A4" t="str">
            <v>BẢNG TÍNH TOÁN, ĐO BÓC KHỐI LƯỢNG HOÀN THÀNH ĐƯA VÀO QUYẾT TOÁN</v>
          </cell>
        </row>
      </sheetData>
      <sheetData sheetId="7083">
        <row r="4">
          <cell r="A4" t="str">
            <v>BẢNG TÍNH TOÁN, ĐO BÓC KHỐI LƯỢNG HOÀN THÀNH ĐƯA VÀO QUYẾT TOÁN</v>
          </cell>
        </row>
      </sheetData>
      <sheetData sheetId="7084">
        <row r="4">
          <cell r="A4" t="str">
            <v>BẢNG TÍNH TOÁN, ĐO BÓC KHỐI LƯỢNG HOÀN THÀNH ĐƯA VÀO QUYẾT TOÁN</v>
          </cell>
        </row>
      </sheetData>
      <sheetData sheetId="7085">
        <row r="4">
          <cell r="A4" t="str">
            <v>BẢNG TÍNH TOÁN, ĐO BÓC KHỐI LƯỢNG HOÀN THÀNH ĐƯA VÀO QUYẾT TOÁN</v>
          </cell>
        </row>
      </sheetData>
      <sheetData sheetId="7086">
        <row r="4">
          <cell r="A4" t="str">
            <v>BẢNG TÍNH TOÁN, ĐO BÓC KHỐI LƯỢNG HOÀN THÀNH ĐƯA VÀO QUYẾT TOÁN</v>
          </cell>
        </row>
      </sheetData>
      <sheetData sheetId="7087">
        <row r="4">
          <cell r="A4" t="str">
            <v>BẢNG TÍNH TOÁN, ĐO BÓC KHỐI LƯỢNG HOÀN THÀNH ĐƯA VÀO QUYẾT TOÁN</v>
          </cell>
        </row>
      </sheetData>
      <sheetData sheetId="7088">
        <row r="4">
          <cell r="A4" t="str">
            <v>BẢNG TÍNH TOÁN, ĐO BÓC KHỐI LƯỢNG HOÀN THÀNH ĐƯA VÀO QUYẾT TOÁN</v>
          </cell>
        </row>
      </sheetData>
      <sheetData sheetId="7089">
        <row r="4">
          <cell r="A4" t="str">
            <v>BẢNG TÍNH TOÁN, ĐO BÓC KHỐI LƯỢNG HOÀN THÀNH ĐƯA VÀO QUYẾT TOÁN</v>
          </cell>
        </row>
      </sheetData>
      <sheetData sheetId="7090">
        <row r="4">
          <cell r="A4" t="str">
            <v>BẢNG TÍNH TOÁN, ĐO BÓC KHỐI LƯỢNG HOÀN THÀNH ĐƯA VÀO QUYẾT TOÁN</v>
          </cell>
        </row>
      </sheetData>
      <sheetData sheetId="7091">
        <row r="4">
          <cell r="A4" t="str">
            <v>BẢNG TÍNH TOÁN, ĐO BÓC KHỐI LƯỢNG HOÀN THÀNH ĐƯA VÀO QUYẾT TOÁN</v>
          </cell>
        </row>
      </sheetData>
      <sheetData sheetId="7092">
        <row r="4">
          <cell r="A4" t="str">
            <v>BẢNG TÍNH TOÁN, ĐO BÓC KHỐI LƯỢNG HOÀN THÀNH ĐƯA VÀO QUYẾT TOÁN</v>
          </cell>
        </row>
      </sheetData>
      <sheetData sheetId="7093">
        <row r="4">
          <cell r="A4" t="str">
            <v>BẢNG TÍNH TOÁN, ĐO BÓC KHỐI LƯỢNG HOÀN THÀNH ĐƯA VÀO QUYẾT TOÁN</v>
          </cell>
        </row>
      </sheetData>
      <sheetData sheetId="7094">
        <row r="4">
          <cell r="A4" t="str">
            <v>BẢNG TÍNH TOÁN, ĐO BÓC KHỐI LƯỢNG HOÀN THÀNH ĐƯA VÀO QUYẾT TOÁN</v>
          </cell>
        </row>
      </sheetData>
      <sheetData sheetId="7095">
        <row r="4">
          <cell r="A4" t="str">
            <v>BẢNG TÍNH TOÁN, ĐO BÓC KHỐI LƯỢNG HOÀN THÀNH ĐƯA VÀO QUYẾT TOÁN</v>
          </cell>
        </row>
      </sheetData>
      <sheetData sheetId="7096">
        <row r="4">
          <cell r="A4" t="str">
            <v>BẢNG TÍNH TOÁN, ĐO BÓC KHỐI LƯỢNG HOÀN THÀNH ĐƯA VÀO QUYẾT TOÁN</v>
          </cell>
        </row>
      </sheetData>
      <sheetData sheetId="7097">
        <row r="4">
          <cell r="A4" t="str">
            <v>BẢNG TÍNH TOÁN, ĐO BÓC KHỐI LƯỢNG HOÀN THÀNH ĐƯA VÀO QUYẾT TOÁN</v>
          </cell>
        </row>
      </sheetData>
      <sheetData sheetId="7098">
        <row r="4">
          <cell r="A4" t="str">
            <v>BẢNG TÍNH TOÁN, ĐO BÓC KHỐI LƯỢNG HOÀN THÀNH ĐƯA VÀO QUYẾT TOÁN</v>
          </cell>
        </row>
      </sheetData>
      <sheetData sheetId="7099">
        <row r="4">
          <cell r="A4" t="str">
            <v>BẢNG TÍNH TOÁN, ĐO BÓC KHỐI LƯỢNG HOÀN THÀNH ĐƯA VÀO QUYẾT TOÁN</v>
          </cell>
        </row>
      </sheetData>
      <sheetData sheetId="7100">
        <row r="4">
          <cell r="A4" t="str">
            <v>BẢNG TÍNH TOÁN, ĐO BÓC KHỐI LƯỢNG HOÀN THÀNH ĐƯA VÀO QUYẾT TOÁN</v>
          </cell>
        </row>
      </sheetData>
      <sheetData sheetId="7101">
        <row r="4">
          <cell r="A4" t="str">
            <v>BẢNG TÍNH TOÁN, ĐO BÓC KHỐI LƯỢNG HOÀN THÀNH ĐƯA VÀO QUYẾT TOÁN</v>
          </cell>
        </row>
      </sheetData>
      <sheetData sheetId="7102">
        <row r="4">
          <cell r="A4" t="str">
            <v>BẢNG TÍNH TOÁN, ĐO BÓC KHỐI LƯỢNG HOÀN THÀNH ĐƯA VÀO QUYẾT TOÁN</v>
          </cell>
        </row>
      </sheetData>
      <sheetData sheetId="7103">
        <row r="4">
          <cell r="A4" t="str">
            <v>BẢNG TÍNH TOÁN, ĐO BÓC KHỐI LƯỢNG HOÀN THÀNH ĐƯA VÀO QUYẾT TOÁN</v>
          </cell>
        </row>
      </sheetData>
      <sheetData sheetId="7104">
        <row r="4">
          <cell r="A4" t="str">
            <v>BẢNG TÍNH TOÁN, ĐO BÓC KHỐI LƯỢNG HOÀN THÀNH ĐƯA VÀO QUYẾT TOÁN</v>
          </cell>
        </row>
      </sheetData>
      <sheetData sheetId="7105">
        <row r="4">
          <cell r="A4" t="str">
            <v>BẢNG TÍNH TOÁN, ĐO BÓC KHỐI LƯỢNG HOÀN THÀNH ĐƯA VÀO QUYẾT TOÁN</v>
          </cell>
        </row>
      </sheetData>
      <sheetData sheetId="7106">
        <row r="4">
          <cell r="A4" t="str">
            <v>BẢNG TÍNH TOÁN, ĐO BÓC KHỐI LƯỢNG HOÀN THÀNH ĐƯA VÀO QUYẾT TOÁN</v>
          </cell>
        </row>
      </sheetData>
      <sheetData sheetId="7107">
        <row r="4">
          <cell r="A4" t="str">
            <v>BẢNG TÍNH TOÁN, ĐO BÓC KHỐI LƯỢNG HOÀN THÀNH ĐƯA VÀO QUYẾT TOÁN</v>
          </cell>
        </row>
      </sheetData>
      <sheetData sheetId="7108">
        <row r="4">
          <cell r="A4" t="str">
            <v>BẢNG TÍNH TOÁN, ĐO BÓC KHỐI LƯỢNG HOÀN THÀNH ĐƯA VÀO QUYẾT TOÁN</v>
          </cell>
        </row>
      </sheetData>
      <sheetData sheetId="7109">
        <row r="4">
          <cell r="A4" t="str">
            <v>BẢNG TÍNH TOÁN, ĐO BÓC KHỐI LƯỢNG HOÀN THÀNH ĐƯA VÀO QUYẾT TOÁN</v>
          </cell>
        </row>
      </sheetData>
      <sheetData sheetId="7110">
        <row r="4">
          <cell r="A4" t="str">
            <v>BẢNG TÍNH TOÁN, ĐO BÓC KHỐI LƯỢNG HOÀN THÀNH ĐƯA VÀO QUYẾT TOÁN</v>
          </cell>
        </row>
      </sheetData>
      <sheetData sheetId="7111">
        <row r="4">
          <cell r="A4" t="str">
            <v>BẢNG TÍNH TOÁN, ĐO BÓC KHỐI LƯỢNG HOÀN THÀNH ĐƯA VÀO QUYẾT TOÁN</v>
          </cell>
        </row>
      </sheetData>
      <sheetData sheetId="7112">
        <row r="4">
          <cell r="A4" t="str">
            <v>BẢNG TÍNH TOÁN, ĐO BÓC KHỐI LƯỢNG HOÀN THÀNH ĐƯA VÀO QUYẾT TOÁN</v>
          </cell>
        </row>
      </sheetData>
      <sheetData sheetId="7113">
        <row r="4">
          <cell r="A4" t="str">
            <v>BẢNG TÍNH TOÁN, ĐO BÓC KHỐI LƯỢNG HOÀN THÀNH ĐƯA VÀO QUYẾT TOÁN</v>
          </cell>
        </row>
      </sheetData>
      <sheetData sheetId="7114">
        <row r="4">
          <cell r="A4" t="str">
            <v>BẢNG TÍNH TOÁN, ĐO BÓC KHỐI LƯỢNG HOÀN THÀNH ĐƯA VÀO QUYẾT TOÁN</v>
          </cell>
        </row>
      </sheetData>
      <sheetData sheetId="7115">
        <row r="4">
          <cell r="A4" t="str">
            <v>BẢNG TÍNH TOÁN, ĐO BÓC KHỐI LƯỢNG HOÀN THÀNH ĐƯA VÀO QUYẾT TOÁN</v>
          </cell>
        </row>
      </sheetData>
      <sheetData sheetId="7116">
        <row r="4">
          <cell r="A4" t="str">
            <v>BẢNG TÍNH TOÁN, ĐO BÓC KHỐI LƯỢNG HOÀN THÀNH ĐƯA VÀO QUYẾT TOÁN</v>
          </cell>
        </row>
      </sheetData>
      <sheetData sheetId="7117">
        <row r="4">
          <cell r="A4" t="str">
            <v>BẢNG TÍNH TOÁN, ĐO BÓC KHỐI LƯỢNG HOÀN THÀNH ĐƯA VÀO QUYẾT TOÁN</v>
          </cell>
        </row>
      </sheetData>
      <sheetData sheetId="7118">
        <row r="4">
          <cell r="A4" t="str">
            <v>BẢNG TÍNH TOÁN, ĐO BÓC KHỐI LƯỢNG HOÀN THÀNH ĐƯA VÀO QUYẾT TOÁN</v>
          </cell>
        </row>
      </sheetData>
      <sheetData sheetId="7119">
        <row r="4">
          <cell r="A4" t="str">
            <v>BẢNG TÍNH TOÁN, ĐO BÓC KHỐI LƯỢNG HOÀN THÀNH ĐƯA VÀO QUYẾT TOÁN</v>
          </cell>
        </row>
      </sheetData>
      <sheetData sheetId="7120">
        <row r="4">
          <cell r="A4" t="str">
            <v>BẢNG TÍNH TOÁN, ĐO BÓC KHỐI LƯỢNG HOÀN THÀNH ĐƯA VÀO QUYẾT TOÁN</v>
          </cell>
        </row>
      </sheetData>
      <sheetData sheetId="7121">
        <row r="4">
          <cell r="A4" t="str">
            <v>BẢNG TÍNH TOÁN, ĐO BÓC KHỐI LƯỢNG HOÀN THÀNH ĐƯA VÀO QUYẾT TOÁN</v>
          </cell>
        </row>
      </sheetData>
      <sheetData sheetId="7122">
        <row r="4">
          <cell r="A4" t="str">
            <v>BẢNG TÍNH TOÁN, ĐO BÓC KHỐI LƯỢNG HOÀN THÀNH ĐƯA VÀO QUYẾT TOÁN</v>
          </cell>
        </row>
      </sheetData>
      <sheetData sheetId="7123">
        <row r="4">
          <cell r="A4" t="str">
            <v>BẢNG TÍNH TOÁN, ĐO BÓC KHỐI LƯỢNG HOÀN THÀNH ĐƯA VÀO QUYẾT TOÁN</v>
          </cell>
        </row>
      </sheetData>
      <sheetData sheetId="7124">
        <row r="4">
          <cell r="A4" t="str">
            <v>BẢNG TÍNH TOÁN, ĐO BÓC KHỐI LƯỢNG HOÀN THÀNH ĐƯA VÀO QUYẾT TOÁN</v>
          </cell>
        </row>
      </sheetData>
      <sheetData sheetId="7125">
        <row r="4">
          <cell r="A4" t="str">
            <v>BẢNG TÍNH TOÁN, ĐO BÓC KHỐI LƯỢNG HOÀN THÀNH ĐƯA VÀO QUYẾT TOÁN</v>
          </cell>
        </row>
      </sheetData>
      <sheetData sheetId="7126">
        <row r="4">
          <cell r="A4" t="str">
            <v>BẢNG TÍNH TOÁN, ĐO BÓC KHỐI LƯỢNG HOÀN THÀNH ĐƯA VÀO QUYẾT TOÁN</v>
          </cell>
        </row>
      </sheetData>
      <sheetData sheetId="7127">
        <row r="4">
          <cell r="A4" t="str">
            <v>BẢNG TÍNH TOÁN, ĐO BÓC KHỐI LƯỢNG HOÀN THÀNH ĐƯA VÀO QUYẾT TOÁN</v>
          </cell>
        </row>
      </sheetData>
      <sheetData sheetId="7128">
        <row r="4">
          <cell r="A4" t="str">
            <v>BẢNG TÍNH TOÁN, ĐO BÓC KHỐI LƯỢNG HOÀN THÀNH ĐƯA VÀO QUYẾT TOÁN</v>
          </cell>
        </row>
      </sheetData>
      <sheetData sheetId="7129">
        <row r="4">
          <cell r="A4" t="str">
            <v>BẢNG TÍNH TOÁN, ĐO BÓC KHỐI LƯỢNG HOÀN THÀNH ĐƯA VÀO QUYẾT TOÁN</v>
          </cell>
        </row>
      </sheetData>
      <sheetData sheetId="7130">
        <row r="4">
          <cell r="A4" t="str">
            <v>BẢNG TÍNH TOÁN, ĐO BÓC KHỐI LƯỢNG HOÀN THÀNH ĐƯA VÀO QUYẾT TOÁN</v>
          </cell>
        </row>
      </sheetData>
      <sheetData sheetId="7131">
        <row r="4">
          <cell r="A4" t="str">
            <v>BẢNG TÍNH TOÁN, ĐO BÓC KHỐI LƯỢNG HOÀN THÀNH ĐƯA VÀO QUYẾT TOÁN</v>
          </cell>
        </row>
      </sheetData>
      <sheetData sheetId="7132">
        <row r="4">
          <cell r="A4" t="str">
            <v>BẢNG TÍNH TOÁN, ĐO BÓC KHỐI LƯỢNG HOÀN THÀNH ĐƯA VÀO QUYẾT TOÁN</v>
          </cell>
        </row>
      </sheetData>
      <sheetData sheetId="7133">
        <row r="4">
          <cell r="A4" t="str">
            <v>BẢNG TÍNH TOÁN, ĐO BÓC KHỐI LƯỢNG HOÀN THÀNH ĐƯA VÀO QUYẾT TOÁN</v>
          </cell>
        </row>
      </sheetData>
      <sheetData sheetId="7134">
        <row r="4">
          <cell r="A4" t="str">
            <v>BẢNG TÍNH TOÁN, ĐO BÓC KHỐI LƯỢNG HOÀN THÀNH ĐƯA VÀO QUYẾT TOÁN</v>
          </cell>
        </row>
      </sheetData>
      <sheetData sheetId="7135">
        <row r="4">
          <cell r="A4" t="str">
            <v>BẢNG TÍNH TOÁN, ĐO BÓC KHỐI LƯỢNG HOÀN THÀNH ĐƯA VÀO QUYẾT TOÁN</v>
          </cell>
        </row>
      </sheetData>
      <sheetData sheetId="7136">
        <row r="4">
          <cell r="A4" t="str">
            <v>BẢNG TÍNH TOÁN, ĐO BÓC KHỐI LƯỢNG HOÀN THÀNH ĐƯA VÀO QUYẾT TOÁN</v>
          </cell>
        </row>
      </sheetData>
      <sheetData sheetId="7137">
        <row r="4">
          <cell r="A4" t="str">
            <v>BẢNG TÍNH TOÁN, ĐO BÓC KHỐI LƯỢNG HOÀN THÀNH ĐƯA VÀO QUYẾT TOÁN</v>
          </cell>
        </row>
      </sheetData>
      <sheetData sheetId="7138">
        <row r="4">
          <cell r="A4" t="str">
            <v>BẢNG TÍNH TOÁN, ĐO BÓC KHỐI LƯỢNG HOÀN THÀNH ĐƯA VÀO QUYẾT TOÁN</v>
          </cell>
        </row>
      </sheetData>
      <sheetData sheetId="7139">
        <row r="4">
          <cell r="A4" t="str">
            <v>BẢNG TÍNH TOÁN, ĐO BÓC KHỐI LƯỢNG HOÀN THÀNH ĐƯA VÀO QUYẾT TOÁN</v>
          </cell>
        </row>
      </sheetData>
      <sheetData sheetId="7140">
        <row r="4">
          <cell r="A4" t="str">
            <v>BẢNG TÍNH TOÁN, ĐO BÓC KHỐI LƯỢNG HOÀN THÀNH ĐƯA VÀO QUYẾT TOÁN</v>
          </cell>
        </row>
      </sheetData>
      <sheetData sheetId="7141">
        <row r="4">
          <cell r="A4" t="str">
            <v>BẢNG TÍNH TOÁN, ĐO BÓC KHỐI LƯỢNG HOÀN THÀNH ĐƯA VÀO QUYẾT TOÁN</v>
          </cell>
        </row>
      </sheetData>
      <sheetData sheetId="7142">
        <row r="4">
          <cell r="A4" t="str">
            <v>BẢNG TÍNH TOÁN, ĐO BÓC KHỐI LƯỢNG HOÀN THÀNH ĐƯA VÀO QUYẾT TOÁN</v>
          </cell>
        </row>
      </sheetData>
      <sheetData sheetId="7143">
        <row r="4">
          <cell r="A4" t="str">
            <v>BẢNG TÍNH TOÁN, ĐO BÓC KHỐI LƯỢNG HOÀN THÀNH ĐƯA VÀO QUYẾT TOÁN</v>
          </cell>
        </row>
      </sheetData>
      <sheetData sheetId="7144">
        <row r="4">
          <cell r="A4" t="str">
            <v>BẢNG TÍNH TOÁN, ĐO BÓC KHỐI LƯỢNG HOÀN THÀNH ĐƯA VÀO QUYẾT TOÁN</v>
          </cell>
        </row>
      </sheetData>
      <sheetData sheetId="7145">
        <row r="4">
          <cell r="A4" t="str">
            <v>BẢNG TÍNH TOÁN, ĐO BÓC KHỐI LƯỢNG HOÀN THÀNH ĐƯA VÀO QUYẾT TOÁN</v>
          </cell>
        </row>
      </sheetData>
      <sheetData sheetId="7146">
        <row r="4">
          <cell r="A4" t="str">
            <v>BẢNG TÍNH TOÁN, ĐO BÓC KHỐI LƯỢNG HOÀN THÀNH ĐƯA VÀO QUYẾT TOÁN</v>
          </cell>
        </row>
      </sheetData>
      <sheetData sheetId="7147">
        <row r="4">
          <cell r="A4" t="str">
            <v>BẢNG TÍNH TOÁN, ĐO BÓC KHỐI LƯỢNG HOÀN THÀNH ĐƯA VÀO QUYẾT TOÁN</v>
          </cell>
        </row>
      </sheetData>
      <sheetData sheetId="7148">
        <row r="4">
          <cell r="A4" t="str">
            <v>BẢNG TÍNH TOÁN, ĐO BÓC KHỐI LƯỢNG HOÀN THÀNH ĐƯA VÀO QUYẾT TOÁN</v>
          </cell>
        </row>
      </sheetData>
      <sheetData sheetId="7149">
        <row r="4">
          <cell r="A4" t="str">
            <v>BẢNG TÍNH TOÁN, ĐO BÓC KHỐI LƯỢNG HOÀN THÀNH ĐƯA VÀO QUYẾT TOÁN</v>
          </cell>
        </row>
      </sheetData>
      <sheetData sheetId="7150">
        <row r="4">
          <cell r="A4" t="str">
            <v>BẢNG TÍNH TOÁN, ĐO BÓC KHỐI LƯỢNG HOÀN THÀNH ĐƯA VÀO QUYẾT TOÁN</v>
          </cell>
        </row>
      </sheetData>
      <sheetData sheetId="7151">
        <row r="4">
          <cell r="A4" t="str">
            <v>BẢNG TÍNH TOÁN, ĐO BÓC KHỐI LƯỢNG HOÀN THÀNH ĐƯA VÀO QUYẾT TOÁN</v>
          </cell>
        </row>
      </sheetData>
      <sheetData sheetId="7152">
        <row r="4">
          <cell r="A4" t="str">
            <v>BẢNG TÍNH TOÁN, ĐO BÓC KHỐI LƯỢNG HOÀN THÀNH ĐƯA VÀO QUYẾT TOÁN</v>
          </cell>
        </row>
      </sheetData>
      <sheetData sheetId="7153">
        <row r="4">
          <cell r="A4" t="str">
            <v>BẢNG TÍNH TOÁN, ĐO BÓC KHỐI LƯỢNG HOÀN THÀNH ĐƯA VÀO QUYẾT TOÁN</v>
          </cell>
        </row>
      </sheetData>
      <sheetData sheetId="7154">
        <row r="4">
          <cell r="A4" t="str">
            <v>BẢNG TÍNH TOÁN, ĐO BÓC KHỐI LƯỢNG HOÀN THÀNH ĐƯA VÀO QUYẾT TOÁN</v>
          </cell>
        </row>
      </sheetData>
      <sheetData sheetId="7155">
        <row r="4">
          <cell r="A4" t="str">
            <v>BẢNG TÍNH TOÁN, ĐO BÓC KHỐI LƯỢNG HOÀN THÀNH ĐƯA VÀO QUYẾT TOÁN</v>
          </cell>
        </row>
      </sheetData>
      <sheetData sheetId="7156">
        <row r="4">
          <cell r="A4" t="str">
            <v>BẢNG TÍNH TOÁN, ĐO BÓC KHỐI LƯỢNG HOÀN THÀNH ĐƯA VÀO QUYẾT TOÁN</v>
          </cell>
        </row>
      </sheetData>
      <sheetData sheetId="7157">
        <row r="4">
          <cell r="A4" t="str">
            <v>BẢNG TÍNH TOÁN, ĐO BÓC KHỐI LƯỢNG HOÀN THÀNH ĐƯA VÀO QUYẾT TOÁN</v>
          </cell>
        </row>
      </sheetData>
      <sheetData sheetId="7158">
        <row r="4">
          <cell r="A4" t="str">
            <v>BẢNG TÍNH TOÁN, ĐO BÓC KHỐI LƯỢNG HOÀN THÀNH ĐƯA VÀO QUYẾT TOÁN</v>
          </cell>
        </row>
      </sheetData>
      <sheetData sheetId="7159">
        <row r="4">
          <cell r="A4" t="str">
            <v>BẢNG TÍNH TOÁN, ĐO BÓC KHỐI LƯỢNG HOÀN THÀNH ĐƯA VÀO QUYẾT TOÁN</v>
          </cell>
        </row>
      </sheetData>
      <sheetData sheetId="7160">
        <row r="4">
          <cell r="A4" t="str">
            <v>BẢNG TÍNH TOÁN, ĐO BÓC KHỐI LƯỢNG HOÀN THÀNH ĐƯA VÀO QUYẾT TOÁN</v>
          </cell>
        </row>
      </sheetData>
      <sheetData sheetId="7161">
        <row r="4">
          <cell r="A4" t="str">
            <v>BẢNG TÍNH TOÁN, ĐO BÓC KHỐI LƯỢNG HOÀN THÀNH ĐƯA VÀO QUYẾT TOÁN</v>
          </cell>
        </row>
      </sheetData>
      <sheetData sheetId="7162">
        <row r="4">
          <cell r="A4" t="str">
            <v>BẢNG TÍNH TOÁN, ĐO BÓC KHỐI LƯỢNG HOÀN THÀNH ĐƯA VÀO QUYẾT TOÁN</v>
          </cell>
        </row>
      </sheetData>
      <sheetData sheetId="7163">
        <row r="4">
          <cell r="A4" t="str">
            <v>BẢNG TÍNH TOÁN, ĐO BÓC KHỐI LƯỢNG HOÀN THÀNH ĐƯA VÀO QUYẾT TOÁN</v>
          </cell>
        </row>
      </sheetData>
      <sheetData sheetId="7164">
        <row r="4">
          <cell r="A4" t="str">
            <v>BẢNG TÍNH TOÁN, ĐO BÓC KHỐI LƯỢNG HOÀN THÀNH ĐƯA VÀO QUYẾT TOÁN</v>
          </cell>
        </row>
      </sheetData>
      <sheetData sheetId="7165">
        <row r="4">
          <cell r="A4" t="str">
            <v>BẢNG TÍNH TOÁN, ĐO BÓC KHỐI LƯỢNG HOÀN THÀNH ĐƯA VÀO QUYẾT TOÁN</v>
          </cell>
        </row>
      </sheetData>
      <sheetData sheetId="7166">
        <row r="4">
          <cell r="A4" t="str">
            <v>BẢNG TÍNH TOÁN, ĐO BÓC KHỐI LƯỢNG HOÀN THÀNH ĐƯA VÀO QUYẾT TOÁN</v>
          </cell>
        </row>
      </sheetData>
      <sheetData sheetId="7167">
        <row r="4">
          <cell r="A4" t="str">
            <v>BẢNG TÍNH TOÁN, ĐO BÓC KHỐI LƯỢNG HOÀN THÀNH ĐƯA VÀO QUYẾT TOÁN</v>
          </cell>
        </row>
      </sheetData>
      <sheetData sheetId="7168">
        <row r="4">
          <cell r="A4" t="str">
            <v>BẢNG TÍNH TOÁN, ĐO BÓC KHỐI LƯỢNG HOÀN THÀNH ĐƯA VÀO QUYẾT TOÁN</v>
          </cell>
        </row>
      </sheetData>
      <sheetData sheetId="7169">
        <row r="4">
          <cell r="A4" t="str">
            <v>BẢNG TÍNH TOÁN, ĐO BÓC KHỐI LƯỢNG HOÀN THÀNH ĐƯA VÀO QUYẾT TOÁN</v>
          </cell>
        </row>
      </sheetData>
      <sheetData sheetId="7170">
        <row r="4">
          <cell r="A4" t="str">
            <v>BẢNG TÍNH TOÁN, ĐO BÓC KHỐI LƯỢNG HOÀN THÀNH ĐƯA VÀO QUYẾT TOÁN</v>
          </cell>
        </row>
      </sheetData>
      <sheetData sheetId="7171">
        <row r="4">
          <cell r="A4" t="str">
            <v>BẢNG TÍNH TOÁN, ĐO BÓC KHỐI LƯỢNG HOÀN THÀNH ĐƯA VÀO QUYẾT TOÁN</v>
          </cell>
        </row>
      </sheetData>
      <sheetData sheetId="7172">
        <row r="4">
          <cell r="A4" t="str">
            <v>BẢNG TÍNH TOÁN, ĐO BÓC KHỐI LƯỢNG HOÀN THÀNH ĐƯA VÀO QUYẾT TOÁN</v>
          </cell>
        </row>
      </sheetData>
      <sheetData sheetId="7173">
        <row r="4">
          <cell r="A4" t="str">
            <v>BẢNG TÍNH TOÁN, ĐO BÓC KHỐI LƯỢNG HOÀN THÀNH ĐƯA VÀO QUYẾT TOÁN</v>
          </cell>
        </row>
      </sheetData>
      <sheetData sheetId="7174">
        <row r="4">
          <cell r="A4" t="str">
            <v>BẢNG TÍNH TOÁN, ĐO BÓC KHỐI LƯỢNG HOÀN THÀNH ĐƯA VÀO QUYẾT TOÁN</v>
          </cell>
        </row>
      </sheetData>
      <sheetData sheetId="7175">
        <row r="4">
          <cell r="A4" t="str">
            <v>BẢNG TÍNH TOÁN, ĐO BÓC KHỐI LƯỢNG HOÀN THÀNH ĐƯA VÀO QUYẾT TOÁN</v>
          </cell>
        </row>
      </sheetData>
      <sheetData sheetId="7176">
        <row r="4">
          <cell r="A4" t="str">
            <v>BẢNG TÍNH TOÁN, ĐO BÓC KHỐI LƯỢNG HOÀN THÀNH ĐƯA VÀO QUYẾT TOÁN</v>
          </cell>
        </row>
      </sheetData>
      <sheetData sheetId="7177">
        <row r="4">
          <cell r="A4" t="str">
            <v>BẢNG TÍNH TOÁN, ĐO BÓC KHỐI LƯỢNG HOÀN THÀNH ĐƯA VÀO QUYẾT TOÁN</v>
          </cell>
        </row>
      </sheetData>
      <sheetData sheetId="7178">
        <row r="4">
          <cell r="A4" t="str">
            <v>BẢNG TÍNH TOÁN, ĐO BÓC KHỐI LƯỢNG HOÀN THÀNH ĐƯA VÀO QUYẾT TOÁN</v>
          </cell>
        </row>
      </sheetData>
      <sheetData sheetId="7179">
        <row r="4">
          <cell r="A4" t="str">
            <v>BẢNG TÍNH TOÁN, ĐO BÓC KHỐI LƯỢNG HOÀN THÀNH ĐƯA VÀO QUYẾT TOÁN</v>
          </cell>
        </row>
      </sheetData>
      <sheetData sheetId="7180">
        <row r="4">
          <cell r="A4" t="str">
            <v>BẢNG TÍNH TOÁN, ĐO BÓC KHỐI LƯỢNG HOÀN THÀNH ĐƯA VÀO QUYẾT TOÁN</v>
          </cell>
        </row>
      </sheetData>
      <sheetData sheetId="7181">
        <row r="4">
          <cell r="A4" t="str">
            <v>BẢNG TÍNH TOÁN, ĐO BÓC KHỐI LƯỢNG HOÀN THÀNH ĐƯA VÀO QUYẾT TOÁN</v>
          </cell>
        </row>
      </sheetData>
      <sheetData sheetId="7182">
        <row r="4">
          <cell r="A4" t="str">
            <v>BẢNG TÍNH TOÁN, ĐO BÓC KHỐI LƯỢNG HOÀN THÀNH ĐƯA VÀO QUYẾT TOÁN</v>
          </cell>
        </row>
      </sheetData>
      <sheetData sheetId="7183">
        <row r="4">
          <cell r="A4" t="str">
            <v>BẢNG TÍNH TOÁN, ĐO BÓC KHỐI LƯỢNG HOÀN THÀNH ĐƯA VÀO QUYẾT TOÁN</v>
          </cell>
        </row>
      </sheetData>
      <sheetData sheetId="7184">
        <row r="4">
          <cell r="A4" t="str">
            <v>BẢNG TÍNH TOÁN, ĐO BÓC KHỐI LƯỢNG HOÀN THÀNH ĐƯA VÀO QUYẾT TOÁN</v>
          </cell>
        </row>
      </sheetData>
      <sheetData sheetId="7185">
        <row r="4">
          <cell r="A4" t="str">
            <v>BẢNG TÍNH TOÁN, ĐO BÓC KHỐI LƯỢNG HOÀN THÀNH ĐƯA VÀO QUYẾT TOÁN</v>
          </cell>
        </row>
      </sheetData>
      <sheetData sheetId="7186">
        <row r="4">
          <cell r="A4" t="str">
            <v>BẢNG TÍNH TOÁN, ĐO BÓC KHỐI LƯỢNG HOÀN THÀNH ĐƯA VÀO QUYẾT TOÁN</v>
          </cell>
        </row>
      </sheetData>
      <sheetData sheetId="7187">
        <row r="4">
          <cell r="A4" t="str">
            <v>BẢNG TÍNH TOÁN, ĐO BÓC KHỐI LƯỢNG HOÀN THÀNH ĐƯA VÀO QUYẾT TOÁN</v>
          </cell>
        </row>
      </sheetData>
      <sheetData sheetId="7188">
        <row r="4">
          <cell r="A4" t="str">
            <v>BẢNG TÍNH TOÁN, ĐO BÓC KHỐI LƯỢNG HOÀN THÀNH ĐƯA VÀO QUYẾT TOÁN</v>
          </cell>
        </row>
      </sheetData>
      <sheetData sheetId="7189">
        <row r="4">
          <cell r="A4" t="str">
            <v>BẢNG TÍNH TOÁN, ĐO BÓC KHỐI LƯỢNG HOÀN THÀNH ĐƯA VÀO QUYẾT TOÁN</v>
          </cell>
        </row>
      </sheetData>
      <sheetData sheetId="7190">
        <row r="4">
          <cell r="A4" t="str">
            <v>BẢNG TÍNH TOÁN, ĐO BÓC KHỐI LƯỢNG HOÀN THÀNH ĐƯA VÀO QUYẾT TOÁN</v>
          </cell>
        </row>
      </sheetData>
      <sheetData sheetId="7191">
        <row r="4">
          <cell r="A4" t="str">
            <v>BẢNG TÍNH TOÁN, ĐO BÓC KHỐI LƯỢNG HOÀN THÀNH ĐƯA VÀO QUYẾT TOÁN</v>
          </cell>
        </row>
      </sheetData>
      <sheetData sheetId="7192">
        <row r="4">
          <cell r="A4" t="str">
            <v>BẢNG TÍNH TOÁN, ĐO BÓC KHỐI LƯỢNG HOÀN THÀNH ĐƯA VÀO QUYẾT TOÁN</v>
          </cell>
        </row>
      </sheetData>
      <sheetData sheetId="7193">
        <row r="4">
          <cell r="A4" t="str">
            <v>BẢNG TÍNH TOÁN, ĐO BÓC KHỐI LƯỢNG HOÀN THÀNH ĐƯA VÀO QUYẾT TOÁN</v>
          </cell>
        </row>
      </sheetData>
      <sheetData sheetId="7194">
        <row r="4">
          <cell r="A4" t="str">
            <v>BẢNG TÍNH TOÁN, ĐO BÓC KHỐI LƯỢNG HOÀN THÀNH ĐƯA VÀO QUYẾT TOÁN</v>
          </cell>
        </row>
      </sheetData>
      <sheetData sheetId="7195">
        <row r="4">
          <cell r="A4" t="str">
            <v>BẢNG TÍNH TOÁN, ĐO BÓC KHỐI LƯỢNG HOÀN THÀNH ĐƯA VÀO QUYẾT TOÁN</v>
          </cell>
        </row>
      </sheetData>
      <sheetData sheetId="7196">
        <row r="4">
          <cell r="A4" t="str">
            <v>BẢNG TÍNH TOÁN, ĐO BÓC KHỐI LƯỢNG HOÀN THÀNH ĐƯA VÀO QUYẾT TOÁN</v>
          </cell>
        </row>
      </sheetData>
      <sheetData sheetId="7197">
        <row r="4">
          <cell r="A4" t="str">
            <v>BẢNG TÍNH TOÁN, ĐO BÓC KHỐI LƯỢNG HOÀN THÀNH ĐƯA VÀO QUYẾT TOÁN</v>
          </cell>
        </row>
      </sheetData>
      <sheetData sheetId="7198">
        <row r="4">
          <cell r="A4" t="str">
            <v>BẢNG TÍNH TOÁN, ĐO BÓC KHỐI LƯỢNG HOÀN THÀNH ĐƯA VÀO QUYẾT TOÁN</v>
          </cell>
        </row>
      </sheetData>
      <sheetData sheetId="7199">
        <row r="4">
          <cell r="A4" t="str">
            <v>BẢNG TÍNH TOÁN, ĐO BÓC KHỐI LƯỢNG HOÀN THÀNH ĐƯA VÀO QUYẾT TOÁN</v>
          </cell>
        </row>
      </sheetData>
      <sheetData sheetId="7200">
        <row r="4">
          <cell r="A4" t="str">
            <v>BẢNG TÍNH TOÁN, ĐO BÓC KHỐI LƯỢNG HOÀN THÀNH ĐƯA VÀO QUYẾT TOÁN</v>
          </cell>
        </row>
      </sheetData>
      <sheetData sheetId="7201">
        <row r="4">
          <cell r="A4" t="str">
            <v>BẢNG TÍNH TOÁN, ĐO BÓC KHỐI LƯỢNG HOÀN THÀNH ĐƯA VÀO QUYẾT TOÁN</v>
          </cell>
        </row>
      </sheetData>
      <sheetData sheetId="7202">
        <row r="4">
          <cell r="A4" t="str">
            <v>BẢNG TÍNH TOÁN, ĐO BÓC KHỐI LƯỢNG HOÀN THÀNH ĐƯA VÀO QUYẾT TOÁN</v>
          </cell>
        </row>
      </sheetData>
      <sheetData sheetId="7203">
        <row r="4">
          <cell r="A4" t="str">
            <v>BẢNG TÍNH TOÁN, ĐO BÓC KHỐI LƯỢNG HOÀN THÀNH ĐƯA VÀO QUYẾT TOÁN</v>
          </cell>
        </row>
      </sheetData>
      <sheetData sheetId="7204">
        <row r="4">
          <cell r="A4" t="str">
            <v>BẢNG TÍNH TOÁN, ĐO BÓC KHỐI LƯỢNG HOÀN THÀNH ĐƯA VÀO QUYẾT TOÁN</v>
          </cell>
        </row>
      </sheetData>
      <sheetData sheetId="7205">
        <row r="4">
          <cell r="A4" t="str">
            <v>BẢNG TÍNH TOÁN, ĐO BÓC KHỐI LƯỢNG HOÀN THÀNH ĐƯA VÀO QUYẾT TOÁN</v>
          </cell>
        </row>
      </sheetData>
      <sheetData sheetId="7206">
        <row r="4">
          <cell r="A4" t="str">
            <v>BẢNG TÍNH TOÁN, ĐO BÓC KHỐI LƯỢNG HOÀN THÀNH ĐƯA VÀO QUYẾT TOÁN</v>
          </cell>
        </row>
      </sheetData>
      <sheetData sheetId="7207">
        <row r="4">
          <cell r="A4" t="str">
            <v>BẢNG TÍNH TOÁN, ĐO BÓC KHỐI LƯỢNG HOÀN THÀNH ĐƯA VÀO QUYẾT TOÁN</v>
          </cell>
        </row>
      </sheetData>
      <sheetData sheetId="7208">
        <row r="4">
          <cell r="A4" t="str">
            <v>BẢNG TÍNH TOÁN, ĐO BÓC KHỐI LƯỢNG HOÀN THÀNH ĐƯA VÀO QUYẾT TOÁN</v>
          </cell>
        </row>
      </sheetData>
      <sheetData sheetId="7209">
        <row r="4">
          <cell r="A4" t="str">
            <v>BẢNG TÍNH TOÁN, ĐO BÓC KHỐI LƯỢNG HOÀN THÀNH ĐƯA VÀO QUYẾT TOÁN</v>
          </cell>
        </row>
      </sheetData>
      <sheetData sheetId="7210">
        <row r="4">
          <cell r="A4" t="str">
            <v>BẢNG TÍNH TOÁN, ĐO BÓC KHỐI LƯỢNG HOÀN THÀNH ĐƯA VÀO QUYẾT TOÁN</v>
          </cell>
        </row>
      </sheetData>
      <sheetData sheetId="7211">
        <row r="4">
          <cell r="A4" t="str">
            <v>BẢNG TÍNH TOÁN, ĐO BÓC KHỐI LƯỢNG HOÀN THÀNH ĐƯA VÀO QUYẾT TOÁN</v>
          </cell>
        </row>
      </sheetData>
      <sheetData sheetId="7212">
        <row r="4">
          <cell r="A4" t="str">
            <v>BẢNG TÍNH TOÁN, ĐO BÓC KHỐI LƯỢNG HOÀN THÀNH ĐƯA VÀO QUYẾT TOÁN</v>
          </cell>
        </row>
      </sheetData>
      <sheetData sheetId="7213">
        <row r="4">
          <cell r="A4" t="str">
            <v>BẢNG TÍNH TOÁN, ĐO BÓC KHỐI LƯỢNG HOÀN THÀNH ĐƯA VÀO QUYẾT TOÁN</v>
          </cell>
        </row>
      </sheetData>
      <sheetData sheetId="7214">
        <row r="4">
          <cell r="A4" t="str">
            <v>BẢNG TÍNH TOÁN, ĐO BÓC KHỐI LƯỢNG HOÀN THÀNH ĐƯA VÀO QUYẾT TOÁN</v>
          </cell>
        </row>
      </sheetData>
      <sheetData sheetId="7215">
        <row r="4">
          <cell r="A4" t="str">
            <v>BẢNG TÍNH TOÁN, ĐO BÓC KHỐI LƯỢNG HOÀN THÀNH ĐƯA VÀO QUYẾT TOÁN</v>
          </cell>
        </row>
      </sheetData>
      <sheetData sheetId="7216">
        <row r="4">
          <cell r="A4" t="str">
            <v>BẢNG TÍNH TOÁN, ĐO BÓC KHỐI LƯỢNG HOÀN THÀNH ĐƯA VÀO QUYẾT TOÁN</v>
          </cell>
        </row>
      </sheetData>
      <sheetData sheetId="7217">
        <row r="4">
          <cell r="A4" t="str">
            <v>BẢNG TÍNH TOÁN, ĐO BÓC KHỐI LƯỢNG HOÀN THÀNH ĐƯA VÀO QUYẾT TOÁN</v>
          </cell>
        </row>
      </sheetData>
      <sheetData sheetId="7218">
        <row r="4">
          <cell r="A4" t="str">
            <v>BẢNG TÍNH TOÁN, ĐO BÓC KHỐI LƯỢNG HOÀN THÀNH ĐƯA VÀO QUYẾT TOÁN</v>
          </cell>
        </row>
      </sheetData>
      <sheetData sheetId="7219">
        <row r="4">
          <cell r="A4" t="str">
            <v>BẢNG TÍNH TOÁN, ĐO BÓC KHỐI LƯỢNG HOÀN THÀNH ĐƯA VÀO QUYẾT TOÁN</v>
          </cell>
        </row>
      </sheetData>
      <sheetData sheetId="7220">
        <row r="4">
          <cell r="A4" t="str">
            <v>BẢNG TÍNH TOÁN, ĐO BÓC KHỐI LƯỢNG HOÀN THÀNH ĐƯA VÀO QUYẾT TOÁN</v>
          </cell>
        </row>
      </sheetData>
      <sheetData sheetId="7221">
        <row r="4">
          <cell r="A4" t="str">
            <v>BẢNG TÍNH TOÁN, ĐO BÓC KHỐI LƯỢNG HOÀN THÀNH ĐƯA VÀO QUYẾT TOÁN</v>
          </cell>
        </row>
      </sheetData>
      <sheetData sheetId="7222">
        <row r="4">
          <cell r="A4" t="str">
            <v>BẢNG TÍNH TOÁN, ĐO BÓC KHỐI LƯỢNG HOÀN THÀNH ĐƯA VÀO QUYẾT TOÁN</v>
          </cell>
        </row>
      </sheetData>
      <sheetData sheetId="7223">
        <row r="4">
          <cell r="A4" t="str">
            <v>BẢNG TÍNH TOÁN, ĐO BÓC KHỐI LƯỢNG HOÀN THÀNH ĐƯA VÀO QUYẾT TOÁN</v>
          </cell>
        </row>
      </sheetData>
      <sheetData sheetId="7224">
        <row r="4">
          <cell r="A4" t="str">
            <v>BẢNG TÍNH TOÁN, ĐO BÓC KHỐI LƯỢNG HOÀN THÀNH ĐƯA VÀO QUYẾT TOÁN</v>
          </cell>
        </row>
      </sheetData>
      <sheetData sheetId="7225">
        <row r="4">
          <cell r="A4" t="str">
            <v>BẢNG TÍNH TOÁN, ĐO BÓC KHỐI LƯỢNG HOÀN THÀNH ĐƯA VÀO QUYẾT TOÁN</v>
          </cell>
        </row>
      </sheetData>
      <sheetData sheetId="7226">
        <row r="4">
          <cell r="A4" t="str">
            <v>BẢNG TÍNH TOÁN, ĐO BÓC KHỐI LƯỢNG HOÀN THÀNH ĐƯA VÀO QUYẾT TOÁN</v>
          </cell>
        </row>
      </sheetData>
      <sheetData sheetId="7227">
        <row r="4">
          <cell r="A4" t="str">
            <v>BẢNG TÍNH TOÁN, ĐO BÓC KHỐI LƯỢNG HOÀN THÀNH ĐƯA VÀO QUYẾT TOÁN</v>
          </cell>
        </row>
      </sheetData>
      <sheetData sheetId="7228">
        <row r="4">
          <cell r="A4" t="str">
            <v>BẢNG TÍNH TOÁN, ĐO BÓC KHỐI LƯỢNG HOÀN THÀNH ĐƯA VÀO QUYẾT TOÁN</v>
          </cell>
        </row>
      </sheetData>
      <sheetData sheetId="7229">
        <row r="4">
          <cell r="A4" t="str">
            <v>BẢNG TÍNH TOÁN, ĐO BÓC KHỐI LƯỢNG HOÀN THÀNH ĐƯA VÀO QUYẾT TOÁN</v>
          </cell>
        </row>
      </sheetData>
      <sheetData sheetId="7230">
        <row r="4">
          <cell r="A4" t="str">
            <v>BẢNG TÍNH TOÁN, ĐO BÓC KHỐI LƯỢNG HOÀN THÀNH ĐƯA VÀO QUYẾT TOÁN</v>
          </cell>
        </row>
      </sheetData>
      <sheetData sheetId="7231">
        <row r="4">
          <cell r="A4" t="str">
            <v>BẢNG TÍNH TOÁN, ĐO BÓC KHỐI LƯỢNG HOÀN THÀNH ĐƯA VÀO QUYẾT TOÁN</v>
          </cell>
        </row>
      </sheetData>
      <sheetData sheetId="7232">
        <row r="4">
          <cell r="A4" t="str">
            <v>BẢNG TÍNH TOÁN, ĐO BÓC KHỐI LƯỢNG HOÀN THÀNH ĐƯA VÀO QUYẾT TOÁN</v>
          </cell>
        </row>
      </sheetData>
      <sheetData sheetId="7233">
        <row r="4">
          <cell r="A4" t="str">
            <v>BẢNG TÍNH TOÁN, ĐO BÓC KHỐI LƯỢNG HOÀN THÀNH ĐƯA VÀO QUYẾT TOÁN</v>
          </cell>
        </row>
      </sheetData>
      <sheetData sheetId="7234">
        <row r="4">
          <cell r="A4" t="str">
            <v>BẢNG TÍNH TOÁN, ĐO BÓC KHỐI LƯỢNG HOÀN THÀNH ĐƯA VÀO QUYẾT TOÁN</v>
          </cell>
        </row>
      </sheetData>
      <sheetData sheetId="7235">
        <row r="4">
          <cell r="A4" t="str">
            <v>BẢNG TÍNH TOÁN, ĐO BÓC KHỐI LƯỢNG HOÀN THÀNH ĐƯA VÀO QUYẾT TOÁN</v>
          </cell>
        </row>
      </sheetData>
      <sheetData sheetId="7236">
        <row r="4">
          <cell r="A4" t="str">
            <v>BẢNG TÍNH TOÁN, ĐO BÓC KHỐI LƯỢNG HOÀN THÀNH ĐƯA VÀO QUYẾT TOÁN</v>
          </cell>
        </row>
      </sheetData>
      <sheetData sheetId="7237">
        <row r="4">
          <cell r="A4" t="str">
            <v>BẢNG TÍNH TOÁN, ĐO BÓC KHỐI LƯỢNG HOÀN THÀNH ĐƯA VÀO QUYẾT TOÁN</v>
          </cell>
        </row>
      </sheetData>
      <sheetData sheetId="7238">
        <row r="4">
          <cell r="A4" t="str">
            <v>BẢNG TÍNH TOÁN, ĐO BÓC KHỐI LƯỢNG HOÀN THÀNH ĐƯA VÀO QUYẾT TOÁN</v>
          </cell>
        </row>
      </sheetData>
      <sheetData sheetId="7239">
        <row r="4">
          <cell r="A4" t="str">
            <v>BẢNG TÍNH TOÁN, ĐO BÓC KHỐI LƯỢNG HOÀN THÀNH ĐƯA VÀO QUYẾT TOÁN</v>
          </cell>
        </row>
      </sheetData>
      <sheetData sheetId="7240">
        <row r="4">
          <cell r="A4" t="str">
            <v>BẢNG TÍNH TOÁN, ĐO BÓC KHỐI LƯỢNG HOÀN THÀNH ĐƯA VÀO QUYẾT TOÁN</v>
          </cell>
        </row>
      </sheetData>
      <sheetData sheetId="7241">
        <row r="4">
          <cell r="A4" t="str">
            <v>BẢNG TÍNH TOÁN, ĐO BÓC KHỐI LƯỢNG HOÀN THÀNH ĐƯA VÀO QUYẾT TOÁN</v>
          </cell>
        </row>
      </sheetData>
      <sheetData sheetId="7242">
        <row r="4">
          <cell r="A4" t="str">
            <v>BẢNG TÍNH TOÁN, ĐO BÓC KHỐI LƯỢNG HOÀN THÀNH ĐƯA VÀO QUYẾT TOÁN</v>
          </cell>
        </row>
      </sheetData>
      <sheetData sheetId="7243">
        <row r="4">
          <cell r="A4" t="str">
            <v>BẢNG TÍNH TOÁN, ĐO BÓC KHỐI LƯỢNG HOÀN THÀNH ĐƯA VÀO QUYẾT TOÁN</v>
          </cell>
        </row>
      </sheetData>
      <sheetData sheetId="7244">
        <row r="4">
          <cell r="A4" t="str">
            <v>BẢNG TÍNH TOÁN, ĐO BÓC KHỐI LƯỢNG HOÀN THÀNH ĐƯA VÀO QUYẾT TOÁN</v>
          </cell>
        </row>
      </sheetData>
      <sheetData sheetId="7245">
        <row r="4">
          <cell r="A4" t="str">
            <v>BẢNG TÍNH TOÁN, ĐO BÓC KHỐI LƯỢNG HOÀN THÀNH ĐƯA VÀO QUYẾT TOÁN</v>
          </cell>
        </row>
      </sheetData>
      <sheetData sheetId="7246">
        <row r="4">
          <cell r="A4" t="str">
            <v>BẢNG TÍNH TOÁN, ĐO BÓC KHỐI LƯỢNG HOÀN THÀNH ĐƯA VÀO QUYẾT TOÁN</v>
          </cell>
        </row>
      </sheetData>
      <sheetData sheetId="7247">
        <row r="4">
          <cell r="A4" t="str">
            <v>BẢNG TÍNH TOÁN, ĐO BÓC KHỐI LƯỢNG HOÀN THÀNH ĐƯA VÀO QUYẾT TOÁN</v>
          </cell>
        </row>
      </sheetData>
      <sheetData sheetId="7248">
        <row r="4">
          <cell r="A4" t="str">
            <v>BẢNG TÍNH TOÁN, ĐO BÓC KHỐI LƯỢNG HOÀN THÀNH ĐƯA VÀO QUYẾT TOÁN</v>
          </cell>
        </row>
      </sheetData>
      <sheetData sheetId="7249">
        <row r="4">
          <cell r="A4" t="str">
            <v>BẢNG TÍNH TOÁN, ĐO BÓC KHỐI LƯỢNG HOÀN THÀNH ĐƯA VÀO QUYẾT TOÁN</v>
          </cell>
        </row>
      </sheetData>
      <sheetData sheetId="7250">
        <row r="4">
          <cell r="A4" t="str">
            <v>BẢNG TÍNH TOÁN, ĐO BÓC KHỐI LƯỢNG HOÀN THÀNH ĐƯA VÀO QUYẾT TOÁN</v>
          </cell>
        </row>
      </sheetData>
      <sheetData sheetId="7251">
        <row r="4">
          <cell r="A4" t="str">
            <v>BẢNG TÍNH TOÁN, ĐO BÓC KHỐI LƯỢNG HOÀN THÀNH ĐƯA VÀO QUYẾT TOÁN</v>
          </cell>
        </row>
      </sheetData>
      <sheetData sheetId="7252">
        <row r="4">
          <cell r="A4" t="str">
            <v>BẢNG TÍNH TOÁN, ĐO BÓC KHỐI LƯỢNG HOÀN THÀNH ĐƯA VÀO QUYẾT TOÁN</v>
          </cell>
        </row>
      </sheetData>
      <sheetData sheetId="7253">
        <row r="4">
          <cell r="A4" t="str">
            <v>BẢNG TÍNH TOÁN, ĐO BÓC KHỐI LƯỢNG HOÀN THÀNH ĐƯA VÀO QUYẾT TOÁN</v>
          </cell>
        </row>
      </sheetData>
      <sheetData sheetId="7254">
        <row r="4">
          <cell r="A4" t="str">
            <v>BẢNG TÍNH TOÁN, ĐO BÓC KHỐI LƯỢNG HOÀN THÀNH ĐƯA VÀO QUYẾT TOÁN</v>
          </cell>
        </row>
      </sheetData>
      <sheetData sheetId="7255">
        <row r="4">
          <cell r="A4" t="str">
            <v>BẢNG TÍNH TOÁN, ĐO BÓC KHỐI LƯỢNG HOÀN THÀNH ĐƯA VÀO QUYẾT TOÁN</v>
          </cell>
        </row>
      </sheetData>
      <sheetData sheetId="7256">
        <row r="4">
          <cell r="A4" t="str">
            <v>BẢNG TÍNH TOÁN, ĐO BÓC KHỐI LƯỢNG HOÀN THÀNH ĐƯA VÀO QUYẾT TOÁN</v>
          </cell>
        </row>
      </sheetData>
      <sheetData sheetId="7257">
        <row r="4">
          <cell r="A4" t="str">
            <v>BẢNG TÍNH TOÁN, ĐO BÓC KHỐI LƯỢNG HOÀN THÀNH ĐƯA VÀO QUYẾT TOÁN</v>
          </cell>
        </row>
      </sheetData>
      <sheetData sheetId="7258">
        <row r="4">
          <cell r="A4" t="str">
            <v>BẢNG TÍNH TOÁN, ĐO BÓC KHỐI LƯỢNG HOÀN THÀNH ĐƯA VÀO QUYẾT TOÁN</v>
          </cell>
        </row>
      </sheetData>
      <sheetData sheetId="7259">
        <row r="4">
          <cell r="A4" t="str">
            <v>BẢNG TÍNH TOÁN, ĐO BÓC KHỐI LƯỢNG HOÀN THÀNH ĐƯA VÀO QUYẾT TOÁN</v>
          </cell>
        </row>
      </sheetData>
      <sheetData sheetId="7260">
        <row r="4">
          <cell r="A4" t="str">
            <v>BẢNG TÍNH TOÁN, ĐO BÓC KHỐI LƯỢNG HOÀN THÀNH ĐƯA VÀO QUYẾT TOÁN</v>
          </cell>
        </row>
      </sheetData>
      <sheetData sheetId="7261">
        <row r="4">
          <cell r="A4" t="str">
            <v>BẢNG TÍNH TOÁN, ĐO BÓC KHỐI LƯỢNG HOÀN THÀNH ĐƯA VÀO QUYẾT TOÁN</v>
          </cell>
        </row>
      </sheetData>
      <sheetData sheetId="7262">
        <row r="4">
          <cell r="A4" t="str">
            <v>BẢNG TÍNH TOÁN, ĐO BÓC KHỐI LƯỢNG HOÀN THÀNH ĐƯA VÀO QUYẾT TOÁN</v>
          </cell>
        </row>
      </sheetData>
      <sheetData sheetId="7263">
        <row r="4">
          <cell r="A4" t="str">
            <v>BẢNG TÍNH TOÁN, ĐO BÓC KHỐI LƯỢNG HOÀN THÀNH ĐƯA VÀO QUYẾT TOÁN</v>
          </cell>
        </row>
      </sheetData>
      <sheetData sheetId="7264">
        <row r="4">
          <cell r="A4" t="str">
            <v>BẢNG TÍNH TOÁN, ĐO BÓC KHỐI LƯỢNG HOÀN THÀNH ĐƯA VÀO QUYẾT TOÁN</v>
          </cell>
        </row>
      </sheetData>
      <sheetData sheetId="7265">
        <row r="4">
          <cell r="A4" t="str">
            <v>BẢNG TÍNH TOÁN, ĐO BÓC KHỐI LƯỢNG HOÀN THÀNH ĐƯA VÀO QUYẾT TOÁN</v>
          </cell>
        </row>
      </sheetData>
      <sheetData sheetId="7266">
        <row r="4">
          <cell r="A4" t="str">
            <v>BẢNG TÍNH TOÁN, ĐO BÓC KHỐI LƯỢNG HOÀN THÀNH ĐƯA VÀO QUYẾT TOÁN</v>
          </cell>
        </row>
      </sheetData>
      <sheetData sheetId="7267">
        <row r="4">
          <cell r="A4" t="str">
            <v>BẢNG TÍNH TOÁN, ĐO BÓC KHỐI LƯỢNG HOÀN THÀNH ĐƯA VÀO QUYẾT TOÁN</v>
          </cell>
        </row>
      </sheetData>
      <sheetData sheetId="7268">
        <row r="4">
          <cell r="A4" t="str">
            <v>BẢNG TÍNH TOÁN, ĐO BÓC KHỐI LƯỢNG HOÀN THÀNH ĐƯA VÀO QUYẾT TOÁN</v>
          </cell>
        </row>
      </sheetData>
      <sheetData sheetId="7269">
        <row r="4">
          <cell r="A4" t="str">
            <v>BẢNG TÍNH TOÁN, ĐO BÓC KHỐI LƯỢNG HOÀN THÀNH ĐƯA VÀO QUYẾT TOÁN</v>
          </cell>
        </row>
      </sheetData>
      <sheetData sheetId="7270">
        <row r="4">
          <cell r="A4" t="str">
            <v>BẢNG TÍNH TOÁN, ĐO BÓC KHỐI LƯỢNG HOÀN THÀNH ĐƯA VÀO QUYẾT TOÁN</v>
          </cell>
        </row>
      </sheetData>
      <sheetData sheetId="7271">
        <row r="4">
          <cell r="A4" t="str">
            <v>BẢNG TÍNH TOÁN, ĐO BÓC KHỐI LƯỢNG HOÀN THÀNH ĐƯA VÀO QUYẾT TOÁN</v>
          </cell>
        </row>
      </sheetData>
      <sheetData sheetId="7272">
        <row r="4">
          <cell r="A4" t="str">
            <v>BẢNG TÍNH TOÁN, ĐO BÓC KHỐI LƯỢNG HOÀN THÀNH ĐƯA VÀO QUYẾT TOÁN</v>
          </cell>
        </row>
      </sheetData>
      <sheetData sheetId="7273">
        <row r="4">
          <cell r="A4" t="str">
            <v>BẢNG TÍNH TOÁN, ĐO BÓC KHỐI LƯỢNG HOÀN THÀNH ĐƯA VÀO QUYẾT TOÁN</v>
          </cell>
        </row>
      </sheetData>
      <sheetData sheetId="7274">
        <row r="4">
          <cell r="A4" t="str">
            <v>BẢNG TÍNH TOÁN, ĐO BÓC KHỐI LƯỢNG HOÀN THÀNH ĐƯA VÀO QUYẾT TOÁN</v>
          </cell>
        </row>
      </sheetData>
      <sheetData sheetId="7275">
        <row r="4">
          <cell r="A4" t="str">
            <v>BẢNG TÍNH TOÁN, ĐO BÓC KHỐI LƯỢNG HOÀN THÀNH ĐƯA VÀO QUYẾT TOÁN</v>
          </cell>
        </row>
      </sheetData>
      <sheetData sheetId="7276">
        <row r="4">
          <cell r="A4" t="str">
            <v>BẢNG TÍNH TOÁN, ĐO BÓC KHỐI LƯỢNG HOÀN THÀNH ĐƯA VÀO QUYẾT TOÁN</v>
          </cell>
        </row>
      </sheetData>
      <sheetData sheetId="7277">
        <row r="4">
          <cell r="A4" t="str">
            <v>BẢNG TÍNH TOÁN, ĐO BÓC KHỐI LƯỢNG HOÀN THÀNH ĐƯA VÀO QUYẾT TOÁN</v>
          </cell>
        </row>
      </sheetData>
      <sheetData sheetId="7278">
        <row r="4">
          <cell r="A4" t="str">
            <v>BẢNG TÍNH TOÁN, ĐO BÓC KHỐI LƯỢNG HOÀN THÀNH ĐƯA VÀO QUYẾT TOÁN</v>
          </cell>
        </row>
      </sheetData>
      <sheetData sheetId="7279">
        <row r="4">
          <cell r="A4" t="str">
            <v>BẢNG TÍNH TOÁN, ĐO BÓC KHỐI LƯỢNG HOÀN THÀNH ĐƯA VÀO QUYẾT TOÁN</v>
          </cell>
        </row>
      </sheetData>
      <sheetData sheetId="7280">
        <row r="4">
          <cell r="A4" t="str">
            <v>BẢNG TÍNH TOÁN, ĐO BÓC KHỐI LƯỢNG HOÀN THÀNH ĐƯA VÀO QUYẾT TOÁN</v>
          </cell>
        </row>
      </sheetData>
      <sheetData sheetId="7281">
        <row r="4">
          <cell r="A4" t="str">
            <v>BẢNG TÍNH TOÁN, ĐO BÓC KHỐI LƯỢNG HOÀN THÀNH ĐƯA VÀO QUYẾT TOÁN</v>
          </cell>
        </row>
      </sheetData>
      <sheetData sheetId="7282">
        <row r="4">
          <cell r="A4" t="str">
            <v>BẢNG TÍNH TOÁN, ĐO BÓC KHỐI LƯỢNG HOÀN THÀNH ĐƯA VÀO QUYẾT TOÁN</v>
          </cell>
        </row>
      </sheetData>
      <sheetData sheetId="7283">
        <row r="4">
          <cell r="A4" t="str">
            <v>BẢNG TÍNH TOÁN, ĐO BÓC KHỐI LƯỢNG HOÀN THÀNH ĐƯA VÀO QUYẾT TOÁN</v>
          </cell>
        </row>
      </sheetData>
      <sheetData sheetId="7284">
        <row r="4">
          <cell r="A4" t="str">
            <v>BẢNG TÍNH TOÁN, ĐO BÓC KHỐI LƯỢNG HOÀN THÀNH ĐƯA VÀO QUYẾT TOÁN</v>
          </cell>
        </row>
      </sheetData>
      <sheetData sheetId="7285">
        <row r="4">
          <cell r="A4" t="str">
            <v>BẢNG TÍNH TOÁN, ĐO BÓC KHỐI LƯỢNG HOÀN THÀNH ĐƯA VÀO QUYẾT TOÁN</v>
          </cell>
        </row>
      </sheetData>
      <sheetData sheetId="7286">
        <row r="4">
          <cell r="A4" t="str">
            <v>BẢNG TÍNH TOÁN, ĐO BÓC KHỐI LƯỢNG HOÀN THÀNH ĐƯA VÀO QUYẾT TOÁN</v>
          </cell>
        </row>
      </sheetData>
      <sheetData sheetId="7287">
        <row r="4">
          <cell r="A4" t="str">
            <v>BẢNG TÍNH TOÁN, ĐO BÓC KHỐI LƯỢNG HOÀN THÀNH ĐƯA VÀO QUYẾT TOÁN</v>
          </cell>
        </row>
      </sheetData>
      <sheetData sheetId="7288">
        <row r="4">
          <cell r="A4" t="str">
            <v>BẢNG TÍNH TOÁN, ĐO BÓC KHỐI LƯỢNG HOÀN THÀNH ĐƯA VÀO QUYẾT TOÁN</v>
          </cell>
        </row>
      </sheetData>
      <sheetData sheetId="7289">
        <row r="4">
          <cell r="A4" t="str">
            <v>BẢNG TÍNH TOÁN, ĐO BÓC KHỐI LƯỢNG HOÀN THÀNH ĐƯA VÀO QUYẾT TOÁN</v>
          </cell>
        </row>
      </sheetData>
      <sheetData sheetId="7290">
        <row r="4">
          <cell r="A4" t="str">
            <v>BẢNG TÍNH TOÁN, ĐO BÓC KHỐI LƯỢNG HOÀN THÀNH ĐƯA VÀO QUYẾT TOÁN</v>
          </cell>
        </row>
      </sheetData>
      <sheetData sheetId="7291">
        <row r="4">
          <cell r="A4" t="str">
            <v>BẢNG TÍNH TOÁN, ĐO BÓC KHỐI LƯỢNG HOÀN THÀNH ĐƯA VÀO QUYẾT TOÁN</v>
          </cell>
        </row>
      </sheetData>
      <sheetData sheetId="7292">
        <row r="4">
          <cell r="A4" t="str">
            <v>BẢNG TÍNH TOÁN, ĐO BÓC KHỐI LƯỢNG HOÀN THÀNH ĐƯA VÀO QUYẾT TOÁN</v>
          </cell>
        </row>
      </sheetData>
      <sheetData sheetId="7293">
        <row r="4">
          <cell r="A4" t="str">
            <v>BẢNG TÍNH TOÁN, ĐO BÓC KHỐI LƯỢNG HOÀN THÀNH ĐƯA VÀO QUYẾT TOÁN</v>
          </cell>
        </row>
      </sheetData>
      <sheetData sheetId="7294">
        <row r="4">
          <cell r="A4" t="str">
            <v>BẢNG TÍNH TOÁN, ĐO BÓC KHỐI LƯỢNG HOÀN THÀNH ĐƯA VÀO QUYẾT TOÁN</v>
          </cell>
        </row>
      </sheetData>
      <sheetData sheetId="7295">
        <row r="4">
          <cell r="A4" t="str">
            <v>BẢNG TÍNH TOÁN, ĐO BÓC KHỐI LƯỢNG HOÀN THÀNH ĐƯA VÀO QUYẾT TOÁN</v>
          </cell>
        </row>
      </sheetData>
      <sheetData sheetId="7296">
        <row r="4">
          <cell r="A4" t="str">
            <v>BẢNG TÍNH TOÁN, ĐO BÓC KHỐI LƯỢNG HOÀN THÀNH ĐƯA VÀO QUYẾT TOÁN</v>
          </cell>
        </row>
      </sheetData>
      <sheetData sheetId="7297">
        <row r="4">
          <cell r="A4" t="str">
            <v>BẢNG TÍNH TOÁN, ĐO BÓC KHỐI LƯỢNG HOÀN THÀNH ĐƯA VÀO QUYẾT TOÁN</v>
          </cell>
        </row>
      </sheetData>
      <sheetData sheetId="7298">
        <row r="4">
          <cell r="A4" t="str">
            <v>BẢNG TÍNH TOÁN, ĐO BÓC KHỐI LƯỢNG HOÀN THÀNH ĐƯA VÀO QUYẾT TOÁN</v>
          </cell>
        </row>
      </sheetData>
      <sheetData sheetId="7299">
        <row r="4">
          <cell r="A4" t="str">
            <v>BẢNG TÍNH TOÁN, ĐO BÓC KHỐI LƯỢNG HOÀN THÀNH ĐƯA VÀO QUYẾT TOÁN</v>
          </cell>
        </row>
      </sheetData>
      <sheetData sheetId="7300">
        <row r="4">
          <cell r="A4" t="str">
            <v>BẢNG TÍNH TOÁN, ĐO BÓC KHỐI LƯỢNG HOÀN THÀNH ĐƯA VÀO QUYẾT TOÁN</v>
          </cell>
        </row>
      </sheetData>
      <sheetData sheetId="7301">
        <row r="4">
          <cell r="A4" t="str">
            <v>BẢNG TÍNH TOÁN, ĐO BÓC KHỐI LƯỢNG HOÀN THÀNH ĐƯA VÀO QUYẾT TOÁN</v>
          </cell>
        </row>
      </sheetData>
      <sheetData sheetId="7302">
        <row r="4">
          <cell r="A4" t="str">
            <v>BẢNG TÍNH TOÁN, ĐO BÓC KHỐI LƯỢNG HOÀN THÀNH ĐƯA VÀO QUYẾT TOÁN</v>
          </cell>
        </row>
      </sheetData>
      <sheetData sheetId="7303">
        <row r="4">
          <cell r="A4" t="str">
            <v>BẢNG TÍNH TOÁN, ĐO BÓC KHỐI LƯỢNG HOÀN THÀNH ĐƯA VÀO QUYẾT TOÁN</v>
          </cell>
        </row>
      </sheetData>
      <sheetData sheetId="7304">
        <row r="4">
          <cell r="A4" t="str">
            <v>BẢNG TÍNH TOÁN, ĐO BÓC KHỐI LƯỢNG HOÀN THÀNH ĐƯA VÀO QUYẾT TOÁN</v>
          </cell>
        </row>
      </sheetData>
      <sheetData sheetId="7305">
        <row r="4">
          <cell r="A4" t="str">
            <v>BẢNG TÍNH TOÁN, ĐO BÓC KHỐI LƯỢNG HOÀN THÀNH ĐƯA VÀO QUYẾT TOÁN</v>
          </cell>
        </row>
      </sheetData>
      <sheetData sheetId="7306">
        <row r="4">
          <cell r="A4" t="str">
            <v>BẢNG TÍNH TOÁN, ĐO BÓC KHỐI LƯỢNG HOÀN THÀNH ĐƯA VÀO QUYẾT TOÁN</v>
          </cell>
        </row>
      </sheetData>
      <sheetData sheetId="7307">
        <row r="4">
          <cell r="A4" t="str">
            <v>BẢNG TÍNH TOÁN, ĐO BÓC KHỐI LƯỢNG HOÀN THÀNH ĐƯA VÀO QUYẾT TOÁN</v>
          </cell>
        </row>
      </sheetData>
      <sheetData sheetId="7308">
        <row r="4">
          <cell r="A4" t="str">
            <v>BẢNG TÍNH TOÁN, ĐO BÓC KHỐI LƯỢNG HOÀN THÀNH ĐƯA VÀO QUYẾT TOÁN</v>
          </cell>
        </row>
      </sheetData>
      <sheetData sheetId="7309">
        <row r="4">
          <cell r="A4" t="str">
            <v>BẢNG TÍNH TOÁN, ĐO BÓC KHỐI LƯỢNG HOÀN THÀNH ĐƯA VÀO QUYẾT TOÁN</v>
          </cell>
        </row>
      </sheetData>
      <sheetData sheetId="7310">
        <row r="4">
          <cell r="A4" t="str">
            <v>BẢNG TÍNH TOÁN, ĐO BÓC KHỐI LƯỢNG HOÀN THÀNH ĐƯA VÀO QUYẾT TOÁN</v>
          </cell>
        </row>
      </sheetData>
      <sheetData sheetId="7311">
        <row r="4">
          <cell r="A4" t="str">
            <v>BẢNG TÍNH TOÁN, ĐO BÓC KHỐI LƯỢNG HOÀN THÀNH ĐƯA VÀO QUYẾT TOÁN</v>
          </cell>
        </row>
      </sheetData>
      <sheetData sheetId="7312">
        <row r="4">
          <cell r="A4" t="str">
            <v>BẢNG TÍNH TOÁN, ĐO BÓC KHỐI LƯỢNG HOÀN THÀNH ĐƯA VÀO QUYẾT TOÁN</v>
          </cell>
        </row>
      </sheetData>
      <sheetData sheetId="7313">
        <row r="4">
          <cell r="A4" t="str">
            <v>BẢNG TÍNH TOÁN, ĐO BÓC KHỐI LƯỢNG HOÀN THÀNH ĐƯA VÀO QUYẾT TOÁN</v>
          </cell>
        </row>
      </sheetData>
      <sheetData sheetId="7314">
        <row r="4">
          <cell r="A4" t="str">
            <v>BẢNG TÍNH TOÁN, ĐO BÓC KHỐI LƯỢNG HOÀN THÀNH ĐƯA VÀO QUYẾT TOÁN</v>
          </cell>
        </row>
      </sheetData>
      <sheetData sheetId="7315">
        <row r="4">
          <cell r="A4" t="str">
            <v>BẢNG TÍNH TOÁN, ĐO BÓC KHỐI LƯỢNG HOÀN THÀNH ĐƯA VÀO QUYẾT TOÁN</v>
          </cell>
        </row>
      </sheetData>
      <sheetData sheetId="7316">
        <row r="4">
          <cell r="A4" t="str">
            <v>BẢNG TÍNH TOÁN, ĐO BÓC KHỐI LƯỢNG HOÀN THÀNH ĐƯA VÀO QUYẾT TOÁN</v>
          </cell>
        </row>
      </sheetData>
      <sheetData sheetId="7317">
        <row r="4">
          <cell r="A4" t="str">
            <v>BẢNG TÍNH TOÁN, ĐO BÓC KHỐI LƯỢNG HOÀN THÀNH ĐƯA VÀO QUYẾT TOÁN</v>
          </cell>
        </row>
      </sheetData>
      <sheetData sheetId="7318">
        <row r="4">
          <cell r="A4" t="str">
            <v>BẢNG TÍNH TOÁN, ĐO BÓC KHỐI LƯỢNG HOÀN THÀNH ĐƯA VÀO QUYẾT TOÁN</v>
          </cell>
        </row>
      </sheetData>
      <sheetData sheetId="7319">
        <row r="4">
          <cell r="A4" t="str">
            <v>BẢNG TÍNH TOÁN, ĐO BÓC KHỐI LƯỢNG HOÀN THÀNH ĐƯA VÀO QUYẾT TOÁN</v>
          </cell>
        </row>
      </sheetData>
      <sheetData sheetId="7320">
        <row r="4">
          <cell r="A4" t="str">
            <v>BẢNG TÍNH TOÁN, ĐO BÓC KHỐI LƯỢNG HOÀN THÀNH ĐƯA VÀO QUYẾT TOÁN</v>
          </cell>
        </row>
      </sheetData>
      <sheetData sheetId="7321">
        <row r="4">
          <cell r="A4" t="str">
            <v>BẢNG TÍNH TOÁN, ĐO BÓC KHỐI LƯỢNG HOÀN THÀNH ĐƯA VÀO QUYẾT TOÁN</v>
          </cell>
        </row>
      </sheetData>
      <sheetData sheetId="7322">
        <row r="4">
          <cell r="A4" t="str">
            <v>BẢNG TÍNH TOÁN, ĐO BÓC KHỐI LƯỢNG HOÀN THÀNH ĐƯA VÀO QUYẾT TOÁN</v>
          </cell>
        </row>
      </sheetData>
      <sheetData sheetId="7323">
        <row r="4">
          <cell r="A4" t="str">
            <v>BẢNG TÍNH TOÁN, ĐO BÓC KHỐI LƯỢNG HOÀN THÀNH ĐƯA VÀO QUYẾT TOÁN</v>
          </cell>
        </row>
      </sheetData>
      <sheetData sheetId="7324">
        <row r="4">
          <cell r="A4" t="str">
            <v>BẢNG TÍNH TOÁN, ĐO BÓC KHỐI LƯỢNG HOÀN THÀNH ĐƯA VÀO QUYẾT TOÁN</v>
          </cell>
        </row>
      </sheetData>
      <sheetData sheetId="7325">
        <row r="4">
          <cell r="A4" t="str">
            <v>BẢNG TÍNH TOÁN, ĐO BÓC KHỐI LƯỢNG HOÀN THÀNH ĐƯA VÀO QUYẾT TOÁN</v>
          </cell>
        </row>
      </sheetData>
      <sheetData sheetId="7326">
        <row r="4">
          <cell r="A4" t="str">
            <v>BẢNG TÍNH TOÁN, ĐO BÓC KHỐI LƯỢNG HOÀN THÀNH ĐƯA VÀO QUYẾT TOÁN</v>
          </cell>
        </row>
      </sheetData>
      <sheetData sheetId="7327">
        <row r="4">
          <cell r="A4" t="str">
            <v>BẢNG TÍNH TOÁN, ĐO BÓC KHỐI LƯỢNG HOÀN THÀNH ĐƯA VÀO QUYẾT TOÁN</v>
          </cell>
        </row>
      </sheetData>
      <sheetData sheetId="7328">
        <row r="4">
          <cell r="A4" t="str">
            <v>BẢNG TÍNH TOÁN, ĐO BÓC KHỐI LƯỢNG HOÀN THÀNH ĐƯA VÀO QUYẾT TOÁN</v>
          </cell>
        </row>
      </sheetData>
      <sheetData sheetId="7329">
        <row r="4">
          <cell r="A4" t="str">
            <v>BẢNG TÍNH TOÁN, ĐO BÓC KHỐI LƯỢNG HOÀN THÀNH ĐƯA VÀO QUYẾT TOÁN</v>
          </cell>
        </row>
      </sheetData>
      <sheetData sheetId="7330">
        <row r="4">
          <cell r="A4" t="str">
            <v>BẢNG TÍNH TOÁN, ĐO BÓC KHỐI LƯỢNG HOÀN THÀNH ĐƯA VÀO QUYẾT TOÁN</v>
          </cell>
        </row>
      </sheetData>
      <sheetData sheetId="7331">
        <row r="4">
          <cell r="A4" t="str">
            <v>BẢNG TÍNH TOÁN, ĐO BÓC KHỐI LƯỢNG HOÀN THÀNH ĐƯA VÀO QUYẾT TOÁN</v>
          </cell>
        </row>
      </sheetData>
      <sheetData sheetId="7332">
        <row r="4">
          <cell r="A4" t="str">
            <v>BẢNG TÍNH TOÁN, ĐO BÓC KHỐI LƯỢNG HOÀN THÀNH ĐƯA VÀO QUYẾT TOÁN</v>
          </cell>
        </row>
      </sheetData>
      <sheetData sheetId="7333">
        <row r="4">
          <cell r="A4" t="str">
            <v>BẢNG TÍNH TOÁN, ĐO BÓC KHỐI LƯỢNG HOÀN THÀNH ĐƯA VÀO QUYẾT TOÁN</v>
          </cell>
        </row>
      </sheetData>
      <sheetData sheetId="7334">
        <row r="4">
          <cell r="A4" t="str">
            <v>BẢNG TÍNH TOÁN, ĐO BÓC KHỐI LƯỢNG HOÀN THÀNH ĐƯA VÀO QUYẾT TOÁN</v>
          </cell>
        </row>
      </sheetData>
      <sheetData sheetId="7335">
        <row r="4">
          <cell r="A4" t="str">
            <v>BẢNG TÍNH TOÁN, ĐO BÓC KHỐI LƯỢNG HOÀN THÀNH ĐƯA VÀO QUYẾT TOÁN</v>
          </cell>
        </row>
      </sheetData>
      <sheetData sheetId="7336">
        <row r="4">
          <cell r="A4" t="str">
            <v>BẢNG TÍNH TOÁN, ĐO BÓC KHỐI LƯỢNG HOÀN THÀNH ĐƯA VÀO QUYẾT TOÁN</v>
          </cell>
        </row>
      </sheetData>
      <sheetData sheetId="7337">
        <row r="4">
          <cell r="A4" t="str">
            <v>BẢNG TÍNH TOÁN, ĐO BÓC KHỐI LƯỢNG HOÀN THÀNH ĐƯA VÀO QUYẾT TOÁN</v>
          </cell>
        </row>
      </sheetData>
      <sheetData sheetId="7338">
        <row r="4">
          <cell r="A4" t="str">
            <v>BẢNG TÍNH TOÁN, ĐO BÓC KHỐI LƯỢNG HOÀN THÀNH ĐƯA VÀO QUYẾT TOÁN</v>
          </cell>
        </row>
      </sheetData>
      <sheetData sheetId="7339">
        <row r="4">
          <cell r="A4" t="str">
            <v>BẢNG TÍNH TOÁN, ĐO BÓC KHỐI LƯỢNG HOÀN THÀNH ĐƯA VÀO QUYẾT TOÁN</v>
          </cell>
        </row>
      </sheetData>
      <sheetData sheetId="7340">
        <row r="4">
          <cell r="A4" t="str">
            <v>BẢNG TÍNH TOÁN, ĐO BÓC KHỐI LƯỢNG HOÀN THÀNH ĐƯA VÀO QUYẾT TOÁN</v>
          </cell>
        </row>
      </sheetData>
      <sheetData sheetId="7341">
        <row r="4">
          <cell r="A4" t="str">
            <v>BẢNG TÍNH TOÁN, ĐO BÓC KHỐI LƯỢNG HOÀN THÀNH ĐƯA VÀO QUYẾT TOÁN</v>
          </cell>
        </row>
      </sheetData>
      <sheetData sheetId="7342">
        <row r="4">
          <cell r="A4" t="str">
            <v>BẢNG TÍNH TOÁN, ĐO BÓC KHỐI LƯỢNG HOÀN THÀNH ĐƯA VÀO QUYẾT TOÁN</v>
          </cell>
        </row>
      </sheetData>
      <sheetData sheetId="7343">
        <row r="4">
          <cell r="A4" t="str">
            <v>BẢNG TÍNH TOÁN, ĐO BÓC KHỐI LƯỢNG HOÀN THÀNH ĐƯA VÀO QUYẾT TOÁN</v>
          </cell>
        </row>
      </sheetData>
      <sheetData sheetId="7344">
        <row r="4">
          <cell r="A4" t="str">
            <v>BẢNG TÍNH TOÁN, ĐO BÓC KHỐI LƯỢNG HOÀN THÀNH ĐƯA VÀO QUYẾT TOÁN</v>
          </cell>
        </row>
      </sheetData>
      <sheetData sheetId="7345">
        <row r="4">
          <cell r="A4" t="str">
            <v>BẢNG TÍNH TOÁN, ĐO BÓC KHỐI LƯỢNG HOÀN THÀNH ĐƯA VÀO QUYẾT TOÁN</v>
          </cell>
        </row>
      </sheetData>
      <sheetData sheetId="7346">
        <row r="4">
          <cell r="A4" t="str">
            <v>BẢNG TÍNH TOÁN, ĐO BÓC KHỐI LƯỢNG HOÀN THÀNH ĐƯA VÀO QUYẾT TOÁN</v>
          </cell>
        </row>
      </sheetData>
      <sheetData sheetId="7347">
        <row r="4">
          <cell r="A4" t="str">
            <v>BẢNG TÍNH TOÁN, ĐO BÓC KHỐI LƯỢNG HOÀN THÀNH ĐƯA VÀO QUYẾT TOÁN</v>
          </cell>
        </row>
      </sheetData>
      <sheetData sheetId="7348">
        <row r="4">
          <cell r="A4" t="str">
            <v>BẢNG TÍNH TOÁN, ĐO BÓC KHỐI LƯỢNG HOÀN THÀNH ĐƯA VÀO QUYẾT TOÁN</v>
          </cell>
        </row>
      </sheetData>
      <sheetData sheetId="7349">
        <row r="4">
          <cell r="A4" t="str">
            <v>BẢNG TÍNH TOÁN, ĐO BÓC KHỐI LƯỢNG HOÀN THÀNH ĐƯA VÀO QUYẾT TOÁN</v>
          </cell>
        </row>
      </sheetData>
      <sheetData sheetId="7350">
        <row r="4">
          <cell r="A4" t="str">
            <v>BẢNG TÍNH TOÁN, ĐO BÓC KHỐI LƯỢNG HOÀN THÀNH ĐƯA VÀO QUYẾT TOÁN</v>
          </cell>
        </row>
      </sheetData>
      <sheetData sheetId="7351">
        <row r="4">
          <cell r="A4" t="str">
            <v>BẢNG TÍNH TOÁN, ĐO BÓC KHỐI LƯỢNG HOÀN THÀNH ĐƯA VÀO QUYẾT TOÁN</v>
          </cell>
        </row>
      </sheetData>
      <sheetData sheetId="7352">
        <row r="4">
          <cell r="A4" t="str">
            <v>BẢNG TÍNH TOÁN, ĐO BÓC KHỐI LƯỢNG HOÀN THÀNH ĐƯA VÀO QUYẾT TOÁN</v>
          </cell>
        </row>
      </sheetData>
      <sheetData sheetId="7353">
        <row r="4">
          <cell r="A4" t="str">
            <v>BẢNG TÍNH TOÁN, ĐO BÓC KHỐI LƯỢNG HOÀN THÀNH ĐƯA VÀO QUYẾT TOÁN</v>
          </cell>
        </row>
      </sheetData>
      <sheetData sheetId="7354">
        <row r="4">
          <cell r="A4" t="str">
            <v>BẢNG TÍNH TOÁN, ĐO BÓC KHỐI LƯỢNG HOÀN THÀNH ĐƯA VÀO QUYẾT TOÁN</v>
          </cell>
        </row>
      </sheetData>
      <sheetData sheetId="7355">
        <row r="4">
          <cell r="A4" t="str">
            <v>BẢNG TÍNH TOÁN, ĐO BÓC KHỐI LƯỢNG HOÀN THÀNH ĐƯA VÀO QUYẾT TOÁN</v>
          </cell>
        </row>
      </sheetData>
      <sheetData sheetId="7356">
        <row r="4">
          <cell r="A4" t="str">
            <v>BẢNG TÍNH TOÁN, ĐO BÓC KHỐI LƯỢNG HOÀN THÀNH ĐƯA VÀO QUYẾT TOÁN</v>
          </cell>
        </row>
      </sheetData>
      <sheetData sheetId="7357">
        <row r="4">
          <cell r="A4" t="str">
            <v>BẢNG TÍNH TOÁN, ĐO BÓC KHỐI LƯỢNG HOÀN THÀNH ĐƯA VÀO QUYẾT TOÁN</v>
          </cell>
        </row>
      </sheetData>
      <sheetData sheetId="7358">
        <row r="4">
          <cell r="A4" t="str">
            <v>BẢNG TÍNH TOÁN, ĐO BÓC KHỐI LƯỢNG HOÀN THÀNH ĐƯA VÀO QUYẾT TOÁN</v>
          </cell>
        </row>
      </sheetData>
      <sheetData sheetId="7359">
        <row r="4">
          <cell r="A4" t="str">
            <v>BẢNG TÍNH TOÁN, ĐO BÓC KHỐI LƯỢNG HOÀN THÀNH ĐƯA VÀO QUYẾT TOÁN</v>
          </cell>
        </row>
      </sheetData>
      <sheetData sheetId="7360">
        <row r="4">
          <cell r="A4" t="str">
            <v>BẢNG TÍNH TOÁN, ĐO BÓC KHỐI LƯỢNG HOÀN THÀNH ĐƯA VÀO QUYẾT TOÁN</v>
          </cell>
        </row>
      </sheetData>
      <sheetData sheetId="7361">
        <row r="4">
          <cell r="A4" t="str">
            <v>BẢNG TÍNH TOÁN, ĐO BÓC KHỐI LƯỢNG HOÀN THÀNH ĐƯA VÀO QUYẾT TOÁN</v>
          </cell>
        </row>
      </sheetData>
      <sheetData sheetId="7362">
        <row r="4">
          <cell r="A4" t="str">
            <v>BẢNG TÍNH TOÁN, ĐO BÓC KHỐI LƯỢNG HOÀN THÀNH ĐƯA VÀO QUYẾT TOÁN</v>
          </cell>
        </row>
      </sheetData>
      <sheetData sheetId="7363">
        <row r="4">
          <cell r="A4" t="str">
            <v>BẢNG TÍNH TOÁN, ĐO BÓC KHỐI LƯỢNG HOÀN THÀNH ĐƯA VÀO QUYẾT TOÁN</v>
          </cell>
        </row>
      </sheetData>
      <sheetData sheetId="7364">
        <row r="4">
          <cell r="A4" t="str">
            <v>BẢNG TÍNH TOÁN, ĐO BÓC KHỐI LƯỢNG HOÀN THÀNH ĐƯA VÀO QUYẾT TOÁN</v>
          </cell>
        </row>
      </sheetData>
      <sheetData sheetId="7365">
        <row r="4">
          <cell r="A4" t="str">
            <v>BẢNG TÍNH TOÁN, ĐO BÓC KHỐI LƯỢNG HOÀN THÀNH ĐƯA VÀO QUYẾT TOÁN</v>
          </cell>
        </row>
      </sheetData>
      <sheetData sheetId="7366">
        <row r="4">
          <cell r="A4" t="str">
            <v>BẢNG TÍNH TOÁN, ĐO BÓC KHỐI LƯỢNG HOÀN THÀNH ĐƯA VÀO QUYẾT TOÁN</v>
          </cell>
        </row>
      </sheetData>
      <sheetData sheetId="7367">
        <row r="4">
          <cell r="A4" t="str">
            <v>BẢNG TÍNH TOÁN, ĐO BÓC KHỐI LƯỢNG HOÀN THÀNH ĐƯA VÀO QUYẾT TOÁN</v>
          </cell>
        </row>
      </sheetData>
      <sheetData sheetId="7368">
        <row r="4">
          <cell r="A4" t="str">
            <v>BẢNG TÍNH TOÁN, ĐO BÓC KHỐI LƯỢNG HOÀN THÀNH ĐƯA VÀO QUYẾT TOÁN</v>
          </cell>
        </row>
      </sheetData>
      <sheetData sheetId="7369">
        <row r="4">
          <cell r="A4" t="str">
            <v>BẢNG TÍNH TOÁN, ĐO BÓC KHỐI LƯỢNG HOÀN THÀNH ĐƯA VÀO QUYẾT TOÁN</v>
          </cell>
        </row>
      </sheetData>
      <sheetData sheetId="7370">
        <row r="4">
          <cell r="A4" t="str">
            <v>BẢNG TÍNH TOÁN, ĐO BÓC KHỐI LƯỢNG HOÀN THÀNH ĐƯA VÀO QUYẾT TOÁN</v>
          </cell>
        </row>
      </sheetData>
      <sheetData sheetId="7371">
        <row r="4">
          <cell r="A4" t="str">
            <v>BẢNG TÍNH TOÁN, ĐO BÓC KHỐI LƯỢNG HOÀN THÀNH ĐƯA VÀO QUYẾT TOÁN</v>
          </cell>
        </row>
      </sheetData>
      <sheetData sheetId="7372">
        <row r="4">
          <cell r="A4" t="str">
            <v>BẢNG TÍNH TOÁN, ĐO BÓC KHỐI LƯỢNG HOÀN THÀNH ĐƯA VÀO QUYẾT TOÁN</v>
          </cell>
        </row>
      </sheetData>
      <sheetData sheetId="7373">
        <row r="4">
          <cell r="A4" t="str">
            <v>BẢNG TÍNH TOÁN, ĐO BÓC KHỐI LƯỢNG HOÀN THÀNH ĐƯA VÀO QUYẾT TOÁN</v>
          </cell>
        </row>
      </sheetData>
      <sheetData sheetId="7374">
        <row r="4">
          <cell r="A4" t="str">
            <v>BẢNG TÍNH TOÁN, ĐO BÓC KHỐI LƯỢNG HOÀN THÀNH ĐƯA VÀO QUYẾT TOÁN</v>
          </cell>
        </row>
      </sheetData>
      <sheetData sheetId="7375">
        <row r="4">
          <cell r="A4" t="str">
            <v>BẢNG TÍNH TOÁN, ĐO BÓC KHỐI LƯỢNG HOÀN THÀNH ĐƯA VÀO QUYẾT TOÁN</v>
          </cell>
        </row>
      </sheetData>
      <sheetData sheetId="7376">
        <row r="4">
          <cell r="A4" t="str">
            <v>BẢNG TÍNH TOÁN, ĐO BÓC KHỐI LƯỢNG HOÀN THÀNH ĐƯA VÀO QUYẾT TOÁN</v>
          </cell>
        </row>
      </sheetData>
      <sheetData sheetId="7377">
        <row r="4">
          <cell r="A4" t="str">
            <v>BẢNG TÍNH TOÁN, ĐO BÓC KHỐI LƯỢNG HOÀN THÀNH ĐƯA VÀO QUYẾT TOÁN</v>
          </cell>
        </row>
      </sheetData>
      <sheetData sheetId="7378">
        <row r="4">
          <cell r="A4" t="str">
            <v>BẢNG TÍNH TOÁN, ĐO BÓC KHỐI LƯỢNG HOÀN THÀNH ĐƯA VÀO QUYẾT TOÁN</v>
          </cell>
        </row>
      </sheetData>
      <sheetData sheetId="7379">
        <row r="4">
          <cell r="A4" t="str">
            <v>BẢNG TÍNH TOÁN, ĐO BÓC KHỐI LƯỢNG HOÀN THÀNH ĐƯA VÀO QUYẾT TOÁN</v>
          </cell>
        </row>
      </sheetData>
      <sheetData sheetId="7380">
        <row r="4">
          <cell r="A4" t="str">
            <v>BẢNG TÍNH TOÁN, ĐO BÓC KHỐI LƯỢNG HOÀN THÀNH ĐƯA VÀO QUYẾT TOÁN</v>
          </cell>
        </row>
      </sheetData>
      <sheetData sheetId="7381">
        <row r="4">
          <cell r="A4" t="str">
            <v>BẢNG TÍNH TOÁN, ĐO BÓC KHỐI LƯỢNG HOÀN THÀNH ĐƯA VÀO QUYẾT TOÁN</v>
          </cell>
        </row>
      </sheetData>
      <sheetData sheetId="7382">
        <row r="4">
          <cell r="A4" t="str">
            <v>BẢNG TÍNH TOÁN, ĐO BÓC KHỐI LƯỢNG HOÀN THÀNH ĐƯA VÀO QUYẾT TOÁN</v>
          </cell>
        </row>
      </sheetData>
      <sheetData sheetId="7383">
        <row r="4">
          <cell r="A4" t="str">
            <v>BẢNG TÍNH TOÁN, ĐO BÓC KHỐI LƯỢNG HOÀN THÀNH ĐƯA VÀO QUYẾT TOÁN</v>
          </cell>
        </row>
      </sheetData>
      <sheetData sheetId="7384">
        <row r="4">
          <cell r="A4" t="str">
            <v>BẢNG TÍNH TOÁN, ĐO BÓC KHỐI LƯỢNG HOÀN THÀNH ĐƯA VÀO QUYẾT TOÁN</v>
          </cell>
        </row>
      </sheetData>
      <sheetData sheetId="7385">
        <row r="4">
          <cell r="A4" t="str">
            <v>BẢNG TÍNH TOÁN, ĐO BÓC KHỐI LƯỢNG HOÀN THÀNH ĐƯA VÀO QUYẾT TOÁN</v>
          </cell>
        </row>
      </sheetData>
      <sheetData sheetId="7386">
        <row r="4">
          <cell r="A4" t="str">
            <v>BẢNG TÍNH TOÁN, ĐO BÓC KHỐI LƯỢNG HOÀN THÀNH ĐƯA VÀO QUYẾT TOÁN</v>
          </cell>
        </row>
      </sheetData>
      <sheetData sheetId="7387">
        <row r="4">
          <cell r="A4" t="str">
            <v>BẢNG TÍNH TOÁN, ĐO BÓC KHỐI LƯỢNG HOÀN THÀNH ĐƯA VÀO QUYẾT TOÁN</v>
          </cell>
        </row>
      </sheetData>
      <sheetData sheetId="7388">
        <row r="4">
          <cell r="A4" t="str">
            <v>BẢNG TÍNH TOÁN, ĐO BÓC KHỐI LƯỢNG HOÀN THÀNH ĐƯA VÀO QUYẾT TOÁN</v>
          </cell>
        </row>
      </sheetData>
      <sheetData sheetId="7389">
        <row r="4">
          <cell r="A4" t="str">
            <v>BẢNG TÍNH TOÁN, ĐO BÓC KHỐI LƯỢNG HOÀN THÀNH ĐƯA VÀO QUYẾT TOÁN</v>
          </cell>
        </row>
      </sheetData>
      <sheetData sheetId="7390">
        <row r="4">
          <cell r="A4" t="str">
            <v>BẢNG TÍNH TOÁN, ĐO BÓC KHỐI LƯỢNG HOÀN THÀNH ĐƯA VÀO QUYẾT TOÁN</v>
          </cell>
        </row>
      </sheetData>
      <sheetData sheetId="7391">
        <row r="4">
          <cell r="A4" t="str">
            <v>BẢNG TÍNH TOÁN, ĐO BÓC KHỐI LƯỢNG HOÀN THÀNH ĐƯA VÀO QUYẾT TOÁN</v>
          </cell>
        </row>
      </sheetData>
      <sheetData sheetId="7392">
        <row r="4">
          <cell r="A4" t="str">
            <v>BẢNG TÍNH TOÁN, ĐO BÓC KHỐI LƯỢNG HOÀN THÀNH ĐƯA VÀO QUYẾT TOÁN</v>
          </cell>
        </row>
      </sheetData>
      <sheetData sheetId="7393">
        <row r="4">
          <cell r="A4" t="str">
            <v>BẢNG TÍNH TOÁN, ĐO BÓC KHỐI LƯỢNG HOÀN THÀNH ĐƯA VÀO QUYẾT TOÁN</v>
          </cell>
        </row>
      </sheetData>
      <sheetData sheetId="7394">
        <row r="4">
          <cell r="A4" t="str">
            <v>BẢNG TÍNH TOÁN, ĐO BÓC KHỐI LƯỢNG HOÀN THÀNH ĐƯA VÀO QUYẾT TOÁN</v>
          </cell>
        </row>
      </sheetData>
      <sheetData sheetId="7395">
        <row r="4">
          <cell r="A4" t="str">
            <v>BẢNG TÍNH TOÁN, ĐO BÓC KHỐI LƯỢNG HOÀN THÀNH ĐƯA VÀO QUYẾT TOÁN</v>
          </cell>
        </row>
      </sheetData>
      <sheetData sheetId="7396">
        <row r="4">
          <cell r="A4" t="str">
            <v>BẢNG TÍNH TOÁN, ĐO BÓC KHỐI LƯỢNG HOÀN THÀNH ĐƯA VÀO QUYẾT TOÁN</v>
          </cell>
        </row>
      </sheetData>
      <sheetData sheetId="7397">
        <row r="4">
          <cell r="A4" t="str">
            <v>BẢNG TÍNH TOÁN, ĐO BÓC KHỐI LƯỢNG HOÀN THÀNH ĐƯA VÀO QUYẾT TOÁN</v>
          </cell>
        </row>
      </sheetData>
      <sheetData sheetId="7398">
        <row r="4">
          <cell r="A4" t="str">
            <v>BẢNG TÍNH TOÁN, ĐO BÓC KHỐI LƯỢNG HOÀN THÀNH ĐƯA VÀO QUYẾT TOÁN</v>
          </cell>
        </row>
      </sheetData>
      <sheetData sheetId="7399">
        <row r="4">
          <cell r="A4" t="str">
            <v>BẢNG TÍNH TOÁN, ĐO BÓC KHỐI LƯỢNG HOÀN THÀNH ĐƯA VÀO QUYẾT TOÁN</v>
          </cell>
        </row>
      </sheetData>
      <sheetData sheetId="7400">
        <row r="4">
          <cell r="A4" t="str">
            <v>BẢNG TÍNH TOÁN, ĐO BÓC KHỐI LƯỢNG HOÀN THÀNH ĐƯA VÀO QUYẾT TOÁN</v>
          </cell>
        </row>
      </sheetData>
      <sheetData sheetId="7401">
        <row r="4">
          <cell r="A4" t="str">
            <v>BẢNG TÍNH TOÁN, ĐO BÓC KHỐI LƯỢNG HOÀN THÀNH ĐƯA VÀO QUYẾT TOÁN</v>
          </cell>
        </row>
      </sheetData>
      <sheetData sheetId="7402">
        <row r="4">
          <cell r="A4" t="str">
            <v>BẢNG TÍNH TOÁN, ĐO BÓC KHỐI LƯỢNG HOÀN THÀNH ĐƯA VÀO QUYẾT TOÁN</v>
          </cell>
        </row>
      </sheetData>
      <sheetData sheetId="7403">
        <row r="4">
          <cell r="A4" t="str">
            <v>BẢNG TÍNH TOÁN, ĐO BÓC KHỐI LƯỢNG HOÀN THÀNH ĐƯA VÀO QUYẾT TOÁN</v>
          </cell>
        </row>
      </sheetData>
      <sheetData sheetId="7404">
        <row r="4">
          <cell r="A4" t="str">
            <v>BẢNG TÍNH TOÁN, ĐO BÓC KHỐI LƯỢNG HOÀN THÀNH ĐƯA VÀO QUYẾT TOÁN</v>
          </cell>
        </row>
      </sheetData>
      <sheetData sheetId="7405">
        <row r="4">
          <cell r="A4" t="str">
            <v>BẢNG TÍNH TOÁN, ĐO BÓC KHỐI LƯỢNG HOÀN THÀNH ĐƯA VÀO QUYẾT TOÁN</v>
          </cell>
        </row>
      </sheetData>
      <sheetData sheetId="7406">
        <row r="4">
          <cell r="A4" t="str">
            <v>BẢNG TÍNH TOÁN, ĐO BÓC KHỐI LƯỢNG HOÀN THÀNH ĐƯA VÀO QUYẾT TOÁN</v>
          </cell>
        </row>
      </sheetData>
      <sheetData sheetId="7407">
        <row r="4">
          <cell r="A4" t="str">
            <v>BẢNG TÍNH TOÁN, ĐO BÓC KHỐI LƯỢNG HOÀN THÀNH ĐƯA VÀO QUYẾT TOÁN</v>
          </cell>
        </row>
      </sheetData>
      <sheetData sheetId="7408">
        <row r="4">
          <cell r="A4" t="str">
            <v>BẢNG TÍNH TOÁN, ĐO BÓC KHỐI LƯỢNG HOÀN THÀNH ĐƯA VÀO QUYẾT TOÁN</v>
          </cell>
        </row>
      </sheetData>
      <sheetData sheetId="7409">
        <row r="4">
          <cell r="A4" t="str">
            <v>BẢNG TÍNH TOÁN, ĐO BÓC KHỐI LƯỢNG HOÀN THÀNH ĐƯA VÀO QUYẾT TOÁN</v>
          </cell>
        </row>
      </sheetData>
      <sheetData sheetId="7410">
        <row r="4">
          <cell r="A4" t="str">
            <v>BẢNG TÍNH TOÁN, ĐO BÓC KHỐI LƯỢNG HOÀN THÀNH ĐƯA VÀO QUYẾT TOÁN</v>
          </cell>
        </row>
      </sheetData>
      <sheetData sheetId="7411">
        <row r="4">
          <cell r="A4" t="str">
            <v>BẢNG TÍNH TOÁN, ĐO BÓC KHỐI LƯỢNG HOÀN THÀNH ĐƯA VÀO QUYẾT TOÁN</v>
          </cell>
        </row>
      </sheetData>
      <sheetData sheetId="7412">
        <row r="4">
          <cell r="A4" t="str">
            <v>BẢNG TÍNH TOÁN, ĐO BÓC KHỐI LƯỢNG HOÀN THÀNH ĐƯA VÀO QUYẾT TOÁN</v>
          </cell>
        </row>
      </sheetData>
      <sheetData sheetId="7413">
        <row r="4">
          <cell r="A4" t="str">
            <v>BẢNG TÍNH TOÁN, ĐO BÓC KHỐI LƯỢNG HOÀN THÀNH ĐƯA VÀO QUYẾT TOÁN</v>
          </cell>
        </row>
      </sheetData>
      <sheetData sheetId="7414">
        <row r="4">
          <cell r="A4" t="str">
            <v>BẢNG TÍNH TOÁN, ĐO BÓC KHỐI LƯỢNG HOÀN THÀNH ĐƯA VÀO QUYẾT TOÁN</v>
          </cell>
        </row>
      </sheetData>
      <sheetData sheetId="7415">
        <row r="4">
          <cell r="A4" t="str">
            <v>BẢNG TÍNH TOÁN, ĐO BÓC KHỐI LƯỢNG HOÀN THÀNH ĐƯA VÀO QUYẾT TOÁN</v>
          </cell>
        </row>
      </sheetData>
      <sheetData sheetId="7416">
        <row r="4">
          <cell r="A4" t="str">
            <v>BẢNG TÍNH TOÁN, ĐO BÓC KHỐI LƯỢNG HOÀN THÀNH ĐƯA VÀO QUYẾT TOÁN</v>
          </cell>
        </row>
      </sheetData>
      <sheetData sheetId="7417">
        <row r="4">
          <cell r="A4" t="str">
            <v>BẢNG TÍNH TOÁN, ĐO BÓC KHỐI LƯỢNG HOÀN THÀNH ĐƯA VÀO QUYẾT TOÁN</v>
          </cell>
        </row>
      </sheetData>
      <sheetData sheetId="7418">
        <row r="4">
          <cell r="A4" t="str">
            <v>BẢNG TÍNH TOÁN, ĐO BÓC KHỐI LƯỢNG HOÀN THÀNH ĐƯA VÀO QUYẾT TOÁN</v>
          </cell>
        </row>
      </sheetData>
      <sheetData sheetId="7419">
        <row r="4">
          <cell r="A4" t="str">
            <v>BẢNG TÍNH TOÁN, ĐO BÓC KHỐI LƯỢNG HOÀN THÀNH ĐƯA VÀO QUYẾT TOÁN</v>
          </cell>
        </row>
      </sheetData>
      <sheetData sheetId="7420">
        <row r="4">
          <cell r="A4" t="str">
            <v>BẢNG TÍNH TOÁN, ĐO BÓC KHỐI LƯỢNG HOÀN THÀNH ĐƯA VÀO QUYẾT TOÁN</v>
          </cell>
        </row>
      </sheetData>
      <sheetData sheetId="7421">
        <row r="4">
          <cell r="A4" t="str">
            <v>BẢNG TÍNH TOÁN, ĐO BÓC KHỐI LƯỢNG HOÀN THÀNH ĐƯA VÀO QUYẾT TOÁN</v>
          </cell>
        </row>
      </sheetData>
      <sheetData sheetId="7422">
        <row r="4">
          <cell r="A4" t="str">
            <v>BẢNG TÍNH TOÁN, ĐO BÓC KHỐI LƯỢNG HOÀN THÀNH ĐƯA VÀO QUYẾT TOÁN</v>
          </cell>
        </row>
      </sheetData>
      <sheetData sheetId="7423">
        <row r="4">
          <cell r="A4" t="str">
            <v>BẢNG TÍNH TOÁN, ĐO BÓC KHỐI LƯỢNG HOÀN THÀNH ĐƯA VÀO QUYẾT TOÁN</v>
          </cell>
        </row>
      </sheetData>
      <sheetData sheetId="7424">
        <row r="4">
          <cell r="A4" t="str">
            <v>BẢNG TÍNH TOÁN, ĐO BÓC KHỐI LƯỢNG HOÀN THÀNH ĐƯA VÀO QUYẾT TOÁN</v>
          </cell>
        </row>
      </sheetData>
      <sheetData sheetId="7425">
        <row r="4">
          <cell r="A4" t="str">
            <v>BẢNG TÍNH TOÁN, ĐO BÓC KHỐI LƯỢNG HOÀN THÀNH ĐƯA VÀO QUYẾT TOÁN</v>
          </cell>
        </row>
      </sheetData>
      <sheetData sheetId="7426">
        <row r="4">
          <cell r="A4" t="str">
            <v>BẢNG TÍNH TOÁN, ĐO BÓC KHỐI LƯỢNG HOÀN THÀNH ĐƯA VÀO QUYẾT TOÁN</v>
          </cell>
        </row>
      </sheetData>
      <sheetData sheetId="7427">
        <row r="4">
          <cell r="A4" t="str">
            <v>BẢNG TÍNH TOÁN, ĐO BÓC KHỐI LƯỢNG HOÀN THÀNH ĐƯA VÀO QUYẾT TOÁN</v>
          </cell>
        </row>
      </sheetData>
      <sheetData sheetId="7428">
        <row r="4">
          <cell r="A4" t="str">
            <v>BẢNG TÍNH TOÁN, ĐO BÓC KHỐI LƯỢNG HOÀN THÀNH ĐƯA VÀO QUYẾT TOÁN</v>
          </cell>
        </row>
      </sheetData>
      <sheetData sheetId="7429">
        <row r="4">
          <cell r="A4" t="str">
            <v>BẢNG TÍNH TOÁN, ĐO BÓC KHỐI LƯỢNG HOÀN THÀNH ĐƯA VÀO QUYẾT TOÁN</v>
          </cell>
        </row>
      </sheetData>
      <sheetData sheetId="7430">
        <row r="4">
          <cell r="A4" t="str">
            <v>BẢNG TÍNH TOÁN, ĐO BÓC KHỐI LƯỢNG HOÀN THÀNH ĐƯA VÀO QUYẾT TOÁN</v>
          </cell>
        </row>
      </sheetData>
      <sheetData sheetId="7431">
        <row r="4">
          <cell r="A4" t="str">
            <v>BẢNG TÍNH TOÁN, ĐO BÓC KHỐI LƯỢNG HOÀN THÀNH ĐƯA VÀO QUYẾT TOÁN</v>
          </cell>
        </row>
      </sheetData>
      <sheetData sheetId="7432">
        <row r="4">
          <cell r="A4" t="str">
            <v>BẢNG TÍNH TOÁN, ĐO BÓC KHỐI LƯỢNG HOÀN THÀNH ĐƯA VÀO QUYẾT TOÁN</v>
          </cell>
        </row>
      </sheetData>
      <sheetData sheetId="7433">
        <row r="4">
          <cell r="A4" t="str">
            <v>BẢNG TÍNH TOÁN, ĐO BÓC KHỐI LƯỢNG HOÀN THÀNH ĐƯA VÀO QUYẾT TOÁN</v>
          </cell>
        </row>
      </sheetData>
      <sheetData sheetId="7434">
        <row r="4">
          <cell r="A4" t="str">
            <v>BẢNG TÍNH TOÁN, ĐO BÓC KHỐI LƯỢNG HOÀN THÀNH ĐƯA VÀO QUYẾT TOÁN</v>
          </cell>
        </row>
      </sheetData>
      <sheetData sheetId="7435">
        <row r="4">
          <cell r="A4" t="str">
            <v>BẢNG TÍNH TOÁN, ĐO BÓC KHỐI LƯỢNG HOÀN THÀNH ĐƯA VÀO QUYẾT TOÁN</v>
          </cell>
        </row>
      </sheetData>
      <sheetData sheetId="7436">
        <row r="4">
          <cell r="A4" t="str">
            <v>BẢNG TÍNH TOÁN, ĐO BÓC KHỐI LƯỢNG HOÀN THÀNH ĐƯA VÀO QUYẾT TOÁN</v>
          </cell>
        </row>
      </sheetData>
      <sheetData sheetId="7437">
        <row r="4">
          <cell r="A4" t="str">
            <v>BẢNG TÍNH TOÁN, ĐO BÓC KHỐI LƯỢNG HOÀN THÀNH ĐƯA VÀO QUYẾT TOÁN</v>
          </cell>
        </row>
      </sheetData>
      <sheetData sheetId="7438">
        <row r="4">
          <cell r="A4" t="str">
            <v>BẢNG TÍNH TOÁN, ĐO BÓC KHỐI LƯỢNG HOÀN THÀNH ĐƯA VÀO QUYẾT TOÁN</v>
          </cell>
        </row>
      </sheetData>
      <sheetData sheetId="7439">
        <row r="4">
          <cell r="A4" t="str">
            <v>BẢNG TÍNH TOÁN, ĐO BÓC KHỐI LƯỢNG HOÀN THÀNH ĐƯA VÀO QUYẾT TOÁN</v>
          </cell>
        </row>
      </sheetData>
      <sheetData sheetId="7440">
        <row r="4">
          <cell r="A4" t="str">
            <v>BẢNG TÍNH TOÁN, ĐO BÓC KHỐI LƯỢNG HOÀN THÀNH ĐƯA VÀO QUYẾT TOÁN</v>
          </cell>
        </row>
      </sheetData>
      <sheetData sheetId="7441">
        <row r="4">
          <cell r="A4" t="str">
            <v>BẢNG TÍNH TOÁN, ĐO BÓC KHỐI LƯỢNG HOÀN THÀNH ĐƯA VÀO QUYẾT TOÁN</v>
          </cell>
        </row>
      </sheetData>
      <sheetData sheetId="7442">
        <row r="4">
          <cell r="A4" t="str">
            <v>BẢNG TÍNH TOÁN, ĐO BÓC KHỐI LƯỢNG HOÀN THÀNH ĐƯA VÀO QUYẾT TOÁN</v>
          </cell>
        </row>
      </sheetData>
      <sheetData sheetId="7443">
        <row r="4">
          <cell r="A4" t="str">
            <v>BẢNG TÍNH TOÁN, ĐO BÓC KHỐI LƯỢNG HOÀN THÀNH ĐƯA VÀO QUYẾT TOÁN</v>
          </cell>
        </row>
      </sheetData>
      <sheetData sheetId="7444">
        <row r="4">
          <cell r="A4" t="str">
            <v>BẢNG TÍNH TOÁN, ĐO BÓC KHỐI LƯỢNG HOÀN THÀNH ĐƯA VÀO QUYẾT TOÁN</v>
          </cell>
        </row>
      </sheetData>
      <sheetData sheetId="7445">
        <row r="4">
          <cell r="A4" t="str">
            <v>BẢNG TÍNH TOÁN, ĐO BÓC KHỐI LƯỢNG HOÀN THÀNH ĐƯA VÀO QUYẾT TOÁN</v>
          </cell>
        </row>
      </sheetData>
      <sheetData sheetId="7446">
        <row r="4">
          <cell r="A4" t="str">
            <v>BẢNG TÍNH TOÁN, ĐO BÓC KHỐI LƯỢNG HOÀN THÀNH ĐƯA VÀO QUYẾT TOÁN</v>
          </cell>
        </row>
      </sheetData>
      <sheetData sheetId="7447">
        <row r="4">
          <cell r="A4" t="str">
            <v>BẢNG TÍNH TOÁN, ĐO BÓC KHỐI LƯỢNG HOÀN THÀNH ĐƯA VÀO QUYẾT TOÁN</v>
          </cell>
        </row>
      </sheetData>
      <sheetData sheetId="7448">
        <row r="4">
          <cell r="A4" t="str">
            <v>BẢNG TÍNH TOÁN, ĐO BÓC KHỐI LƯỢNG HOÀN THÀNH ĐƯA VÀO QUYẾT TOÁN</v>
          </cell>
        </row>
      </sheetData>
      <sheetData sheetId="7449">
        <row r="4">
          <cell r="A4" t="str">
            <v>BẢNG TÍNH TOÁN, ĐO BÓC KHỐI LƯỢNG HOÀN THÀNH ĐƯA VÀO QUYẾT TOÁN</v>
          </cell>
        </row>
      </sheetData>
      <sheetData sheetId="7450">
        <row r="4">
          <cell r="A4" t="str">
            <v>BẢNG TÍNH TOÁN, ĐO BÓC KHỐI LƯỢNG HOÀN THÀNH ĐƯA VÀO QUYẾT TOÁN</v>
          </cell>
        </row>
      </sheetData>
      <sheetData sheetId="7451">
        <row r="4">
          <cell r="A4" t="str">
            <v>BẢNG TÍNH TOÁN, ĐO BÓC KHỐI LƯỢNG HOÀN THÀNH ĐƯA VÀO QUYẾT TOÁN</v>
          </cell>
        </row>
      </sheetData>
      <sheetData sheetId="7452">
        <row r="4">
          <cell r="A4" t="str">
            <v>BẢNG TÍNH TOÁN, ĐO BÓC KHỐI LƯỢNG HOÀN THÀNH ĐƯA VÀO QUYẾT TOÁN</v>
          </cell>
        </row>
      </sheetData>
      <sheetData sheetId="7453">
        <row r="4">
          <cell r="A4" t="str">
            <v>BẢNG TÍNH TOÁN, ĐO BÓC KHỐI LƯỢNG HOÀN THÀNH ĐƯA VÀO QUYẾT TOÁN</v>
          </cell>
        </row>
      </sheetData>
      <sheetData sheetId="7454">
        <row r="4">
          <cell r="A4" t="str">
            <v>BẢNG TÍNH TOÁN, ĐO BÓC KHỐI LƯỢNG HOÀN THÀNH ĐƯA VÀO QUYẾT TOÁN</v>
          </cell>
        </row>
      </sheetData>
      <sheetData sheetId="7455">
        <row r="4">
          <cell r="A4" t="str">
            <v>BẢNG TÍNH TOÁN, ĐO BÓC KHỐI LƯỢNG HOÀN THÀNH ĐƯA VÀO QUYẾT TOÁN</v>
          </cell>
        </row>
      </sheetData>
      <sheetData sheetId="7456">
        <row r="4">
          <cell r="A4" t="str">
            <v>BẢNG TÍNH TOÁN, ĐO BÓC KHỐI LƯỢNG HOÀN THÀNH ĐƯA VÀO QUYẾT TOÁN</v>
          </cell>
        </row>
      </sheetData>
      <sheetData sheetId="7457">
        <row r="4">
          <cell r="A4" t="str">
            <v>BẢNG TÍNH TOÁN, ĐO BÓC KHỐI LƯỢNG HOÀN THÀNH ĐƯA VÀO QUYẾT TOÁN</v>
          </cell>
        </row>
      </sheetData>
      <sheetData sheetId="7458">
        <row r="4">
          <cell r="A4" t="str">
            <v>BẢNG TÍNH TOÁN, ĐO BÓC KHỐI LƯỢNG HOÀN THÀNH ĐƯA VÀO QUYẾT TOÁN</v>
          </cell>
        </row>
      </sheetData>
      <sheetData sheetId="7459">
        <row r="4">
          <cell r="A4" t="str">
            <v>BẢNG TÍNH TOÁN, ĐO BÓC KHỐI LƯỢNG HOÀN THÀNH ĐƯA VÀO QUYẾT TOÁN</v>
          </cell>
        </row>
      </sheetData>
      <sheetData sheetId="7460">
        <row r="4">
          <cell r="A4" t="str">
            <v>BẢNG TÍNH TOÁN, ĐO BÓC KHỐI LƯỢNG HOÀN THÀNH ĐƯA VÀO QUYẾT TOÁN</v>
          </cell>
        </row>
      </sheetData>
      <sheetData sheetId="7461">
        <row r="4">
          <cell r="A4" t="str">
            <v>BẢNG TÍNH TOÁN, ĐO BÓC KHỐI LƯỢNG HOÀN THÀNH ĐƯA VÀO QUYẾT TOÁN</v>
          </cell>
        </row>
      </sheetData>
      <sheetData sheetId="7462">
        <row r="4">
          <cell r="A4" t="str">
            <v>BẢNG TÍNH TOÁN, ĐO BÓC KHỐI LƯỢNG HOÀN THÀNH ĐƯA VÀO QUYẾT TOÁN</v>
          </cell>
        </row>
      </sheetData>
      <sheetData sheetId="7463">
        <row r="4">
          <cell r="A4" t="str">
            <v>BẢNG TÍNH TOÁN, ĐO BÓC KHỐI LƯỢNG HOÀN THÀNH ĐƯA VÀO QUYẾT TOÁN</v>
          </cell>
        </row>
      </sheetData>
      <sheetData sheetId="7464">
        <row r="4">
          <cell r="A4" t="str">
            <v>BẢNG TÍNH TOÁN, ĐO BÓC KHỐI LƯỢNG HOÀN THÀNH ĐƯA VÀO QUYẾT TOÁN</v>
          </cell>
        </row>
      </sheetData>
      <sheetData sheetId="7465">
        <row r="4">
          <cell r="A4" t="str">
            <v>BẢNG TÍNH TOÁN, ĐO BÓC KHỐI LƯỢNG HOÀN THÀNH ĐƯA VÀO QUYẾT TOÁN</v>
          </cell>
        </row>
      </sheetData>
      <sheetData sheetId="7466">
        <row r="4">
          <cell r="A4" t="str">
            <v>BẢNG TÍNH TOÁN, ĐO BÓC KHỐI LƯỢNG HOÀN THÀNH ĐƯA VÀO QUYẾT TOÁN</v>
          </cell>
        </row>
      </sheetData>
      <sheetData sheetId="7467">
        <row r="4">
          <cell r="A4" t="str">
            <v>BẢNG TÍNH TOÁN, ĐO BÓC KHỐI LƯỢNG HOÀN THÀNH ĐƯA VÀO QUYẾT TOÁN</v>
          </cell>
        </row>
      </sheetData>
      <sheetData sheetId="7468">
        <row r="4">
          <cell r="A4" t="str">
            <v>BẢNG TÍNH TOÁN, ĐO BÓC KHỐI LƯỢNG HOÀN THÀNH ĐƯA VÀO QUYẾT TOÁN</v>
          </cell>
        </row>
      </sheetData>
      <sheetData sheetId="7469">
        <row r="4">
          <cell r="A4" t="str">
            <v>BẢNG TÍNH TOÁN, ĐO BÓC KHỐI LƯỢNG HOÀN THÀNH ĐƯA VÀO QUYẾT TOÁN</v>
          </cell>
        </row>
      </sheetData>
      <sheetData sheetId="7470">
        <row r="4">
          <cell r="A4" t="str">
            <v>BẢNG TÍNH TOÁN, ĐO BÓC KHỐI LƯỢNG HOÀN THÀNH ĐƯA VÀO QUYẾT TOÁN</v>
          </cell>
        </row>
      </sheetData>
      <sheetData sheetId="7471">
        <row r="4">
          <cell r="A4" t="str">
            <v>BẢNG TÍNH TOÁN, ĐO BÓC KHỐI LƯỢNG HOÀN THÀNH ĐƯA VÀO QUYẾT TOÁN</v>
          </cell>
        </row>
      </sheetData>
      <sheetData sheetId="7472">
        <row r="4">
          <cell r="A4" t="str">
            <v>BẢNG TÍNH TOÁN, ĐO BÓC KHỐI LƯỢNG HOÀN THÀNH ĐƯA VÀO QUYẾT TOÁN</v>
          </cell>
        </row>
      </sheetData>
      <sheetData sheetId="7473">
        <row r="4">
          <cell r="A4" t="str">
            <v>BẢNG TÍNH TOÁN, ĐO BÓC KHỐI LƯỢNG HOÀN THÀNH ĐƯA VÀO QUYẾT TOÁN</v>
          </cell>
        </row>
      </sheetData>
      <sheetData sheetId="7474">
        <row r="4">
          <cell r="A4" t="str">
            <v>BẢNG TÍNH TOÁN, ĐO BÓC KHỐI LƯỢNG HOÀN THÀNH ĐƯA VÀO QUYẾT TOÁN</v>
          </cell>
        </row>
      </sheetData>
      <sheetData sheetId="7475">
        <row r="4">
          <cell r="A4" t="str">
            <v>BẢNG TÍNH TOÁN, ĐO BÓC KHỐI LƯỢNG HOÀN THÀNH ĐƯA VÀO QUYẾT TOÁN</v>
          </cell>
        </row>
      </sheetData>
      <sheetData sheetId="7476">
        <row r="4">
          <cell r="A4" t="str">
            <v>BẢNG TÍNH TOÁN, ĐO BÓC KHỐI LƯỢNG HOÀN THÀNH ĐƯA VÀO QUYẾT TOÁN</v>
          </cell>
        </row>
      </sheetData>
      <sheetData sheetId="7477">
        <row r="4">
          <cell r="A4" t="str">
            <v>BẢNG TÍNH TOÁN, ĐO BÓC KHỐI LƯỢNG HOÀN THÀNH ĐƯA VÀO QUYẾT TOÁN</v>
          </cell>
        </row>
      </sheetData>
      <sheetData sheetId="7478">
        <row r="4">
          <cell r="A4" t="str">
            <v>BẢNG TÍNH TOÁN, ĐO BÓC KHỐI LƯỢNG HOÀN THÀNH ĐƯA VÀO QUYẾT TOÁN</v>
          </cell>
        </row>
      </sheetData>
      <sheetData sheetId="7479">
        <row r="4">
          <cell r="A4" t="str">
            <v>BẢNG TÍNH TOÁN, ĐO BÓC KHỐI LƯỢNG HOÀN THÀNH ĐƯA VÀO QUYẾT TOÁN</v>
          </cell>
        </row>
      </sheetData>
      <sheetData sheetId="7480">
        <row r="4">
          <cell r="A4" t="str">
            <v>BẢNG TÍNH TOÁN, ĐO BÓC KHỐI LƯỢNG HOÀN THÀNH ĐƯA VÀO QUYẾT TOÁN</v>
          </cell>
        </row>
      </sheetData>
      <sheetData sheetId="7481">
        <row r="4">
          <cell r="A4" t="str">
            <v>BẢNG TÍNH TOÁN, ĐO BÓC KHỐI LƯỢNG HOÀN THÀNH ĐƯA VÀO QUYẾT TOÁN</v>
          </cell>
        </row>
      </sheetData>
      <sheetData sheetId="7482">
        <row r="4">
          <cell r="A4" t="str">
            <v>BẢNG TÍNH TOÁN, ĐO BÓC KHỐI LƯỢNG HOÀN THÀNH ĐƯA VÀO QUYẾT TOÁN</v>
          </cell>
        </row>
      </sheetData>
      <sheetData sheetId="7483">
        <row r="4">
          <cell r="A4" t="str">
            <v>BẢNG TÍNH TOÁN, ĐO BÓC KHỐI LƯỢNG HOÀN THÀNH ĐƯA VÀO QUYẾT TOÁN</v>
          </cell>
        </row>
      </sheetData>
      <sheetData sheetId="7484">
        <row r="4">
          <cell r="A4" t="str">
            <v>BẢNG TÍNH TOÁN, ĐO BÓC KHỐI LƯỢNG HOÀN THÀNH ĐƯA VÀO QUYẾT TOÁN</v>
          </cell>
        </row>
      </sheetData>
      <sheetData sheetId="7485">
        <row r="4">
          <cell r="A4" t="str">
            <v>BẢNG TÍNH TOÁN, ĐO BÓC KHỐI LƯỢNG HOÀN THÀNH ĐƯA VÀO QUYẾT TOÁN</v>
          </cell>
        </row>
      </sheetData>
      <sheetData sheetId="7486">
        <row r="4">
          <cell r="A4" t="str">
            <v>BẢNG TÍNH TOÁN, ĐO BÓC KHỐI LƯỢNG HOÀN THÀNH ĐƯA VÀO QUYẾT TOÁN</v>
          </cell>
        </row>
      </sheetData>
      <sheetData sheetId="7487">
        <row r="4">
          <cell r="A4" t="str">
            <v>BẢNG TÍNH TOÁN, ĐO BÓC KHỐI LƯỢNG HOÀN THÀNH ĐƯA VÀO QUYẾT TOÁN</v>
          </cell>
        </row>
      </sheetData>
      <sheetData sheetId="7488">
        <row r="4">
          <cell r="A4" t="str">
            <v>BẢNG TÍNH TOÁN, ĐO BÓC KHỐI LƯỢNG HOÀN THÀNH ĐƯA VÀO QUYẾT TOÁN</v>
          </cell>
        </row>
      </sheetData>
      <sheetData sheetId="7489">
        <row r="4">
          <cell r="A4" t="str">
            <v>BẢNG TÍNH TOÁN, ĐO BÓC KHỐI LƯỢNG HOÀN THÀNH ĐƯA VÀO QUYẾT TOÁN</v>
          </cell>
        </row>
      </sheetData>
      <sheetData sheetId="7490">
        <row r="4">
          <cell r="A4" t="str">
            <v>BẢNG TÍNH TOÁN, ĐO BÓC KHỐI LƯỢNG HOÀN THÀNH ĐƯA VÀO QUYẾT TOÁN</v>
          </cell>
        </row>
      </sheetData>
      <sheetData sheetId="7491">
        <row r="4">
          <cell r="A4" t="str">
            <v>BẢNG TÍNH TOÁN, ĐO BÓC KHỐI LƯỢNG HOÀN THÀNH ĐƯA VÀO QUYẾT TOÁN</v>
          </cell>
        </row>
      </sheetData>
      <sheetData sheetId="7492">
        <row r="4">
          <cell r="A4" t="str">
            <v>BẢNG TÍNH TOÁN, ĐO BÓC KHỐI LƯỢNG HOÀN THÀNH ĐƯA VÀO QUYẾT TOÁN</v>
          </cell>
        </row>
      </sheetData>
      <sheetData sheetId="7493">
        <row r="4">
          <cell r="A4" t="str">
            <v>BẢNG TÍNH TOÁN, ĐO BÓC KHỐI LƯỢNG HOÀN THÀNH ĐƯA VÀO QUYẾT TOÁN</v>
          </cell>
        </row>
      </sheetData>
      <sheetData sheetId="7494">
        <row r="4">
          <cell r="A4" t="str">
            <v>BẢNG TÍNH TOÁN, ĐO BÓC KHỐI LƯỢNG HOÀN THÀNH ĐƯA VÀO QUYẾT TOÁN</v>
          </cell>
        </row>
      </sheetData>
      <sheetData sheetId="7495">
        <row r="4">
          <cell r="A4" t="str">
            <v>BẢNG TÍNH TOÁN, ĐO BÓC KHỐI LƯỢNG HOÀN THÀNH ĐƯA VÀO QUYẾT TOÁN</v>
          </cell>
        </row>
      </sheetData>
      <sheetData sheetId="7496">
        <row r="4">
          <cell r="A4" t="str">
            <v>BẢNG TÍNH TOÁN, ĐO BÓC KHỐI LƯỢNG HOÀN THÀNH ĐƯA VÀO QUYẾT TOÁN</v>
          </cell>
        </row>
      </sheetData>
      <sheetData sheetId="7497">
        <row r="4">
          <cell r="A4" t="str">
            <v>BẢNG TÍNH TOÁN, ĐO BÓC KHỐI LƯỢNG HOÀN THÀNH ĐƯA VÀO QUYẾT TOÁN</v>
          </cell>
        </row>
      </sheetData>
      <sheetData sheetId="7498">
        <row r="4">
          <cell r="A4" t="str">
            <v>BẢNG TÍNH TOÁN, ĐO BÓC KHỐI LƯỢNG HOÀN THÀNH ĐƯA VÀO QUYẾT TOÁN</v>
          </cell>
        </row>
      </sheetData>
      <sheetData sheetId="7499">
        <row r="4">
          <cell r="A4" t="str">
            <v>BẢNG TÍNH TOÁN, ĐO BÓC KHỐI LƯỢNG HOÀN THÀNH ĐƯA VÀO QUYẾT TOÁN</v>
          </cell>
        </row>
      </sheetData>
      <sheetData sheetId="7500">
        <row r="4">
          <cell r="A4" t="str">
            <v>BẢNG TÍNH TOÁN, ĐO BÓC KHỐI LƯỢNG HOÀN THÀNH ĐƯA VÀO QUYẾT TOÁN</v>
          </cell>
        </row>
      </sheetData>
      <sheetData sheetId="7501">
        <row r="4">
          <cell r="A4" t="str">
            <v>BẢNG TÍNH TOÁN, ĐO BÓC KHỐI LƯỢNG HOÀN THÀNH ĐƯA VÀO QUYẾT TOÁN</v>
          </cell>
        </row>
      </sheetData>
      <sheetData sheetId="7502">
        <row r="4">
          <cell r="A4" t="str">
            <v>BẢNG TÍNH TOÁN, ĐO BÓC KHỐI LƯỢNG HOÀN THÀNH ĐƯA VÀO QUYẾT TOÁN</v>
          </cell>
        </row>
      </sheetData>
      <sheetData sheetId="7503">
        <row r="4">
          <cell r="A4" t="str">
            <v>BẢNG TÍNH TOÁN, ĐO BÓC KHỐI LƯỢNG HOÀN THÀNH ĐƯA VÀO QUYẾT TOÁN</v>
          </cell>
        </row>
      </sheetData>
      <sheetData sheetId="7504">
        <row r="4">
          <cell r="A4" t="str">
            <v>BẢNG TÍNH TOÁN, ĐO BÓC KHỐI LƯỢNG HOÀN THÀNH ĐƯA VÀO QUYẾT TOÁN</v>
          </cell>
        </row>
      </sheetData>
      <sheetData sheetId="7505">
        <row r="4">
          <cell r="A4" t="str">
            <v>BẢNG TÍNH TOÁN, ĐO BÓC KHỐI LƯỢNG HOÀN THÀNH ĐƯA VÀO QUYẾT TOÁN</v>
          </cell>
        </row>
      </sheetData>
      <sheetData sheetId="7506">
        <row r="4">
          <cell r="A4" t="str">
            <v>BẢNG TÍNH TOÁN, ĐO BÓC KHỐI LƯỢNG HOÀN THÀNH ĐƯA VÀO QUYẾT TOÁN</v>
          </cell>
        </row>
      </sheetData>
      <sheetData sheetId="7507">
        <row r="4">
          <cell r="A4" t="str">
            <v>BẢNG TÍNH TOÁN, ĐO BÓC KHỐI LƯỢNG HOÀN THÀNH ĐƯA VÀO QUYẾT TOÁN</v>
          </cell>
        </row>
      </sheetData>
      <sheetData sheetId="7508">
        <row r="4">
          <cell r="A4" t="str">
            <v>BẢNG TÍNH TOÁN, ĐO BÓC KHỐI LƯỢNG HOÀN THÀNH ĐƯA VÀO QUYẾT TOÁN</v>
          </cell>
        </row>
      </sheetData>
      <sheetData sheetId="7509">
        <row r="4">
          <cell r="A4" t="str">
            <v>BẢNG TÍNH TOÁN, ĐO BÓC KHỐI LƯỢNG HOÀN THÀNH ĐƯA VÀO QUYẾT TOÁN</v>
          </cell>
        </row>
      </sheetData>
      <sheetData sheetId="7510">
        <row r="4">
          <cell r="A4" t="str">
            <v>BẢNG TÍNH TOÁN, ĐO BÓC KHỐI LƯỢNG HOÀN THÀNH ĐƯA VÀO QUYẾT TOÁN</v>
          </cell>
        </row>
      </sheetData>
      <sheetData sheetId="7511">
        <row r="4">
          <cell r="A4" t="str">
            <v>BẢNG TÍNH TOÁN, ĐO BÓC KHỐI LƯỢNG HOÀN THÀNH ĐƯA VÀO QUYẾT TOÁN</v>
          </cell>
        </row>
      </sheetData>
      <sheetData sheetId="7512">
        <row r="4">
          <cell r="A4" t="str">
            <v>BẢNG TÍNH TOÁN, ĐO BÓC KHỐI LƯỢNG HOÀN THÀNH ĐƯA VÀO QUYẾT TOÁN</v>
          </cell>
        </row>
      </sheetData>
      <sheetData sheetId="7513">
        <row r="4">
          <cell r="A4" t="str">
            <v>BẢNG TÍNH TOÁN, ĐO BÓC KHỐI LƯỢNG HOÀN THÀNH ĐƯA VÀO QUYẾT TOÁN</v>
          </cell>
        </row>
      </sheetData>
      <sheetData sheetId="7514">
        <row r="4">
          <cell r="A4" t="str">
            <v>BẢNG TÍNH TOÁN, ĐO BÓC KHỐI LƯỢNG HOÀN THÀNH ĐƯA VÀO QUYẾT TOÁN</v>
          </cell>
        </row>
      </sheetData>
      <sheetData sheetId="7515">
        <row r="4">
          <cell r="A4" t="str">
            <v>BẢNG TÍNH TOÁN, ĐO BÓC KHỐI LƯỢNG HOÀN THÀNH ĐƯA VÀO QUYẾT TOÁN</v>
          </cell>
        </row>
      </sheetData>
      <sheetData sheetId="7516">
        <row r="4">
          <cell r="A4" t="str">
            <v>BẢNG TÍNH TOÁN, ĐO BÓC KHỐI LƯỢNG HOÀN THÀNH ĐƯA VÀO QUYẾT TOÁN</v>
          </cell>
        </row>
      </sheetData>
      <sheetData sheetId="7517">
        <row r="4">
          <cell r="A4" t="str">
            <v>BẢNG TÍNH TOÁN, ĐO BÓC KHỐI LƯỢNG HOÀN THÀNH ĐƯA VÀO QUYẾT TOÁN</v>
          </cell>
        </row>
      </sheetData>
      <sheetData sheetId="7518">
        <row r="4">
          <cell r="A4" t="str">
            <v>BẢNG TÍNH TOÁN, ĐO BÓC KHỐI LƯỢNG HOÀN THÀNH ĐƯA VÀO QUYẾT TOÁN</v>
          </cell>
        </row>
      </sheetData>
      <sheetData sheetId="7519">
        <row r="4">
          <cell r="A4" t="str">
            <v>BẢNG TÍNH TOÁN, ĐO BÓC KHỐI LƯỢNG HOÀN THÀNH ĐƯA VÀO QUYẾT TOÁN</v>
          </cell>
        </row>
      </sheetData>
      <sheetData sheetId="7520">
        <row r="4">
          <cell r="A4" t="str">
            <v>BẢNG TÍNH TOÁN, ĐO BÓC KHỐI LƯỢNG HOÀN THÀNH ĐƯA VÀO QUYẾT TOÁN</v>
          </cell>
        </row>
      </sheetData>
      <sheetData sheetId="7521">
        <row r="4">
          <cell r="A4" t="str">
            <v>BẢNG TÍNH TOÁN, ĐO BÓC KHỐI LƯỢNG HOÀN THÀNH ĐƯA VÀO QUYẾT TOÁN</v>
          </cell>
        </row>
      </sheetData>
      <sheetData sheetId="7522">
        <row r="4">
          <cell r="A4" t="str">
            <v>BẢNG TÍNH TOÁN, ĐO BÓC KHỐI LƯỢNG HOÀN THÀNH ĐƯA VÀO QUYẾT TOÁN</v>
          </cell>
        </row>
      </sheetData>
      <sheetData sheetId="7523">
        <row r="4">
          <cell r="A4" t="str">
            <v>BẢNG TÍNH TOÁN, ĐO BÓC KHỐI LƯỢNG HOÀN THÀNH ĐƯA VÀO QUYẾT TOÁN</v>
          </cell>
        </row>
      </sheetData>
      <sheetData sheetId="7524">
        <row r="4">
          <cell r="A4" t="str">
            <v>BẢNG TÍNH TOÁN, ĐO BÓC KHỐI LƯỢNG HOÀN THÀNH ĐƯA VÀO QUYẾT TOÁN</v>
          </cell>
        </row>
      </sheetData>
      <sheetData sheetId="7525">
        <row r="4">
          <cell r="A4" t="str">
            <v>BẢNG TÍNH TOÁN, ĐO BÓC KHỐI LƯỢNG HOÀN THÀNH ĐƯA VÀO QUYẾT TOÁN</v>
          </cell>
        </row>
      </sheetData>
      <sheetData sheetId="7526">
        <row r="4">
          <cell r="A4" t="str">
            <v>BẢNG TÍNH TOÁN, ĐO BÓC KHỐI LƯỢNG HOÀN THÀNH ĐƯA VÀO QUYẾT TOÁN</v>
          </cell>
        </row>
      </sheetData>
      <sheetData sheetId="7527">
        <row r="4">
          <cell r="A4" t="str">
            <v>BẢNG TÍNH TOÁN, ĐO BÓC KHỐI LƯỢNG HOÀN THÀNH ĐƯA VÀO QUYẾT TOÁN</v>
          </cell>
        </row>
      </sheetData>
      <sheetData sheetId="7528">
        <row r="4">
          <cell r="A4" t="str">
            <v>BẢNG TÍNH TOÁN, ĐO BÓC KHỐI LƯỢNG HOÀN THÀNH ĐƯA VÀO QUYẾT TOÁN</v>
          </cell>
        </row>
      </sheetData>
      <sheetData sheetId="7529">
        <row r="4">
          <cell r="A4" t="str">
            <v>BẢNG TÍNH TOÁN, ĐO BÓC KHỐI LƯỢNG HOÀN THÀNH ĐƯA VÀO QUYẾT TOÁN</v>
          </cell>
        </row>
      </sheetData>
      <sheetData sheetId="7530">
        <row r="4">
          <cell r="A4" t="str">
            <v>BẢNG TÍNH TOÁN, ĐO BÓC KHỐI LƯỢNG HOÀN THÀNH ĐƯA VÀO QUYẾT TOÁN</v>
          </cell>
        </row>
      </sheetData>
      <sheetData sheetId="7531">
        <row r="4">
          <cell r="A4" t="str">
            <v>BẢNG TÍNH TOÁN, ĐO BÓC KHỐI LƯỢNG HOÀN THÀNH ĐƯA VÀO QUYẾT TOÁN</v>
          </cell>
        </row>
      </sheetData>
      <sheetData sheetId="7532">
        <row r="4">
          <cell r="A4" t="str">
            <v>BẢNG TÍNH TOÁN, ĐO BÓC KHỐI LƯỢNG HOÀN THÀNH ĐƯA VÀO QUYẾT TOÁN</v>
          </cell>
        </row>
      </sheetData>
      <sheetData sheetId="7533">
        <row r="4">
          <cell r="A4" t="str">
            <v>BẢNG TÍNH TOÁN, ĐO BÓC KHỐI LƯỢNG HOÀN THÀNH ĐƯA VÀO QUYẾT TOÁN</v>
          </cell>
        </row>
      </sheetData>
      <sheetData sheetId="7534">
        <row r="4">
          <cell r="A4" t="str">
            <v>BẢNG TÍNH TOÁN, ĐO BÓC KHỐI LƯỢNG HOÀN THÀNH ĐƯA VÀO QUYẾT TOÁN</v>
          </cell>
        </row>
      </sheetData>
      <sheetData sheetId="7535">
        <row r="4">
          <cell r="A4" t="str">
            <v>BẢNG TÍNH TOÁN, ĐO BÓC KHỐI LƯỢNG HOÀN THÀNH ĐƯA VÀO QUYẾT TOÁN</v>
          </cell>
        </row>
      </sheetData>
      <sheetData sheetId="7536">
        <row r="4">
          <cell r="A4" t="str">
            <v>BẢNG TÍNH TOÁN, ĐO BÓC KHỐI LƯỢNG HOÀN THÀNH ĐƯA VÀO QUYẾT TOÁN</v>
          </cell>
        </row>
      </sheetData>
      <sheetData sheetId="7537">
        <row r="4">
          <cell r="A4" t="str">
            <v>BẢNG TÍNH TOÁN, ĐO BÓC KHỐI LƯỢNG HOÀN THÀNH ĐƯA VÀO QUYẾT TOÁN</v>
          </cell>
        </row>
      </sheetData>
      <sheetData sheetId="7538">
        <row r="4">
          <cell r="A4" t="str">
            <v>BẢNG TÍNH TOÁN, ĐO BÓC KHỐI LƯỢNG HOÀN THÀNH ĐƯA VÀO QUYẾT TOÁN</v>
          </cell>
        </row>
      </sheetData>
      <sheetData sheetId="7539">
        <row r="4">
          <cell r="A4" t="str">
            <v>BẢNG TÍNH TOÁN, ĐO BÓC KHỐI LƯỢNG HOÀN THÀNH ĐƯA VÀO QUYẾT TOÁN</v>
          </cell>
        </row>
      </sheetData>
      <sheetData sheetId="7540">
        <row r="4">
          <cell r="A4" t="str">
            <v>BẢNG TÍNH TOÁN, ĐO BÓC KHỐI LƯỢNG HOÀN THÀNH ĐƯA VÀO QUYẾT TOÁN</v>
          </cell>
        </row>
      </sheetData>
      <sheetData sheetId="7541">
        <row r="4">
          <cell r="A4" t="str">
            <v>BẢNG TÍNH TOÁN, ĐO BÓC KHỐI LƯỢNG HOÀN THÀNH ĐƯA VÀO QUYẾT TOÁN</v>
          </cell>
        </row>
      </sheetData>
      <sheetData sheetId="7542">
        <row r="4">
          <cell r="A4" t="str">
            <v>BẢNG TÍNH TOÁN, ĐO BÓC KHỐI LƯỢNG HOÀN THÀNH ĐƯA VÀO QUYẾT TOÁN</v>
          </cell>
        </row>
      </sheetData>
      <sheetData sheetId="7543">
        <row r="4">
          <cell r="A4" t="str">
            <v>BẢNG TÍNH TOÁN, ĐO BÓC KHỐI LƯỢNG HOÀN THÀNH ĐƯA VÀO QUYẾT TOÁN</v>
          </cell>
        </row>
      </sheetData>
      <sheetData sheetId="7544">
        <row r="4">
          <cell r="A4" t="str">
            <v>BẢNG TÍNH TOÁN, ĐO BÓC KHỐI LƯỢNG HOÀN THÀNH ĐƯA VÀO QUYẾT TOÁN</v>
          </cell>
        </row>
      </sheetData>
      <sheetData sheetId="7545">
        <row r="4">
          <cell r="A4" t="str">
            <v>BẢNG TÍNH TOÁN, ĐO BÓC KHỐI LƯỢNG HOÀN THÀNH ĐƯA VÀO QUYẾT TOÁN</v>
          </cell>
        </row>
      </sheetData>
      <sheetData sheetId="7546">
        <row r="4">
          <cell r="A4" t="str">
            <v>BẢNG TÍNH TOÁN, ĐO BÓC KHỐI LƯỢNG HOÀN THÀNH ĐƯA VÀO QUYẾT TOÁN</v>
          </cell>
        </row>
      </sheetData>
      <sheetData sheetId="7547">
        <row r="4">
          <cell r="A4" t="str">
            <v>BẢNG TÍNH TOÁN, ĐO BÓC KHỐI LƯỢNG HOÀN THÀNH ĐƯA VÀO QUYẾT TOÁN</v>
          </cell>
        </row>
      </sheetData>
      <sheetData sheetId="7548">
        <row r="4">
          <cell r="A4" t="str">
            <v>BẢNG TÍNH TOÁN, ĐO BÓC KHỐI LƯỢNG HOÀN THÀNH ĐƯA VÀO QUYẾT TOÁN</v>
          </cell>
        </row>
      </sheetData>
      <sheetData sheetId="7549">
        <row r="4">
          <cell r="A4" t="str">
            <v>BẢNG TÍNH TOÁN, ĐO BÓC KHỐI LƯỢNG HOÀN THÀNH ĐƯA VÀO QUYẾT TOÁN</v>
          </cell>
        </row>
      </sheetData>
      <sheetData sheetId="7550">
        <row r="4">
          <cell r="A4" t="str">
            <v>BẢNG TÍNH TOÁN, ĐO BÓC KHỐI LƯỢNG HOÀN THÀNH ĐƯA VÀO QUYẾT TOÁN</v>
          </cell>
        </row>
      </sheetData>
      <sheetData sheetId="7551">
        <row r="4">
          <cell r="A4" t="str">
            <v>BẢNG TÍNH TOÁN, ĐO BÓC KHỐI LƯỢNG HOÀN THÀNH ĐƯA VÀO QUYẾT TOÁN</v>
          </cell>
        </row>
      </sheetData>
      <sheetData sheetId="7552">
        <row r="4">
          <cell r="A4" t="str">
            <v>BẢNG TÍNH TOÁN, ĐO BÓC KHỐI LƯỢNG HOÀN THÀNH ĐƯA VÀO QUYẾT TOÁN</v>
          </cell>
        </row>
      </sheetData>
      <sheetData sheetId="7553">
        <row r="4">
          <cell r="A4" t="str">
            <v>BẢNG TÍNH TOÁN, ĐO BÓC KHỐI LƯỢNG HOÀN THÀNH ĐƯA VÀO QUYẾT TOÁN</v>
          </cell>
        </row>
      </sheetData>
      <sheetData sheetId="7554">
        <row r="4">
          <cell r="A4" t="str">
            <v>BẢNG TÍNH TOÁN, ĐO BÓC KHỐI LƯỢNG HOÀN THÀNH ĐƯA VÀO QUYẾT TOÁN</v>
          </cell>
        </row>
      </sheetData>
      <sheetData sheetId="7555">
        <row r="4">
          <cell r="A4" t="str">
            <v>BẢNG TÍNH TOÁN, ĐO BÓC KHỐI LƯỢNG HOÀN THÀNH ĐƯA VÀO QUYẾT TOÁN</v>
          </cell>
        </row>
      </sheetData>
      <sheetData sheetId="7556">
        <row r="4">
          <cell r="A4" t="str">
            <v>BẢNG TÍNH TOÁN, ĐO BÓC KHỐI LƯỢNG HOÀN THÀNH ĐƯA VÀO QUYẾT TOÁN</v>
          </cell>
        </row>
      </sheetData>
      <sheetData sheetId="7557">
        <row r="4">
          <cell r="A4" t="str">
            <v>BẢNG TÍNH TOÁN, ĐO BÓC KHỐI LƯỢNG HOÀN THÀNH ĐƯA VÀO QUYẾT TOÁN</v>
          </cell>
        </row>
      </sheetData>
      <sheetData sheetId="7558">
        <row r="4">
          <cell r="A4" t="str">
            <v>BẢNG TÍNH TOÁN, ĐO BÓC KHỐI LƯỢNG HOÀN THÀNH ĐƯA VÀO QUYẾT TOÁN</v>
          </cell>
        </row>
      </sheetData>
      <sheetData sheetId="7559">
        <row r="4">
          <cell r="A4" t="str">
            <v>BẢNG TÍNH TOÁN, ĐO BÓC KHỐI LƯỢNG HOÀN THÀNH ĐƯA VÀO QUYẾT TOÁN</v>
          </cell>
        </row>
      </sheetData>
      <sheetData sheetId="7560">
        <row r="4">
          <cell r="A4" t="str">
            <v>BẢNG TÍNH TOÁN, ĐO BÓC KHỐI LƯỢNG HOÀN THÀNH ĐƯA VÀO QUYẾT TOÁN</v>
          </cell>
        </row>
      </sheetData>
      <sheetData sheetId="7561">
        <row r="4">
          <cell r="A4" t="str">
            <v>BẢNG TÍNH TOÁN, ĐO BÓC KHỐI LƯỢNG HOÀN THÀNH ĐƯA VÀO QUYẾT TOÁN</v>
          </cell>
        </row>
      </sheetData>
      <sheetData sheetId="7562">
        <row r="4">
          <cell r="A4" t="str">
            <v>BẢNG TÍNH TOÁN, ĐO BÓC KHỐI LƯỢNG HOÀN THÀNH ĐƯA VÀO QUYẾT TOÁN</v>
          </cell>
        </row>
      </sheetData>
      <sheetData sheetId="7563">
        <row r="4">
          <cell r="A4" t="str">
            <v>BẢNG TÍNH TOÁN, ĐO BÓC KHỐI LƯỢNG HOÀN THÀNH ĐƯA VÀO QUYẾT TOÁN</v>
          </cell>
        </row>
      </sheetData>
      <sheetData sheetId="7564">
        <row r="4">
          <cell r="A4" t="str">
            <v>BẢNG TÍNH TOÁN, ĐO BÓC KHỐI LƯỢNG HOÀN THÀNH ĐƯA VÀO QUYẾT TOÁN</v>
          </cell>
        </row>
      </sheetData>
      <sheetData sheetId="7565">
        <row r="4">
          <cell r="A4" t="str">
            <v>BẢNG TÍNH TOÁN, ĐO BÓC KHỐI LƯỢNG HOÀN THÀNH ĐƯA VÀO QUYẾT TOÁN</v>
          </cell>
        </row>
      </sheetData>
      <sheetData sheetId="7566">
        <row r="4">
          <cell r="A4" t="str">
            <v>BẢNG TÍNH TOÁN, ĐO BÓC KHỐI LƯỢNG HOÀN THÀNH ĐƯA VÀO QUYẾT TOÁN</v>
          </cell>
        </row>
      </sheetData>
      <sheetData sheetId="7567">
        <row r="4">
          <cell r="A4" t="str">
            <v>BẢNG TÍNH TOÁN, ĐO BÓC KHỐI LƯỢNG HOÀN THÀNH ĐƯA VÀO QUYẾT TOÁN</v>
          </cell>
        </row>
      </sheetData>
      <sheetData sheetId="7568">
        <row r="4">
          <cell r="A4" t="str">
            <v>BẢNG TÍNH TOÁN, ĐO BÓC KHỐI LƯỢNG HOÀN THÀNH ĐƯA VÀO QUYẾT TOÁN</v>
          </cell>
        </row>
      </sheetData>
      <sheetData sheetId="7569">
        <row r="4">
          <cell r="A4" t="str">
            <v>BẢNG TÍNH TOÁN, ĐO BÓC KHỐI LƯỢNG HOÀN THÀNH ĐƯA VÀO QUYẾT TOÁN</v>
          </cell>
        </row>
      </sheetData>
      <sheetData sheetId="7570">
        <row r="4">
          <cell r="A4" t="str">
            <v>BẢNG TÍNH TOÁN, ĐO BÓC KHỐI LƯỢNG HOÀN THÀNH ĐƯA VÀO QUYẾT TOÁN</v>
          </cell>
        </row>
      </sheetData>
      <sheetData sheetId="7571">
        <row r="4">
          <cell r="A4" t="str">
            <v>BẢNG TÍNH TOÁN, ĐO BÓC KHỐI LƯỢNG HOÀN THÀNH ĐƯA VÀO QUYẾT TOÁN</v>
          </cell>
        </row>
      </sheetData>
      <sheetData sheetId="7572">
        <row r="4">
          <cell r="A4" t="str">
            <v>BẢNG TÍNH TOÁN, ĐO BÓC KHỐI LƯỢNG HOÀN THÀNH ĐƯA VÀO QUYẾT TOÁN</v>
          </cell>
        </row>
      </sheetData>
      <sheetData sheetId="7573">
        <row r="4">
          <cell r="A4" t="str">
            <v>BẢNG TÍNH TOÁN, ĐO BÓC KHỐI LƯỢNG HOÀN THÀNH ĐƯA VÀO QUYẾT TOÁN</v>
          </cell>
        </row>
      </sheetData>
      <sheetData sheetId="7574">
        <row r="4">
          <cell r="A4" t="str">
            <v>BẢNG TÍNH TOÁN, ĐO BÓC KHỐI LƯỢNG HOÀN THÀNH ĐƯA VÀO QUYẾT TOÁN</v>
          </cell>
        </row>
      </sheetData>
      <sheetData sheetId="7575">
        <row r="4">
          <cell r="A4" t="str">
            <v>BẢNG TÍNH TOÁN, ĐO BÓC KHỐI LƯỢNG HOÀN THÀNH ĐƯA VÀO QUYẾT TOÁN</v>
          </cell>
        </row>
      </sheetData>
      <sheetData sheetId="7576">
        <row r="4">
          <cell r="A4" t="str">
            <v>BẢNG TÍNH TOÁN, ĐO BÓC KHỐI LƯỢNG HOÀN THÀNH ĐƯA VÀO QUYẾT TOÁN</v>
          </cell>
        </row>
      </sheetData>
      <sheetData sheetId="7577">
        <row r="4">
          <cell r="A4" t="str">
            <v>BẢNG TÍNH TOÁN, ĐO BÓC KHỐI LƯỢNG HOÀN THÀNH ĐƯA VÀO QUYẾT TOÁN</v>
          </cell>
        </row>
      </sheetData>
      <sheetData sheetId="7578">
        <row r="4">
          <cell r="A4" t="str">
            <v>BẢNG TÍNH TOÁN, ĐO BÓC KHỐI LƯỢNG HOÀN THÀNH ĐƯA VÀO QUYẾT TOÁN</v>
          </cell>
        </row>
      </sheetData>
      <sheetData sheetId="7579">
        <row r="4">
          <cell r="A4" t="str">
            <v>BẢNG TÍNH TOÁN, ĐO BÓC KHỐI LƯỢNG HOÀN THÀNH ĐƯA VÀO QUYẾT TOÁN</v>
          </cell>
        </row>
      </sheetData>
      <sheetData sheetId="7580">
        <row r="4">
          <cell r="A4" t="str">
            <v>BẢNG TÍNH TOÁN, ĐO BÓC KHỐI LƯỢNG HOÀN THÀNH ĐƯA VÀO QUYẾT TOÁN</v>
          </cell>
        </row>
      </sheetData>
      <sheetData sheetId="7581">
        <row r="4">
          <cell r="A4" t="str">
            <v>BẢNG TÍNH TOÁN, ĐO BÓC KHỐI LƯỢNG HOÀN THÀNH ĐƯA VÀO QUYẾT TOÁN</v>
          </cell>
        </row>
      </sheetData>
      <sheetData sheetId="7582">
        <row r="4">
          <cell r="A4" t="str">
            <v>BẢNG TÍNH TOÁN, ĐO BÓC KHỐI LƯỢNG HOÀN THÀNH ĐƯA VÀO QUYẾT TOÁN</v>
          </cell>
        </row>
      </sheetData>
      <sheetData sheetId="7583">
        <row r="4">
          <cell r="A4" t="str">
            <v>BẢNG TÍNH TOÁN, ĐO BÓC KHỐI LƯỢNG HOÀN THÀNH ĐƯA VÀO QUYẾT TOÁN</v>
          </cell>
        </row>
      </sheetData>
      <sheetData sheetId="7584">
        <row r="4">
          <cell r="A4" t="str">
            <v>BẢNG TÍNH TOÁN, ĐO BÓC KHỐI LƯỢNG HOÀN THÀNH ĐƯA VÀO QUYẾT TOÁN</v>
          </cell>
        </row>
      </sheetData>
      <sheetData sheetId="7585">
        <row r="4">
          <cell r="A4" t="str">
            <v>BẢNG TÍNH TOÁN, ĐO BÓC KHỐI LƯỢNG HOÀN THÀNH ĐƯA VÀO QUYẾT TOÁN</v>
          </cell>
        </row>
      </sheetData>
      <sheetData sheetId="7586">
        <row r="4">
          <cell r="A4" t="str">
            <v>BẢNG TÍNH TOÁN, ĐO BÓC KHỐI LƯỢNG HOÀN THÀNH ĐƯA VÀO QUYẾT TOÁN</v>
          </cell>
        </row>
      </sheetData>
      <sheetData sheetId="7587">
        <row r="4">
          <cell r="A4" t="str">
            <v>BẢNG TÍNH TOÁN, ĐO BÓC KHỐI LƯỢNG HOÀN THÀNH ĐƯA VÀO QUYẾT TOÁN</v>
          </cell>
        </row>
      </sheetData>
      <sheetData sheetId="7588">
        <row r="4">
          <cell r="A4" t="str">
            <v>BẢNG TÍNH TOÁN, ĐO BÓC KHỐI LƯỢNG HOÀN THÀNH ĐƯA VÀO QUYẾT TOÁN</v>
          </cell>
        </row>
      </sheetData>
      <sheetData sheetId="7589">
        <row r="4">
          <cell r="A4" t="str">
            <v>BẢNG TÍNH TOÁN, ĐO BÓC KHỐI LƯỢNG HOÀN THÀNH ĐƯA VÀO QUYẾT TOÁN</v>
          </cell>
        </row>
      </sheetData>
      <sheetData sheetId="7590">
        <row r="4">
          <cell r="A4" t="str">
            <v>BẢNG TÍNH TOÁN, ĐO BÓC KHỐI LƯỢNG HOÀN THÀNH ĐƯA VÀO QUYẾT TOÁN</v>
          </cell>
        </row>
      </sheetData>
      <sheetData sheetId="7591">
        <row r="4">
          <cell r="A4" t="str">
            <v>BẢNG TÍNH TOÁN, ĐO BÓC KHỐI LƯỢNG HOÀN THÀNH ĐƯA VÀO QUYẾT TOÁN</v>
          </cell>
        </row>
      </sheetData>
      <sheetData sheetId="7592">
        <row r="4">
          <cell r="A4" t="str">
            <v>BẢNG TÍNH TOÁN, ĐO BÓC KHỐI LƯỢNG HOÀN THÀNH ĐƯA VÀO QUYẾT TOÁN</v>
          </cell>
        </row>
      </sheetData>
      <sheetData sheetId="7593">
        <row r="4">
          <cell r="A4" t="str">
            <v>BẢNG TÍNH TOÁN, ĐO BÓC KHỐI LƯỢNG HOÀN THÀNH ĐƯA VÀO QUYẾT TOÁN</v>
          </cell>
        </row>
      </sheetData>
      <sheetData sheetId="7594">
        <row r="4">
          <cell r="A4" t="str">
            <v>BẢNG TÍNH TOÁN, ĐO BÓC KHỐI LƯỢNG HOÀN THÀNH ĐƯA VÀO QUYẾT TOÁN</v>
          </cell>
        </row>
      </sheetData>
      <sheetData sheetId="7595">
        <row r="4">
          <cell r="A4" t="str">
            <v>BẢNG TÍNH TOÁN, ĐO BÓC KHỐI LƯỢNG HOÀN THÀNH ĐƯA VÀO QUYẾT TOÁN</v>
          </cell>
        </row>
      </sheetData>
      <sheetData sheetId="7596">
        <row r="4">
          <cell r="A4" t="str">
            <v>BẢNG TÍNH TOÁN, ĐO BÓC KHỐI LƯỢNG HOÀN THÀNH ĐƯA VÀO QUYẾT TOÁN</v>
          </cell>
        </row>
      </sheetData>
      <sheetData sheetId="7597">
        <row r="4">
          <cell r="A4" t="str">
            <v>BẢNG TÍNH TOÁN, ĐO BÓC KHỐI LƯỢNG HOÀN THÀNH ĐƯA VÀO QUYẾT TOÁN</v>
          </cell>
        </row>
      </sheetData>
      <sheetData sheetId="7598">
        <row r="4">
          <cell r="A4" t="str">
            <v>BẢNG TÍNH TOÁN, ĐO BÓC KHỐI LƯỢNG HOÀN THÀNH ĐƯA VÀO QUYẾT TOÁN</v>
          </cell>
        </row>
      </sheetData>
      <sheetData sheetId="7599">
        <row r="4">
          <cell r="A4" t="str">
            <v>BẢNG TÍNH TOÁN, ĐO BÓC KHỐI LƯỢNG HOÀN THÀNH ĐƯA VÀO QUYẾT TOÁN</v>
          </cell>
        </row>
      </sheetData>
      <sheetData sheetId="7600">
        <row r="4">
          <cell r="A4" t="str">
            <v>BẢNG TÍNH TOÁN, ĐO BÓC KHỐI LƯỢNG HOÀN THÀNH ĐƯA VÀO QUYẾT TOÁN</v>
          </cell>
        </row>
      </sheetData>
      <sheetData sheetId="7601">
        <row r="4">
          <cell r="A4" t="str">
            <v>BẢNG TÍNH TOÁN, ĐO BÓC KHỐI LƯỢNG HOÀN THÀNH ĐƯA VÀO QUYẾT TOÁN</v>
          </cell>
        </row>
      </sheetData>
      <sheetData sheetId="7602">
        <row r="4">
          <cell r="A4" t="str">
            <v>BẢNG TÍNH TOÁN, ĐO BÓC KHỐI LƯỢNG HOÀN THÀNH ĐƯA VÀO QUYẾT TOÁN</v>
          </cell>
        </row>
      </sheetData>
      <sheetData sheetId="7603">
        <row r="4">
          <cell r="A4" t="str">
            <v>BẢNG TÍNH TOÁN, ĐO BÓC KHỐI LƯỢNG HOÀN THÀNH ĐƯA VÀO QUYẾT TOÁN</v>
          </cell>
        </row>
      </sheetData>
      <sheetData sheetId="7604">
        <row r="4">
          <cell r="A4" t="str">
            <v>BẢNG TÍNH TOÁN, ĐO BÓC KHỐI LƯỢNG HOÀN THÀNH ĐƯA VÀO QUYẾT TOÁN</v>
          </cell>
        </row>
      </sheetData>
      <sheetData sheetId="7605">
        <row r="4">
          <cell r="A4" t="str">
            <v>BẢNG TÍNH TOÁN, ĐO BÓC KHỐI LƯỢNG HOÀN THÀNH ĐƯA VÀO QUYẾT TOÁN</v>
          </cell>
        </row>
      </sheetData>
      <sheetData sheetId="7606">
        <row r="4">
          <cell r="A4" t="str">
            <v>BẢNG TÍNH TOÁN, ĐO BÓC KHỐI LƯỢNG HOÀN THÀNH ĐƯA VÀO QUYẾT TOÁN</v>
          </cell>
        </row>
      </sheetData>
      <sheetData sheetId="7607">
        <row r="4">
          <cell r="A4" t="str">
            <v>BẢNG TÍNH TOÁN, ĐO BÓC KHỐI LƯỢNG HOÀN THÀNH ĐƯA VÀO QUYẾT TOÁN</v>
          </cell>
        </row>
      </sheetData>
      <sheetData sheetId="7608">
        <row r="4">
          <cell r="A4" t="str">
            <v>BẢNG TÍNH TOÁN, ĐO BÓC KHỐI LƯỢNG HOÀN THÀNH ĐƯA VÀO QUYẾT TOÁN</v>
          </cell>
        </row>
      </sheetData>
      <sheetData sheetId="7609">
        <row r="4">
          <cell r="A4" t="str">
            <v>BẢNG TÍNH TOÁN, ĐO BÓC KHỐI LƯỢNG HOÀN THÀNH ĐƯA VÀO QUYẾT TOÁN</v>
          </cell>
        </row>
      </sheetData>
      <sheetData sheetId="7610">
        <row r="4">
          <cell r="A4" t="str">
            <v>BẢNG TÍNH TOÁN, ĐO BÓC KHỐI LƯỢNG HOÀN THÀNH ĐƯA VÀO QUYẾT TOÁN</v>
          </cell>
        </row>
      </sheetData>
      <sheetData sheetId="7611">
        <row r="4">
          <cell r="A4" t="str">
            <v>BẢNG TÍNH TOÁN, ĐO BÓC KHỐI LƯỢNG HOÀN THÀNH ĐƯA VÀO QUYẾT TOÁN</v>
          </cell>
        </row>
      </sheetData>
      <sheetData sheetId="7612">
        <row r="4">
          <cell r="A4" t="str">
            <v>BẢNG TÍNH TOÁN, ĐO BÓC KHỐI LƯỢNG HOÀN THÀNH ĐƯA VÀO QUYẾT TOÁN</v>
          </cell>
        </row>
      </sheetData>
      <sheetData sheetId="7613">
        <row r="4">
          <cell r="A4" t="str">
            <v>BẢNG TÍNH TOÁN, ĐO BÓC KHỐI LƯỢNG HOÀN THÀNH ĐƯA VÀO QUYẾT TOÁN</v>
          </cell>
        </row>
      </sheetData>
      <sheetData sheetId="7614">
        <row r="4">
          <cell r="A4" t="str">
            <v>BẢNG TÍNH TOÁN, ĐO BÓC KHỐI LƯỢNG HOÀN THÀNH ĐƯA VÀO QUYẾT TOÁN</v>
          </cell>
        </row>
      </sheetData>
      <sheetData sheetId="7615">
        <row r="4">
          <cell r="A4" t="str">
            <v>BẢNG TÍNH TOÁN, ĐO BÓC KHỐI LƯỢNG HOÀN THÀNH ĐƯA VÀO QUYẾT TOÁN</v>
          </cell>
        </row>
      </sheetData>
      <sheetData sheetId="7616">
        <row r="4">
          <cell r="A4" t="str">
            <v>BẢNG TÍNH TOÁN, ĐO BÓC KHỐI LƯỢNG HOÀN THÀNH ĐƯA VÀO QUYẾT TOÁN</v>
          </cell>
        </row>
      </sheetData>
      <sheetData sheetId="7617">
        <row r="4">
          <cell r="A4" t="str">
            <v>BẢNG TÍNH TOÁN, ĐO BÓC KHỐI LƯỢNG HOÀN THÀNH ĐƯA VÀO QUYẾT TOÁN</v>
          </cell>
        </row>
      </sheetData>
      <sheetData sheetId="7618">
        <row r="4">
          <cell r="A4" t="str">
            <v>BẢNG TÍNH TOÁN, ĐO BÓC KHỐI LƯỢNG HOÀN THÀNH ĐƯA VÀO QUYẾT TOÁN</v>
          </cell>
        </row>
      </sheetData>
      <sheetData sheetId="7619">
        <row r="4">
          <cell r="A4" t="str">
            <v>BẢNG TÍNH TOÁN, ĐO BÓC KHỐI LƯỢNG HOÀN THÀNH ĐƯA VÀO QUYẾT TOÁN</v>
          </cell>
        </row>
      </sheetData>
      <sheetData sheetId="7620">
        <row r="4">
          <cell r="A4" t="str">
            <v>BẢNG TÍNH TOÁN, ĐO BÓC KHỐI LƯỢNG HOÀN THÀNH ĐƯA VÀO QUYẾT TOÁN</v>
          </cell>
        </row>
      </sheetData>
      <sheetData sheetId="7621">
        <row r="4">
          <cell r="A4" t="str">
            <v>BẢNG TÍNH TOÁN, ĐO BÓC KHỐI LƯỢNG HOÀN THÀNH ĐƯA VÀO QUYẾT TOÁN</v>
          </cell>
        </row>
      </sheetData>
      <sheetData sheetId="7622">
        <row r="4">
          <cell r="A4" t="str">
            <v>BẢNG TÍNH TOÁN, ĐO BÓC KHỐI LƯỢNG HOÀN THÀNH ĐƯA VÀO QUYẾT TOÁN</v>
          </cell>
        </row>
      </sheetData>
      <sheetData sheetId="7623">
        <row r="4">
          <cell r="A4" t="str">
            <v>BẢNG TÍNH TOÁN, ĐO BÓC KHỐI LƯỢNG HOÀN THÀNH ĐƯA VÀO QUYẾT TOÁN</v>
          </cell>
        </row>
      </sheetData>
      <sheetData sheetId="7624">
        <row r="4">
          <cell r="A4" t="str">
            <v>BẢNG TÍNH TOÁN, ĐO BÓC KHỐI LƯỢNG HOÀN THÀNH ĐƯA VÀO QUYẾT TOÁN</v>
          </cell>
        </row>
      </sheetData>
      <sheetData sheetId="7625">
        <row r="4">
          <cell r="A4" t="str">
            <v>BẢNG TÍNH TOÁN, ĐO BÓC KHỐI LƯỢNG HOÀN THÀNH ĐƯA VÀO QUYẾT TOÁN</v>
          </cell>
        </row>
      </sheetData>
      <sheetData sheetId="7626">
        <row r="4">
          <cell r="A4" t="str">
            <v>BẢNG TÍNH TOÁN, ĐO BÓC KHỐI LƯỢNG HOÀN THÀNH ĐƯA VÀO QUYẾT TOÁN</v>
          </cell>
        </row>
      </sheetData>
      <sheetData sheetId="7627">
        <row r="4">
          <cell r="A4" t="str">
            <v>BẢNG TÍNH TOÁN, ĐO BÓC KHỐI LƯỢNG HOÀN THÀNH ĐƯA VÀO QUYẾT TOÁN</v>
          </cell>
        </row>
      </sheetData>
      <sheetData sheetId="7628">
        <row r="4">
          <cell r="A4" t="str">
            <v>BẢNG TÍNH TOÁN, ĐO BÓC KHỐI LƯỢNG HOÀN THÀNH ĐƯA VÀO QUYẾT TOÁN</v>
          </cell>
        </row>
      </sheetData>
      <sheetData sheetId="7629">
        <row r="4">
          <cell r="A4" t="str">
            <v>BẢNG TÍNH TOÁN, ĐO BÓC KHỐI LƯỢNG HOÀN THÀNH ĐƯA VÀO QUYẾT TOÁN</v>
          </cell>
        </row>
      </sheetData>
      <sheetData sheetId="7630">
        <row r="4">
          <cell r="A4" t="str">
            <v>BẢNG TÍNH TOÁN, ĐO BÓC KHỐI LƯỢNG HOÀN THÀNH ĐƯA VÀO QUYẾT TOÁN</v>
          </cell>
        </row>
      </sheetData>
      <sheetData sheetId="7631">
        <row r="4">
          <cell r="A4" t="str">
            <v>BẢNG TÍNH TOÁN, ĐO BÓC KHỐI LƯỢNG HOÀN THÀNH ĐƯA VÀO QUYẾT TOÁN</v>
          </cell>
        </row>
      </sheetData>
      <sheetData sheetId="7632">
        <row r="4">
          <cell r="A4" t="str">
            <v>BẢNG TÍNH TOÁN, ĐO BÓC KHỐI LƯỢNG HOÀN THÀNH ĐƯA VÀO QUYẾT TOÁN</v>
          </cell>
        </row>
      </sheetData>
      <sheetData sheetId="7633">
        <row r="4">
          <cell r="A4" t="str">
            <v>BẢNG TÍNH TOÁN, ĐO BÓC KHỐI LƯỢNG HOÀN THÀNH ĐƯA VÀO QUYẾT TOÁN</v>
          </cell>
        </row>
      </sheetData>
      <sheetData sheetId="7634">
        <row r="4">
          <cell r="A4" t="str">
            <v>BẢNG TÍNH TOÁN, ĐO BÓC KHỐI LƯỢNG HOÀN THÀNH ĐƯA VÀO QUYẾT TOÁN</v>
          </cell>
        </row>
      </sheetData>
      <sheetData sheetId="7635">
        <row r="4">
          <cell r="A4" t="str">
            <v>BẢNG TÍNH TOÁN, ĐO BÓC KHỐI LƯỢNG HOÀN THÀNH ĐƯA VÀO QUYẾT TOÁN</v>
          </cell>
        </row>
      </sheetData>
      <sheetData sheetId="7636">
        <row r="4">
          <cell r="A4" t="str">
            <v>BẢNG TÍNH TOÁN, ĐO BÓC KHỐI LƯỢNG HOÀN THÀNH ĐƯA VÀO QUYẾT TOÁN</v>
          </cell>
        </row>
      </sheetData>
      <sheetData sheetId="7637">
        <row r="4">
          <cell r="A4" t="str">
            <v>BẢNG TÍNH TOÁN, ĐO BÓC KHỐI LƯỢNG HOÀN THÀNH ĐƯA VÀO QUYẾT TOÁN</v>
          </cell>
        </row>
      </sheetData>
      <sheetData sheetId="7638">
        <row r="4">
          <cell r="A4" t="str">
            <v>BẢNG TÍNH TOÁN, ĐO BÓC KHỐI LƯỢNG HOÀN THÀNH ĐƯA VÀO QUYẾT TOÁN</v>
          </cell>
        </row>
      </sheetData>
      <sheetData sheetId="7639">
        <row r="4">
          <cell r="A4" t="str">
            <v>BẢNG TÍNH TOÁN, ĐO BÓC KHỐI LƯỢNG HOÀN THÀNH ĐƯA VÀO QUYẾT TOÁN</v>
          </cell>
        </row>
      </sheetData>
      <sheetData sheetId="7640">
        <row r="4">
          <cell r="A4" t="str">
            <v>BẢNG TÍNH TOÁN, ĐO BÓC KHỐI LƯỢNG HOÀN THÀNH ĐƯA VÀO QUYẾT TOÁN</v>
          </cell>
        </row>
      </sheetData>
      <sheetData sheetId="7641">
        <row r="4">
          <cell r="A4" t="str">
            <v>BẢNG TÍNH TOÁN, ĐO BÓC KHỐI LƯỢNG HOÀN THÀNH ĐƯA VÀO QUYẾT TOÁN</v>
          </cell>
        </row>
      </sheetData>
      <sheetData sheetId="7642">
        <row r="4">
          <cell r="A4" t="str">
            <v>BẢNG TÍNH TOÁN, ĐO BÓC KHỐI LƯỢNG HOÀN THÀNH ĐƯA VÀO QUYẾT TOÁN</v>
          </cell>
        </row>
      </sheetData>
      <sheetData sheetId="7643">
        <row r="4">
          <cell r="A4" t="str">
            <v>BẢNG TÍNH TOÁN, ĐO BÓC KHỐI LƯỢNG HOÀN THÀNH ĐƯA VÀO QUYẾT TOÁN</v>
          </cell>
        </row>
      </sheetData>
      <sheetData sheetId="7644">
        <row r="4">
          <cell r="A4" t="str">
            <v>BẢNG TÍNH TOÁN, ĐO BÓC KHỐI LƯỢNG HOÀN THÀNH ĐƯA VÀO QUYẾT TOÁN</v>
          </cell>
        </row>
      </sheetData>
      <sheetData sheetId="7645">
        <row r="4">
          <cell r="A4" t="str">
            <v>BẢNG TÍNH TOÁN, ĐO BÓC KHỐI LƯỢNG HOÀN THÀNH ĐƯA VÀO QUYẾT TOÁN</v>
          </cell>
        </row>
      </sheetData>
      <sheetData sheetId="7646">
        <row r="4">
          <cell r="A4" t="str">
            <v>BẢNG TÍNH TOÁN, ĐO BÓC KHỐI LƯỢNG HOÀN THÀNH ĐƯA VÀO QUYẾT TOÁN</v>
          </cell>
        </row>
      </sheetData>
      <sheetData sheetId="7647">
        <row r="4">
          <cell r="A4" t="str">
            <v>BẢNG TÍNH TOÁN, ĐO BÓC KHỐI LƯỢNG HOÀN THÀNH ĐƯA VÀO QUYẾT TOÁN</v>
          </cell>
        </row>
      </sheetData>
      <sheetData sheetId="7648">
        <row r="4">
          <cell r="A4" t="str">
            <v>BẢNG TÍNH TOÁN, ĐO BÓC KHỐI LƯỢNG HOÀN THÀNH ĐƯA VÀO QUYẾT TOÁN</v>
          </cell>
        </row>
      </sheetData>
      <sheetData sheetId="7649">
        <row r="4">
          <cell r="A4" t="str">
            <v>BẢNG TÍNH TOÁN, ĐO BÓC KHỐI LƯỢNG HOÀN THÀNH ĐƯA VÀO QUYẾT TOÁN</v>
          </cell>
        </row>
      </sheetData>
      <sheetData sheetId="7650">
        <row r="4">
          <cell r="A4" t="str">
            <v>BẢNG TÍNH TOÁN, ĐO BÓC KHỐI LƯỢNG HOÀN THÀNH ĐƯA VÀO QUYẾT TOÁN</v>
          </cell>
        </row>
      </sheetData>
      <sheetData sheetId="7651">
        <row r="4">
          <cell r="A4" t="str">
            <v>BẢNG TÍNH TOÁN, ĐO BÓC KHỐI LƯỢNG HOÀN THÀNH ĐƯA VÀO QUYẾT TOÁN</v>
          </cell>
        </row>
      </sheetData>
      <sheetData sheetId="7652">
        <row r="4">
          <cell r="A4" t="str">
            <v>BẢNG TÍNH TOÁN, ĐO BÓC KHỐI LƯỢNG HOÀN THÀNH ĐƯA VÀO QUYẾT TOÁN</v>
          </cell>
        </row>
      </sheetData>
      <sheetData sheetId="7653">
        <row r="4">
          <cell r="A4" t="str">
            <v>BẢNG TÍNH TOÁN, ĐO BÓC KHỐI LƯỢNG HOÀN THÀNH ĐƯA VÀO QUYẾT TOÁN</v>
          </cell>
        </row>
      </sheetData>
      <sheetData sheetId="7654">
        <row r="4">
          <cell r="A4" t="str">
            <v>BẢNG TÍNH TOÁN, ĐO BÓC KHỐI LƯỢNG HOÀN THÀNH ĐƯA VÀO QUYẾT TOÁN</v>
          </cell>
        </row>
      </sheetData>
      <sheetData sheetId="7655">
        <row r="4">
          <cell r="A4" t="str">
            <v>BẢNG TÍNH TOÁN, ĐO BÓC KHỐI LƯỢNG HOÀN THÀNH ĐƯA VÀO QUYẾT TOÁN</v>
          </cell>
        </row>
      </sheetData>
      <sheetData sheetId="7656">
        <row r="4">
          <cell r="A4" t="str">
            <v>BẢNG TÍNH TOÁN, ĐO BÓC KHỐI LƯỢNG HOÀN THÀNH ĐƯA VÀO QUYẾT TOÁN</v>
          </cell>
        </row>
      </sheetData>
      <sheetData sheetId="7657">
        <row r="4">
          <cell r="A4" t="str">
            <v>BẢNG TÍNH TOÁN, ĐO BÓC KHỐI LƯỢNG HOÀN THÀNH ĐƯA VÀO QUYẾT TOÁN</v>
          </cell>
        </row>
      </sheetData>
      <sheetData sheetId="7658">
        <row r="4">
          <cell r="A4" t="str">
            <v>BẢNG TÍNH TOÁN, ĐO BÓC KHỐI LƯỢNG HOÀN THÀNH ĐƯA VÀO QUYẾT TOÁN</v>
          </cell>
        </row>
      </sheetData>
      <sheetData sheetId="7659">
        <row r="4">
          <cell r="A4" t="str">
            <v>BẢNG TÍNH TOÁN, ĐO BÓC KHỐI LƯỢNG HOÀN THÀNH ĐƯA VÀO QUYẾT TOÁN</v>
          </cell>
        </row>
      </sheetData>
      <sheetData sheetId="7660">
        <row r="4">
          <cell r="A4" t="str">
            <v>BẢNG TÍNH TOÁN, ĐO BÓC KHỐI LƯỢNG HOÀN THÀNH ĐƯA VÀO QUYẾT TOÁN</v>
          </cell>
        </row>
      </sheetData>
      <sheetData sheetId="7661">
        <row r="4">
          <cell r="A4" t="str">
            <v>BẢNG TÍNH TOÁN, ĐO BÓC KHỐI LƯỢNG HOÀN THÀNH ĐƯA VÀO QUYẾT TOÁN</v>
          </cell>
        </row>
      </sheetData>
      <sheetData sheetId="7662">
        <row r="4">
          <cell r="A4" t="str">
            <v>BẢNG TÍNH TOÁN, ĐO BÓC KHỐI LƯỢNG HOÀN THÀNH ĐƯA VÀO QUYẾT TOÁN</v>
          </cell>
        </row>
      </sheetData>
      <sheetData sheetId="7663">
        <row r="4">
          <cell r="A4" t="str">
            <v>BẢNG TÍNH TOÁN, ĐO BÓC KHỐI LƯỢNG HOÀN THÀNH ĐƯA VÀO QUYẾT TOÁN</v>
          </cell>
        </row>
      </sheetData>
      <sheetData sheetId="7664">
        <row r="4">
          <cell r="A4" t="str">
            <v>BẢNG TÍNH TOÁN, ĐO BÓC KHỐI LƯỢNG HOÀN THÀNH ĐƯA VÀO QUYẾT TOÁN</v>
          </cell>
        </row>
      </sheetData>
      <sheetData sheetId="7665">
        <row r="4">
          <cell r="A4" t="str">
            <v>BẢNG TÍNH TOÁN, ĐO BÓC KHỐI LƯỢNG HOÀN THÀNH ĐƯA VÀO QUYẾT TOÁN</v>
          </cell>
        </row>
      </sheetData>
      <sheetData sheetId="7666">
        <row r="4">
          <cell r="A4" t="str">
            <v>BẢNG TÍNH TOÁN, ĐO BÓC KHỐI LƯỢNG HOÀN THÀNH ĐƯA VÀO QUYẾT TOÁN</v>
          </cell>
        </row>
      </sheetData>
      <sheetData sheetId="7667">
        <row r="4">
          <cell r="A4" t="str">
            <v>BẢNG TÍNH TOÁN, ĐO BÓC KHỐI LƯỢNG HOÀN THÀNH ĐƯA VÀO QUYẾT TOÁN</v>
          </cell>
        </row>
      </sheetData>
      <sheetData sheetId="7668">
        <row r="4">
          <cell r="A4" t="str">
            <v>BẢNG TÍNH TOÁN, ĐO BÓC KHỐI LƯỢNG HOÀN THÀNH ĐƯA VÀO QUYẾT TOÁN</v>
          </cell>
        </row>
      </sheetData>
      <sheetData sheetId="7669">
        <row r="4">
          <cell r="A4" t="str">
            <v>BẢNG TÍNH TOÁN, ĐO BÓC KHỐI LƯỢNG HOÀN THÀNH ĐƯA VÀO QUYẾT TOÁN</v>
          </cell>
        </row>
      </sheetData>
      <sheetData sheetId="7670">
        <row r="4">
          <cell r="A4" t="str">
            <v>BẢNG TÍNH TOÁN, ĐO BÓC KHỐI LƯỢNG HOÀN THÀNH ĐƯA VÀO QUYẾT TOÁN</v>
          </cell>
        </row>
      </sheetData>
      <sheetData sheetId="7671">
        <row r="4">
          <cell r="A4" t="str">
            <v>BẢNG TÍNH TOÁN, ĐO BÓC KHỐI LƯỢNG HOÀN THÀNH ĐƯA VÀO QUYẾT TOÁN</v>
          </cell>
        </row>
      </sheetData>
      <sheetData sheetId="7672">
        <row r="4">
          <cell r="A4" t="str">
            <v>BẢNG TÍNH TOÁN, ĐO BÓC KHỐI LƯỢNG HOÀN THÀNH ĐƯA VÀO QUYẾT TOÁN</v>
          </cell>
        </row>
      </sheetData>
      <sheetData sheetId="7673">
        <row r="4">
          <cell r="A4" t="str">
            <v>BẢNG TÍNH TOÁN, ĐO BÓC KHỐI LƯỢNG HOÀN THÀNH ĐƯA VÀO QUYẾT TOÁN</v>
          </cell>
        </row>
      </sheetData>
      <sheetData sheetId="7674">
        <row r="4">
          <cell r="A4" t="str">
            <v>BẢNG TÍNH TOÁN, ĐO BÓC KHỐI LƯỢNG HOÀN THÀNH ĐƯA VÀO QUYẾT TOÁN</v>
          </cell>
        </row>
      </sheetData>
      <sheetData sheetId="7675">
        <row r="4">
          <cell r="A4" t="str">
            <v>BẢNG TÍNH TOÁN, ĐO BÓC KHỐI LƯỢNG HOÀN THÀNH ĐƯA VÀO QUYẾT TOÁN</v>
          </cell>
        </row>
      </sheetData>
      <sheetData sheetId="7676">
        <row r="4">
          <cell r="A4" t="str">
            <v>BẢNG TÍNH TOÁN, ĐO BÓC KHỐI LƯỢNG HOÀN THÀNH ĐƯA VÀO QUYẾT TOÁN</v>
          </cell>
        </row>
      </sheetData>
      <sheetData sheetId="7677">
        <row r="4">
          <cell r="A4" t="str">
            <v>BẢNG TÍNH TOÁN, ĐO BÓC KHỐI LƯỢNG HOÀN THÀNH ĐƯA VÀO QUYẾT TOÁN</v>
          </cell>
        </row>
      </sheetData>
      <sheetData sheetId="7678">
        <row r="4">
          <cell r="A4" t="str">
            <v>BẢNG TÍNH TOÁN, ĐO BÓC KHỐI LƯỢNG HOÀN THÀNH ĐƯA VÀO QUYẾT TOÁN</v>
          </cell>
        </row>
      </sheetData>
      <sheetData sheetId="7679">
        <row r="4">
          <cell r="A4" t="str">
            <v>BẢNG TÍNH TOÁN, ĐO BÓC KHỐI LƯỢNG HOÀN THÀNH ĐƯA VÀO QUYẾT TOÁN</v>
          </cell>
        </row>
      </sheetData>
      <sheetData sheetId="7680">
        <row r="4">
          <cell r="A4" t="str">
            <v>BẢNG TÍNH TOÁN, ĐO BÓC KHỐI LƯỢNG HOÀN THÀNH ĐƯA VÀO QUYẾT TOÁN</v>
          </cell>
        </row>
      </sheetData>
      <sheetData sheetId="7681">
        <row r="4">
          <cell r="A4" t="str">
            <v>BẢNG TÍNH TOÁN, ĐO BÓC KHỐI LƯỢNG HOÀN THÀNH ĐƯA VÀO QUYẾT TOÁN</v>
          </cell>
        </row>
      </sheetData>
      <sheetData sheetId="7682">
        <row r="4">
          <cell r="A4" t="str">
            <v>BẢNG TÍNH TOÁN, ĐO BÓC KHỐI LƯỢNG HOÀN THÀNH ĐƯA VÀO QUYẾT TOÁN</v>
          </cell>
        </row>
      </sheetData>
      <sheetData sheetId="7683">
        <row r="4">
          <cell r="A4" t="str">
            <v>BẢNG TÍNH TOÁN, ĐO BÓC KHỐI LƯỢNG HOÀN THÀNH ĐƯA VÀO QUYẾT TOÁN</v>
          </cell>
        </row>
      </sheetData>
      <sheetData sheetId="7684">
        <row r="4">
          <cell r="A4" t="str">
            <v>BẢNG TÍNH TOÁN, ĐO BÓC KHỐI LƯỢNG HOÀN THÀNH ĐƯA VÀO QUYẾT TOÁN</v>
          </cell>
        </row>
      </sheetData>
      <sheetData sheetId="7685">
        <row r="4">
          <cell r="A4" t="str">
            <v>BẢNG TÍNH TOÁN, ĐO BÓC KHỐI LƯỢNG HOÀN THÀNH ĐƯA VÀO QUYẾT TOÁN</v>
          </cell>
        </row>
      </sheetData>
      <sheetData sheetId="7686">
        <row r="4">
          <cell r="A4" t="str">
            <v>BẢNG TÍNH TOÁN, ĐO BÓC KHỐI LƯỢNG HOÀN THÀNH ĐƯA VÀO QUYẾT TOÁN</v>
          </cell>
        </row>
      </sheetData>
      <sheetData sheetId="7687">
        <row r="4">
          <cell r="A4" t="str">
            <v>BẢNG TÍNH TOÁN, ĐO BÓC KHỐI LƯỢNG HOÀN THÀNH ĐƯA VÀO QUYẾT TOÁN</v>
          </cell>
        </row>
      </sheetData>
      <sheetData sheetId="7688">
        <row r="4">
          <cell r="A4" t="str">
            <v>BẢNG TÍNH TOÁN, ĐO BÓC KHỐI LƯỢNG HOÀN THÀNH ĐƯA VÀO QUYẾT TOÁN</v>
          </cell>
        </row>
      </sheetData>
      <sheetData sheetId="7689">
        <row r="4">
          <cell r="A4" t="str">
            <v>BẢNG TÍNH TOÁN, ĐO BÓC KHỐI LƯỢNG HOÀN THÀNH ĐƯA VÀO QUYẾT TOÁN</v>
          </cell>
        </row>
      </sheetData>
      <sheetData sheetId="7690">
        <row r="4">
          <cell r="A4" t="str">
            <v>BẢNG TÍNH TOÁN, ĐO BÓC KHỐI LƯỢNG HOÀN THÀNH ĐƯA VÀO QUYẾT TOÁN</v>
          </cell>
        </row>
      </sheetData>
      <sheetData sheetId="7691">
        <row r="4">
          <cell r="A4" t="str">
            <v>BẢNG TÍNH TOÁN, ĐO BÓC KHỐI LƯỢNG HOÀN THÀNH ĐƯA VÀO QUYẾT TOÁN</v>
          </cell>
        </row>
      </sheetData>
      <sheetData sheetId="7692">
        <row r="4">
          <cell r="A4" t="str">
            <v>BẢNG TÍNH TOÁN, ĐO BÓC KHỐI LƯỢNG HOÀN THÀNH ĐƯA VÀO QUYẾT TOÁN</v>
          </cell>
        </row>
      </sheetData>
      <sheetData sheetId="7693">
        <row r="4">
          <cell r="A4" t="str">
            <v>BẢNG TÍNH TOÁN, ĐO BÓC KHỐI LƯỢNG HOÀN THÀNH ĐƯA VÀO QUYẾT TOÁN</v>
          </cell>
        </row>
      </sheetData>
      <sheetData sheetId="7694">
        <row r="4">
          <cell r="A4" t="str">
            <v>BẢNG TÍNH TOÁN, ĐO BÓC KHỐI LƯỢNG HOÀN THÀNH ĐƯA VÀO QUYẾT TOÁN</v>
          </cell>
        </row>
      </sheetData>
      <sheetData sheetId="7695">
        <row r="4">
          <cell r="A4" t="str">
            <v>BẢNG TÍNH TOÁN, ĐO BÓC KHỐI LƯỢNG HOÀN THÀNH ĐƯA VÀO QUYẾT TOÁN</v>
          </cell>
        </row>
      </sheetData>
      <sheetData sheetId="7696">
        <row r="4">
          <cell r="A4" t="str">
            <v>BẢNG TÍNH TOÁN, ĐO BÓC KHỐI LƯỢNG HOÀN THÀNH ĐƯA VÀO QUYẾT TOÁN</v>
          </cell>
        </row>
      </sheetData>
      <sheetData sheetId="7697">
        <row r="4">
          <cell r="A4" t="str">
            <v>BẢNG TÍNH TOÁN, ĐO BÓC KHỐI LƯỢNG HOÀN THÀNH ĐƯA VÀO QUYẾT TOÁN</v>
          </cell>
        </row>
      </sheetData>
      <sheetData sheetId="7698">
        <row r="4">
          <cell r="A4" t="str">
            <v>BẢNG TÍNH TOÁN, ĐO BÓC KHỐI LƯỢNG HOÀN THÀNH ĐƯA VÀO QUYẾT TOÁN</v>
          </cell>
        </row>
      </sheetData>
      <sheetData sheetId="7699">
        <row r="4">
          <cell r="A4" t="str">
            <v>BẢNG TÍNH TOÁN, ĐO BÓC KHỐI LƯỢNG HOÀN THÀNH ĐƯA VÀO QUYẾT TOÁN</v>
          </cell>
        </row>
      </sheetData>
      <sheetData sheetId="7700">
        <row r="4">
          <cell r="A4" t="str">
            <v>BẢNG TÍNH TOÁN, ĐO BÓC KHỐI LƯỢNG HOÀN THÀNH ĐƯA VÀO QUYẾT TOÁN</v>
          </cell>
        </row>
      </sheetData>
      <sheetData sheetId="7701">
        <row r="4">
          <cell r="A4" t="str">
            <v>BẢNG TÍNH TOÁN, ĐO BÓC KHỐI LƯỢNG HOÀN THÀNH ĐƯA VÀO QUYẾT TOÁN</v>
          </cell>
        </row>
      </sheetData>
      <sheetData sheetId="7702">
        <row r="4">
          <cell r="A4" t="str">
            <v>BẢNG TÍNH TOÁN, ĐO BÓC KHỐI LƯỢNG HOÀN THÀNH ĐƯA VÀO QUYẾT TOÁN</v>
          </cell>
        </row>
      </sheetData>
      <sheetData sheetId="7703">
        <row r="4">
          <cell r="A4" t="str">
            <v>BẢNG TÍNH TOÁN, ĐO BÓC KHỐI LƯỢNG HOÀN THÀNH ĐƯA VÀO QUYẾT TOÁN</v>
          </cell>
        </row>
      </sheetData>
      <sheetData sheetId="7704">
        <row r="4">
          <cell r="A4" t="str">
            <v>BẢNG TÍNH TOÁN, ĐO BÓC KHỐI LƯỢNG HOÀN THÀNH ĐƯA VÀO QUYẾT TOÁN</v>
          </cell>
        </row>
      </sheetData>
      <sheetData sheetId="7705">
        <row r="4">
          <cell r="A4" t="str">
            <v>BẢNG TÍNH TOÁN, ĐO BÓC KHỐI LƯỢNG HOÀN THÀNH ĐƯA VÀO QUYẾT TOÁN</v>
          </cell>
        </row>
      </sheetData>
      <sheetData sheetId="7706">
        <row r="4">
          <cell r="A4" t="str">
            <v>BẢNG TÍNH TOÁN, ĐO BÓC KHỐI LƯỢNG HOÀN THÀNH ĐƯA VÀO QUYẾT TOÁN</v>
          </cell>
        </row>
      </sheetData>
      <sheetData sheetId="7707">
        <row r="4">
          <cell r="A4" t="str">
            <v>BẢNG TÍNH TOÁN, ĐO BÓC KHỐI LƯỢNG HOÀN THÀNH ĐƯA VÀO QUYẾT TOÁN</v>
          </cell>
        </row>
      </sheetData>
      <sheetData sheetId="7708">
        <row r="4">
          <cell r="A4" t="str">
            <v>BẢNG TÍNH TOÁN, ĐO BÓC KHỐI LƯỢNG HOÀN THÀNH ĐƯA VÀO QUYẾT TOÁN</v>
          </cell>
        </row>
      </sheetData>
      <sheetData sheetId="7709">
        <row r="4">
          <cell r="A4" t="str">
            <v>BẢNG TÍNH TOÁN, ĐO BÓC KHỐI LƯỢNG HOÀN THÀNH ĐƯA VÀO QUYẾT TOÁN</v>
          </cell>
        </row>
      </sheetData>
      <sheetData sheetId="7710">
        <row r="4">
          <cell r="A4" t="str">
            <v>BẢNG TÍNH TOÁN, ĐO BÓC KHỐI LƯỢNG HOÀN THÀNH ĐƯA VÀO QUYẾT TOÁN</v>
          </cell>
        </row>
      </sheetData>
      <sheetData sheetId="7711">
        <row r="4">
          <cell r="A4" t="str">
            <v>BẢNG TÍNH TOÁN, ĐO BÓC KHỐI LƯỢNG HOÀN THÀNH ĐƯA VÀO QUYẾT TOÁN</v>
          </cell>
        </row>
      </sheetData>
      <sheetData sheetId="7712">
        <row r="4">
          <cell r="A4" t="str">
            <v>BẢNG TÍNH TOÁN, ĐO BÓC KHỐI LƯỢNG HOÀN THÀNH ĐƯA VÀO QUYẾT TOÁN</v>
          </cell>
        </row>
      </sheetData>
      <sheetData sheetId="7713">
        <row r="4">
          <cell r="A4" t="str">
            <v>BẢNG TÍNH TOÁN, ĐO BÓC KHỐI LƯỢNG HOÀN THÀNH ĐƯA VÀO QUYẾT TOÁN</v>
          </cell>
        </row>
      </sheetData>
      <sheetData sheetId="7714">
        <row r="4">
          <cell r="A4" t="str">
            <v>BẢNG TÍNH TOÁN, ĐO BÓC KHỐI LƯỢNG HOÀN THÀNH ĐƯA VÀO QUYẾT TOÁN</v>
          </cell>
        </row>
      </sheetData>
      <sheetData sheetId="7715">
        <row r="4">
          <cell r="A4" t="str">
            <v>BẢNG TÍNH TOÁN, ĐO BÓC KHỐI LƯỢNG HOÀN THÀNH ĐƯA VÀO QUYẾT TOÁN</v>
          </cell>
        </row>
      </sheetData>
      <sheetData sheetId="7716">
        <row r="4">
          <cell r="A4" t="str">
            <v>BẢNG TÍNH TOÁN, ĐO BÓC KHỐI LƯỢNG HOÀN THÀNH ĐƯA VÀO QUYẾT TOÁN</v>
          </cell>
        </row>
      </sheetData>
      <sheetData sheetId="7717">
        <row r="4">
          <cell r="A4" t="str">
            <v>BẢNG TÍNH TOÁN, ĐO BÓC KHỐI LƯỢNG HOÀN THÀNH ĐƯA VÀO QUYẾT TOÁN</v>
          </cell>
        </row>
      </sheetData>
      <sheetData sheetId="7718">
        <row r="4">
          <cell r="A4" t="str">
            <v>BẢNG TÍNH TOÁN, ĐO BÓC KHỐI LƯỢNG HOÀN THÀNH ĐƯA VÀO QUYẾT TOÁN</v>
          </cell>
        </row>
      </sheetData>
      <sheetData sheetId="7719">
        <row r="4">
          <cell r="A4" t="str">
            <v>BẢNG TÍNH TOÁN, ĐO BÓC KHỐI LƯỢNG HOÀN THÀNH ĐƯA VÀO QUYẾT TOÁN</v>
          </cell>
        </row>
      </sheetData>
      <sheetData sheetId="7720">
        <row r="4">
          <cell r="A4" t="str">
            <v>BẢNG TÍNH TOÁN, ĐO BÓC KHỐI LƯỢNG HOÀN THÀNH ĐƯA VÀO QUYẾT TOÁN</v>
          </cell>
        </row>
      </sheetData>
      <sheetData sheetId="7721">
        <row r="4">
          <cell r="A4" t="str">
            <v>BẢNG TÍNH TOÁN, ĐO BÓC KHỐI LƯỢNG HOÀN THÀNH ĐƯA VÀO QUYẾT TOÁN</v>
          </cell>
        </row>
      </sheetData>
      <sheetData sheetId="7722">
        <row r="4">
          <cell r="A4" t="str">
            <v>BẢNG TÍNH TOÁN, ĐO BÓC KHỐI LƯỢNG HOÀN THÀNH ĐƯA VÀO QUYẾT TOÁN</v>
          </cell>
        </row>
      </sheetData>
      <sheetData sheetId="7723">
        <row r="4">
          <cell r="A4" t="str">
            <v>BẢNG TÍNH TOÁN, ĐO BÓC KHỐI LƯỢNG HOÀN THÀNH ĐƯA VÀO QUYẾT TOÁN</v>
          </cell>
        </row>
      </sheetData>
      <sheetData sheetId="7724">
        <row r="4">
          <cell r="A4" t="str">
            <v>BẢNG TÍNH TOÁN, ĐO BÓC KHỐI LƯỢNG HOÀN THÀNH ĐƯA VÀO QUYẾT TOÁN</v>
          </cell>
        </row>
      </sheetData>
      <sheetData sheetId="7725">
        <row r="4">
          <cell r="A4" t="str">
            <v>BẢNG TÍNH TOÁN, ĐO BÓC KHỐI LƯỢNG HOÀN THÀNH ĐƯA VÀO QUYẾT TOÁN</v>
          </cell>
        </row>
      </sheetData>
      <sheetData sheetId="7726">
        <row r="4">
          <cell r="A4" t="str">
            <v>BẢNG TÍNH TOÁN, ĐO BÓC KHỐI LƯỢNG HOÀN THÀNH ĐƯA VÀO QUYẾT TOÁN</v>
          </cell>
        </row>
      </sheetData>
      <sheetData sheetId="7727">
        <row r="4">
          <cell r="A4" t="str">
            <v>BẢNG TÍNH TOÁN, ĐO BÓC KHỐI LƯỢNG HOÀN THÀNH ĐƯA VÀO QUYẾT TOÁN</v>
          </cell>
        </row>
      </sheetData>
      <sheetData sheetId="7728">
        <row r="4">
          <cell r="A4" t="str">
            <v>BẢNG TÍNH TOÁN, ĐO BÓC KHỐI LƯỢNG HOÀN THÀNH ĐƯA VÀO QUYẾT TOÁN</v>
          </cell>
        </row>
      </sheetData>
      <sheetData sheetId="7729">
        <row r="4">
          <cell r="A4" t="str">
            <v>BẢNG TÍNH TOÁN, ĐO BÓC KHỐI LƯỢNG HOÀN THÀNH ĐƯA VÀO QUYẾT TOÁN</v>
          </cell>
        </row>
      </sheetData>
      <sheetData sheetId="7730">
        <row r="4">
          <cell r="A4" t="str">
            <v>BẢNG TÍNH TOÁN, ĐO BÓC KHỐI LƯỢNG HOÀN THÀNH ĐƯA VÀO QUYẾT TOÁN</v>
          </cell>
        </row>
      </sheetData>
      <sheetData sheetId="7731">
        <row r="4">
          <cell r="A4" t="str">
            <v>BẢNG TÍNH TOÁN, ĐO BÓC KHỐI LƯỢNG HOÀN THÀNH ĐƯA VÀO QUYẾT TOÁN</v>
          </cell>
        </row>
      </sheetData>
      <sheetData sheetId="7732">
        <row r="4">
          <cell r="A4" t="str">
            <v>BẢNG TÍNH TOÁN, ĐO BÓC KHỐI LƯỢNG HOÀN THÀNH ĐƯA VÀO QUYẾT TOÁN</v>
          </cell>
        </row>
      </sheetData>
      <sheetData sheetId="7733">
        <row r="4">
          <cell r="A4" t="str">
            <v>BẢNG TÍNH TOÁN, ĐO BÓC KHỐI LƯỢNG HOÀN THÀNH ĐƯA VÀO QUYẾT TOÁN</v>
          </cell>
        </row>
      </sheetData>
      <sheetData sheetId="7734">
        <row r="4">
          <cell r="A4" t="str">
            <v>BẢNG TÍNH TOÁN, ĐO BÓC KHỐI LƯỢNG HOÀN THÀNH ĐƯA VÀO QUYẾT TOÁN</v>
          </cell>
        </row>
      </sheetData>
      <sheetData sheetId="7735">
        <row r="4">
          <cell r="A4" t="str">
            <v>BẢNG TÍNH TOÁN, ĐO BÓC KHỐI LƯỢNG HOÀN THÀNH ĐƯA VÀO QUYẾT TOÁN</v>
          </cell>
        </row>
      </sheetData>
      <sheetData sheetId="7736">
        <row r="4">
          <cell r="A4" t="str">
            <v>BẢNG TÍNH TOÁN, ĐO BÓC KHỐI LƯỢNG HOÀN THÀNH ĐƯA VÀO QUYẾT TOÁN</v>
          </cell>
        </row>
      </sheetData>
      <sheetData sheetId="7737">
        <row r="4">
          <cell r="A4" t="str">
            <v>BẢNG TÍNH TOÁN, ĐO BÓC KHỐI LƯỢNG HOÀN THÀNH ĐƯA VÀO QUYẾT TOÁN</v>
          </cell>
        </row>
      </sheetData>
      <sheetData sheetId="7738">
        <row r="4">
          <cell r="A4" t="str">
            <v>BẢNG TÍNH TOÁN, ĐO BÓC KHỐI LƯỢNG HOÀN THÀNH ĐƯA VÀO QUYẾT TOÁN</v>
          </cell>
        </row>
      </sheetData>
      <sheetData sheetId="7739">
        <row r="4">
          <cell r="A4" t="str">
            <v>BẢNG TÍNH TOÁN, ĐO BÓC KHỐI LƯỢNG HOÀN THÀNH ĐƯA VÀO QUYẾT TOÁN</v>
          </cell>
        </row>
      </sheetData>
      <sheetData sheetId="7740">
        <row r="4">
          <cell r="A4" t="str">
            <v>BẢNG TÍNH TOÁN, ĐO BÓC KHỐI LƯỢNG HOÀN THÀNH ĐƯA VÀO QUYẾT TOÁN</v>
          </cell>
        </row>
      </sheetData>
      <sheetData sheetId="7741">
        <row r="4">
          <cell r="A4" t="str">
            <v>BẢNG TÍNH TOÁN, ĐO BÓC KHỐI LƯỢNG HOÀN THÀNH ĐƯA VÀO QUYẾT TOÁN</v>
          </cell>
        </row>
      </sheetData>
      <sheetData sheetId="7742">
        <row r="4">
          <cell r="A4" t="str">
            <v>BẢNG TÍNH TOÁN, ĐO BÓC KHỐI LƯỢNG HOÀN THÀNH ĐƯA VÀO QUYẾT TOÁN</v>
          </cell>
        </row>
      </sheetData>
      <sheetData sheetId="7743">
        <row r="4">
          <cell r="A4" t="str">
            <v>BẢNG TÍNH TOÁN, ĐO BÓC KHỐI LƯỢNG HOÀN THÀNH ĐƯA VÀO QUYẾT TOÁN</v>
          </cell>
        </row>
      </sheetData>
      <sheetData sheetId="7744">
        <row r="4">
          <cell r="A4" t="str">
            <v>BẢNG TÍNH TOÁN, ĐO BÓC KHỐI LƯỢNG HOÀN THÀNH ĐƯA VÀO QUYẾT TOÁN</v>
          </cell>
        </row>
      </sheetData>
      <sheetData sheetId="7745">
        <row r="4">
          <cell r="A4" t="str">
            <v>BẢNG TÍNH TOÁN, ĐO BÓC KHỐI LƯỢNG HOÀN THÀNH ĐƯA VÀO QUYẾT TOÁN</v>
          </cell>
        </row>
      </sheetData>
      <sheetData sheetId="7746">
        <row r="4">
          <cell r="A4" t="str">
            <v>BẢNG TÍNH TOÁN, ĐO BÓC KHỐI LƯỢNG HOÀN THÀNH ĐƯA VÀO QUYẾT TOÁN</v>
          </cell>
        </row>
      </sheetData>
      <sheetData sheetId="7747">
        <row r="4">
          <cell r="A4" t="str">
            <v>BẢNG TÍNH TOÁN, ĐO BÓC KHỐI LƯỢNG HOÀN THÀNH ĐƯA VÀO QUYẾT TOÁN</v>
          </cell>
        </row>
      </sheetData>
      <sheetData sheetId="7748">
        <row r="4">
          <cell r="A4" t="str">
            <v>BẢNG TÍNH TOÁN, ĐO BÓC KHỐI LƯỢNG HOÀN THÀNH ĐƯA VÀO QUYẾT TOÁN</v>
          </cell>
        </row>
      </sheetData>
      <sheetData sheetId="7749">
        <row r="4">
          <cell r="A4" t="str">
            <v>BẢNG TÍNH TOÁN, ĐO BÓC KHỐI LƯỢNG HOÀN THÀNH ĐƯA VÀO QUYẾT TOÁN</v>
          </cell>
        </row>
      </sheetData>
      <sheetData sheetId="7750">
        <row r="4">
          <cell r="A4" t="str">
            <v>BẢNG TÍNH TOÁN, ĐO BÓC KHỐI LƯỢNG HOÀN THÀNH ĐƯA VÀO QUYẾT TOÁN</v>
          </cell>
        </row>
      </sheetData>
      <sheetData sheetId="7751">
        <row r="4">
          <cell r="A4" t="str">
            <v>BẢNG TÍNH TOÁN, ĐO BÓC KHỐI LƯỢNG HOÀN THÀNH ĐƯA VÀO QUYẾT TOÁN</v>
          </cell>
        </row>
      </sheetData>
      <sheetData sheetId="7752">
        <row r="4">
          <cell r="A4" t="str">
            <v>BẢNG TÍNH TOÁN, ĐO BÓC KHỐI LƯỢNG HOÀN THÀNH ĐƯA VÀO QUYẾT TOÁN</v>
          </cell>
        </row>
      </sheetData>
      <sheetData sheetId="7753">
        <row r="4">
          <cell r="A4" t="str">
            <v>BẢNG TÍNH TOÁN, ĐO BÓC KHỐI LƯỢNG HOÀN THÀNH ĐƯA VÀO QUYẾT TOÁN</v>
          </cell>
        </row>
      </sheetData>
      <sheetData sheetId="7754">
        <row r="4">
          <cell r="A4" t="str">
            <v>BẢNG TÍNH TOÁN, ĐO BÓC KHỐI LƯỢNG HOÀN THÀNH ĐƯA VÀO QUYẾT TOÁN</v>
          </cell>
        </row>
      </sheetData>
      <sheetData sheetId="7755">
        <row r="4">
          <cell r="A4" t="str">
            <v>BẢNG TÍNH TOÁN, ĐO BÓC KHỐI LƯỢNG HOÀN THÀNH ĐƯA VÀO QUYẾT TOÁN</v>
          </cell>
        </row>
      </sheetData>
      <sheetData sheetId="7756">
        <row r="4">
          <cell r="A4" t="str">
            <v>BẢNG TÍNH TOÁN, ĐO BÓC KHỐI LƯỢNG HOÀN THÀNH ĐƯA VÀO QUYẾT TOÁN</v>
          </cell>
        </row>
      </sheetData>
      <sheetData sheetId="7757">
        <row r="4">
          <cell r="A4" t="str">
            <v>BẢNG TÍNH TOÁN, ĐO BÓC KHỐI LƯỢNG HOÀN THÀNH ĐƯA VÀO QUYẾT TOÁN</v>
          </cell>
        </row>
      </sheetData>
      <sheetData sheetId="7758">
        <row r="4">
          <cell r="A4" t="str">
            <v>BẢNG TÍNH TOÁN, ĐO BÓC KHỐI LƯỢNG HOÀN THÀNH ĐƯA VÀO QUYẾT TOÁN</v>
          </cell>
        </row>
      </sheetData>
      <sheetData sheetId="7759">
        <row r="4">
          <cell r="A4" t="str">
            <v>BẢNG TÍNH TOÁN, ĐO BÓC KHỐI LƯỢNG HOÀN THÀNH ĐƯA VÀO QUYẾT TOÁN</v>
          </cell>
        </row>
      </sheetData>
      <sheetData sheetId="7760">
        <row r="4">
          <cell r="A4" t="str">
            <v>BẢNG TÍNH TOÁN, ĐO BÓC KHỐI LƯỢNG HOÀN THÀNH ĐƯA VÀO QUYẾT TOÁN</v>
          </cell>
        </row>
      </sheetData>
      <sheetData sheetId="7761">
        <row r="4">
          <cell r="A4" t="str">
            <v>BẢNG TÍNH TOÁN, ĐO BÓC KHỐI LƯỢNG HOÀN THÀNH ĐƯA VÀO QUYẾT TOÁN</v>
          </cell>
        </row>
      </sheetData>
      <sheetData sheetId="7762">
        <row r="4">
          <cell r="A4" t="str">
            <v>BẢNG TÍNH TOÁN, ĐO BÓC KHỐI LƯỢNG HOÀN THÀNH ĐƯA VÀO QUYẾT TOÁN</v>
          </cell>
        </row>
      </sheetData>
      <sheetData sheetId="7763">
        <row r="4">
          <cell r="A4" t="str">
            <v>BẢNG TÍNH TOÁN, ĐO BÓC KHỐI LƯỢNG HOÀN THÀNH ĐƯA VÀO QUYẾT TOÁN</v>
          </cell>
        </row>
      </sheetData>
      <sheetData sheetId="7764">
        <row r="4">
          <cell r="A4" t="str">
            <v>BẢNG TÍNH TOÁN, ĐO BÓC KHỐI LƯỢNG HOÀN THÀNH ĐƯA VÀO QUYẾT TOÁN</v>
          </cell>
        </row>
      </sheetData>
      <sheetData sheetId="7765">
        <row r="4">
          <cell r="A4" t="str">
            <v>BẢNG TÍNH TOÁN, ĐO BÓC KHỐI LƯỢNG HOÀN THÀNH ĐƯA VÀO QUYẾT TOÁN</v>
          </cell>
        </row>
      </sheetData>
      <sheetData sheetId="7766">
        <row r="4">
          <cell r="A4" t="str">
            <v>BẢNG TÍNH TOÁN, ĐO BÓC KHỐI LƯỢNG HOÀN THÀNH ĐƯA VÀO QUYẾT TOÁN</v>
          </cell>
        </row>
      </sheetData>
      <sheetData sheetId="7767">
        <row r="4">
          <cell r="A4" t="str">
            <v>BẢNG TÍNH TOÁN, ĐO BÓC KHỐI LƯỢNG HOÀN THÀNH ĐƯA VÀO QUYẾT TOÁN</v>
          </cell>
        </row>
      </sheetData>
      <sheetData sheetId="7768">
        <row r="4">
          <cell r="A4" t="str">
            <v>BẢNG TÍNH TOÁN, ĐO BÓC KHỐI LƯỢNG HOÀN THÀNH ĐƯA VÀO QUYẾT TOÁN</v>
          </cell>
        </row>
      </sheetData>
      <sheetData sheetId="7769">
        <row r="4">
          <cell r="A4" t="str">
            <v>BẢNG TÍNH TOÁN, ĐO BÓC KHỐI LƯỢNG HOÀN THÀNH ĐƯA VÀO QUYẾT TOÁN</v>
          </cell>
        </row>
      </sheetData>
      <sheetData sheetId="7770">
        <row r="4">
          <cell r="A4" t="str">
            <v>BẢNG TÍNH TOÁN, ĐO BÓC KHỐI LƯỢNG HOÀN THÀNH ĐƯA VÀO QUYẾT TOÁN</v>
          </cell>
        </row>
      </sheetData>
      <sheetData sheetId="7771">
        <row r="4">
          <cell r="A4" t="str">
            <v>BẢNG TÍNH TOÁN, ĐO BÓC KHỐI LƯỢNG HOÀN THÀNH ĐƯA VÀO QUYẾT TOÁN</v>
          </cell>
        </row>
      </sheetData>
      <sheetData sheetId="7772">
        <row r="4">
          <cell r="A4" t="str">
            <v>BẢNG TÍNH TOÁN, ĐO BÓC KHỐI LƯỢNG HOÀN THÀNH ĐƯA VÀO QUYẾT TOÁN</v>
          </cell>
        </row>
      </sheetData>
      <sheetData sheetId="7773">
        <row r="4">
          <cell r="A4" t="str">
            <v>BẢNG TÍNH TOÁN, ĐO BÓC KHỐI LƯỢNG HOÀN THÀNH ĐƯA VÀO QUYẾT TOÁN</v>
          </cell>
        </row>
      </sheetData>
      <sheetData sheetId="7774">
        <row r="4">
          <cell r="A4" t="str">
            <v>BẢNG TÍNH TOÁN, ĐO BÓC KHỐI LƯỢNG HOÀN THÀNH ĐƯA VÀO QUYẾT TOÁN</v>
          </cell>
        </row>
      </sheetData>
      <sheetData sheetId="7775">
        <row r="4">
          <cell r="A4" t="str">
            <v>BẢNG TÍNH TOÁN, ĐO BÓC KHỐI LƯỢNG HOÀN THÀNH ĐƯA VÀO QUYẾT TOÁN</v>
          </cell>
        </row>
      </sheetData>
      <sheetData sheetId="7776">
        <row r="4">
          <cell r="A4" t="str">
            <v>BẢNG TÍNH TOÁN, ĐO BÓC KHỐI LƯỢNG HOÀN THÀNH ĐƯA VÀO QUYẾT TOÁN</v>
          </cell>
        </row>
      </sheetData>
      <sheetData sheetId="7777">
        <row r="4">
          <cell r="A4" t="str">
            <v>BẢNG TÍNH TOÁN, ĐO BÓC KHỐI LƯỢNG HOÀN THÀNH ĐƯA VÀO QUYẾT TOÁN</v>
          </cell>
        </row>
      </sheetData>
      <sheetData sheetId="7778">
        <row r="4">
          <cell r="A4" t="str">
            <v>BẢNG TÍNH TOÁN, ĐO BÓC KHỐI LƯỢNG HOÀN THÀNH ĐƯA VÀO QUYẾT TOÁN</v>
          </cell>
        </row>
      </sheetData>
      <sheetData sheetId="7779">
        <row r="4">
          <cell r="A4" t="str">
            <v>BẢNG TÍNH TOÁN, ĐO BÓC KHỐI LƯỢNG HOÀN THÀNH ĐƯA VÀO QUYẾT TOÁN</v>
          </cell>
        </row>
      </sheetData>
      <sheetData sheetId="7780">
        <row r="4">
          <cell r="A4" t="str">
            <v>BẢNG TÍNH TOÁN, ĐO BÓC KHỐI LƯỢNG HOÀN THÀNH ĐƯA VÀO QUYẾT TOÁN</v>
          </cell>
        </row>
      </sheetData>
      <sheetData sheetId="7781">
        <row r="4">
          <cell r="A4" t="str">
            <v>BẢNG TÍNH TOÁN, ĐO BÓC KHỐI LƯỢNG HOÀN THÀNH ĐƯA VÀO QUYẾT TOÁN</v>
          </cell>
        </row>
      </sheetData>
      <sheetData sheetId="7782">
        <row r="4">
          <cell r="A4" t="str">
            <v>BẢNG TÍNH TOÁN, ĐO BÓC KHỐI LƯỢNG HOÀN THÀNH ĐƯA VÀO QUYẾT TOÁN</v>
          </cell>
        </row>
      </sheetData>
      <sheetData sheetId="7783">
        <row r="4">
          <cell r="A4" t="str">
            <v>BẢNG TÍNH TOÁN, ĐO BÓC KHỐI LƯỢNG HOÀN THÀNH ĐƯA VÀO QUYẾT TOÁN</v>
          </cell>
        </row>
      </sheetData>
      <sheetData sheetId="7784">
        <row r="4">
          <cell r="A4" t="str">
            <v>BẢNG TÍNH TOÁN, ĐO BÓC KHỐI LƯỢNG HOÀN THÀNH ĐƯA VÀO QUYẾT TOÁN</v>
          </cell>
        </row>
      </sheetData>
      <sheetData sheetId="7785">
        <row r="4">
          <cell r="A4" t="str">
            <v>BẢNG TÍNH TOÁN, ĐO BÓC KHỐI LƯỢNG HOÀN THÀNH ĐƯA VÀO QUYẾT TOÁN</v>
          </cell>
        </row>
      </sheetData>
      <sheetData sheetId="7786">
        <row r="4">
          <cell r="A4" t="str">
            <v>BẢNG TÍNH TOÁN, ĐO BÓC KHỐI LƯỢNG HOÀN THÀNH ĐƯA VÀO QUYẾT TOÁN</v>
          </cell>
        </row>
      </sheetData>
      <sheetData sheetId="7787">
        <row r="4">
          <cell r="A4" t="str">
            <v>BẢNG TÍNH TOÁN, ĐO BÓC KHỐI LƯỢNG HOÀN THÀNH ĐƯA VÀO QUYẾT TOÁN</v>
          </cell>
        </row>
      </sheetData>
      <sheetData sheetId="7788">
        <row r="4">
          <cell r="A4" t="str">
            <v>BẢNG TÍNH TOÁN, ĐO BÓC KHỐI LƯỢNG HOÀN THÀNH ĐƯA VÀO QUYẾT TOÁN</v>
          </cell>
        </row>
      </sheetData>
      <sheetData sheetId="7789">
        <row r="4">
          <cell r="A4" t="str">
            <v>BẢNG TÍNH TOÁN, ĐO BÓC KHỐI LƯỢNG HOÀN THÀNH ĐƯA VÀO QUYẾT TOÁN</v>
          </cell>
        </row>
      </sheetData>
      <sheetData sheetId="7790">
        <row r="4">
          <cell r="A4" t="str">
            <v>BẢNG TÍNH TOÁN, ĐO BÓC KHỐI LƯỢNG HOÀN THÀNH ĐƯA VÀO QUYẾT TOÁN</v>
          </cell>
        </row>
      </sheetData>
      <sheetData sheetId="7791">
        <row r="4">
          <cell r="A4" t="str">
            <v>BẢNG TÍNH TOÁN, ĐO BÓC KHỐI LƯỢNG HOÀN THÀNH ĐƯA VÀO QUYẾT TOÁN</v>
          </cell>
        </row>
      </sheetData>
      <sheetData sheetId="7792">
        <row r="4">
          <cell r="A4" t="str">
            <v>BẢNG TÍNH TOÁN, ĐO BÓC KHỐI LƯỢNG HOÀN THÀNH ĐƯA VÀO QUYẾT TOÁN</v>
          </cell>
        </row>
      </sheetData>
      <sheetData sheetId="7793">
        <row r="4">
          <cell r="A4" t="str">
            <v>BẢNG TÍNH TOÁN, ĐO BÓC KHỐI LƯỢNG HOÀN THÀNH ĐƯA VÀO QUYẾT TOÁN</v>
          </cell>
        </row>
      </sheetData>
      <sheetData sheetId="7794">
        <row r="4">
          <cell r="A4" t="str">
            <v>BẢNG TÍNH TOÁN, ĐO BÓC KHỐI LƯỢNG HOÀN THÀNH ĐƯA VÀO QUYẾT TOÁN</v>
          </cell>
        </row>
      </sheetData>
      <sheetData sheetId="7795">
        <row r="4">
          <cell r="A4" t="str">
            <v>BẢNG TÍNH TOÁN, ĐO BÓC KHỐI LƯỢNG HOÀN THÀNH ĐƯA VÀO QUYẾT TOÁN</v>
          </cell>
        </row>
      </sheetData>
      <sheetData sheetId="7796">
        <row r="4">
          <cell r="A4" t="str">
            <v>BẢNG TÍNH TOÁN, ĐO BÓC KHỐI LƯỢNG HOÀN THÀNH ĐƯA VÀO QUYẾT TOÁN</v>
          </cell>
        </row>
      </sheetData>
      <sheetData sheetId="7797">
        <row r="4">
          <cell r="A4" t="str">
            <v>BẢNG TÍNH TOÁN, ĐO BÓC KHỐI LƯỢNG HOÀN THÀNH ĐƯA VÀO QUYẾT TOÁN</v>
          </cell>
        </row>
      </sheetData>
      <sheetData sheetId="7798">
        <row r="4">
          <cell r="A4" t="str">
            <v>BẢNG TÍNH TOÁN, ĐO BÓC KHỐI LƯỢNG HOÀN THÀNH ĐƯA VÀO QUYẾT TOÁN</v>
          </cell>
        </row>
      </sheetData>
      <sheetData sheetId="7799">
        <row r="4">
          <cell r="A4" t="str">
            <v>BẢNG TÍNH TOÁN, ĐO BÓC KHỐI LƯỢNG HOÀN THÀNH ĐƯA VÀO QUYẾT TOÁN</v>
          </cell>
        </row>
      </sheetData>
      <sheetData sheetId="7800">
        <row r="4">
          <cell r="A4" t="str">
            <v>BẢNG TÍNH TOÁN, ĐO BÓC KHỐI LƯỢNG HOÀN THÀNH ĐƯA VÀO QUYẾT TOÁN</v>
          </cell>
        </row>
      </sheetData>
      <sheetData sheetId="7801">
        <row r="4">
          <cell r="A4" t="str">
            <v>BẢNG TÍNH TOÁN, ĐO BÓC KHỐI LƯỢNG HOÀN THÀNH ĐƯA VÀO QUYẾT TOÁN</v>
          </cell>
        </row>
      </sheetData>
      <sheetData sheetId="7802">
        <row r="4">
          <cell r="A4" t="str">
            <v>BẢNG TÍNH TOÁN, ĐO BÓC KHỐI LƯỢNG HOÀN THÀNH ĐƯA VÀO QUYẾT TOÁN</v>
          </cell>
        </row>
      </sheetData>
      <sheetData sheetId="7803">
        <row r="4">
          <cell r="A4" t="str">
            <v>BẢNG TÍNH TOÁN, ĐO BÓC KHỐI LƯỢNG HOÀN THÀNH ĐƯA VÀO QUYẾT TOÁN</v>
          </cell>
        </row>
      </sheetData>
      <sheetData sheetId="7804">
        <row r="4">
          <cell r="A4" t="str">
            <v>BẢNG TÍNH TOÁN, ĐO BÓC KHỐI LƯỢNG HOÀN THÀNH ĐƯA VÀO QUYẾT TOÁN</v>
          </cell>
        </row>
      </sheetData>
      <sheetData sheetId="7805">
        <row r="4">
          <cell r="A4" t="str">
            <v>BẢNG TÍNH TOÁN, ĐO BÓC KHỐI LƯỢNG HOÀN THÀNH ĐƯA VÀO QUYẾT TOÁN</v>
          </cell>
        </row>
      </sheetData>
      <sheetData sheetId="7806">
        <row r="4">
          <cell r="A4" t="str">
            <v>BẢNG TÍNH TOÁN, ĐO BÓC KHỐI LƯỢNG HOÀN THÀNH ĐƯA VÀO QUYẾT TOÁN</v>
          </cell>
        </row>
      </sheetData>
      <sheetData sheetId="7807">
        <row r="4">
          <cell r="A4" t="str">
            <v>BẢNG TÍNH TOÁN, ĐO BÓC KHỐI LƯỢNG HOÀN THÀNH ĐƯA VÀO QUYẾT TOÁN</v>
          </cell>
        </row>
      </sheetData>
      <sheetData sheetId="7808">
        <row r="4">
          <cell r="A4" t="str">
            <v>BẢNG TÍNH TOÁN, ĐO BÓC KHỐI LƯỢNG HOÀN THÀNH ĐƯA VÀO QUYẾT TOÁN</v>
          </cell>
        </row>
      </sheetData>
      <sheetData sheetId="7809">
        <row r="4">
          <cell r="A4" t="str">
            <v>BẢNG TÍNH TOÁN, ĐO BÓC KHỐI LƯỢNG HOÀN THÀNH ĐƯA VÀO QUYẾT TOÁN</v>
          </cell>
        </row>
      </sheetData>
      <sheetData sheetId="7810">
        <row r="4">
          <cell r="A4" t="str">
            <v>BẢNG TÍNH TOÁN, ĐO BÓC KHỐI LƯỢNG HOÀN THÀNH ĐƯA VÀO QUYẾT TOÁN</v>
          </cell>
        </row>
      </sheetData>
      <sheetData sheetId="7811">
        <row r="4">
          <cell r="A4" t="str">
            <v>BẢNG TÍNH TOÁN, ĐO BÓC KHỐI LƯỢNG HOÀN THÀNH ĐƯA VÀO QUYẾT TOÁN</v>
          </cell>
        </row>
      </sheetData>
      <sheetData sheetId="7812">
        <row r="4">
          <cell r="A4" t="str">
            <v>BẢNG TÍNH TOÁN, ĐO BÓC KHỐI LƯỢNG HOÀN THÀNH ĐƯA VÀO QUYẾT TOÁN</v>
          </cell>
        </row>
      </sheetData>
      <sheetData sheetId="7813">
        <row r="4">
          <cell r="A4" t="str">
            <v>BẢNG TÍNH TOÁN, ĐO BÓC KHỐI LƯỢNG HOÀN THÀNH ĐƯA VÀO QUYẾT TOÁN</v>
          </cell>
        </row>
      </sheetData>
      <sheetData sheetId="7814">
        <row r="4">
          <cell r="A4" t="str">
            <v>BẢNG TÍNH TOÁN, ĐO BÓC KHỐI LƯỢNG HOÀN THÀNH ĐƯA VÀO QUYẾT TOÁN</v>
          </cell>
        </row>
      </sheetData>
      <sheetData sheetId="7815">
        <row r="4">
          <cell r="A4" t="str">
            <v>BẢNG TÍNH TOÁN, ĐO BÓC KHỐI LƯỢNG HOÀN THÀNH ĐƯA VÀO QUYẾT TOÁN</v>
          </cell>
        </row>
      </sheetData>
      <sheetData sheetId="7816">
        <row r="4">
          <cell r="A4" t="str">
            <v>BẢNG TÍNH TOÁN, ĐO BÓC KHỐI LƯỢNG HOÀN THÀNH ĐƯA VÀO QUYẾT TOÁN</v>
          </cell>
        </row>
      </sheetData>
      <sheetData sheetId="7817">
        <row r="4">
          <cell r="A4" t="str">
            <v>BẢNG TÍNH TOÁN, ĐO BÓC KHỐI LƯỢNG HOÀN THÀNH ĐƯA VÀO QUYẾT TOÁN</v>
          </cell>
        </row>
      </sheetData>
      <sheetData sheetId="7818">
        <row r="4">
          <cell r="A4" t="str">
            <v>BẢNG TÍNH TOÁN, ĐO BÓC KHỐI LƯỢNG HOÀN THÀNH ĐƯA VÀO QUYẾT TOÁN</v>
          </cell>
        </row>
      </sheetData>
      <sheetData sheetId="7819">
        <row r="4">
          <cell r="A4" t="str">
            <v>BẢNG TÍNH TOÁN, ĐO BÓC KHỐI LƯỢNG HOÀN THÀNH ĐƯA VÀO QUYẾT TOÁN</v>
          </cell>
        </row>
      </sheetData>
      <sheetData sheetId="7820">
        <row r="4">
          <cell r="A4" t="str">
            <v>BẢNG TÍNH TOÁN, ĐO BÓC KHỐI LƯỢNG HOÀN THÀNH ĐƯA VÀO QUYẾT TOÁN</v>
          </cell>
        </row>
      </sheetData>
      <sheetData sheetId="7821">
        <row r="4">
          <cell r="A4" t="str">
            <v>BẢNG TÍNH TOÁN, ĐO BÓC KHỐI LƯỢNG HOÀN THÀNH ĐƯA VÀO QUYẾT TOÁN</v>
          </cell>
        </row>
      </sheetData>
      <sheetData sheetId="7822">
        <row r="4">
          <cell r="A4" t="str">
            <v>BẢNG TÍNH TOÁN, ĐO BÓC KHỐI LƯỢNG HOÀN THÀNH ĐƯA VÀO QUYẾT TOÁN</v>
          </cell>
        </row>
      </sheetData>
      <sheetData sheetId="7823">
        <row r="4">
          <cell r="A4" t="str">
            <v>BẢNG TÍNH TOÁN, ĐO BÓC KHỐI LƯỢNG HOÀN THÀNH ĐƯA VÀO QUYẾT TOÁN</v>
          </cell>
        </row>
      </sheetData>
      <sheetData sheetId="7824">
        <row r="4">
          <cell r="A4" t="str">
            <v>BẢNG TÍNH TOÁN, ĐO BÓC KHỐI LƯỢNG HOÀN THÀNH ĐƯA VÀO QUYẾT TOÁN</v>
          </cell>
        </row>
      </sheetData>
      <sheetData sheetId="7825">
        <row r="4">
          <cell r="A4" t="str">
            <v>BẢNG TÍNH TOÁN, ĐO BÓC KHỐI LƯỢNG HOÀN THÀNH ĐƯA VÀO QUYẾT TOÁN</v>
          </cell>
        </row>
      </sheetData>
      <sheetData sheetId="7826">
        <row r="4">
          <cell r="A4" t="str">
            <v>BẢNG TÍNH TOÁN, ĐO BÓC KHỐI LƯỢNG HOÀN THÀNH ĐƯA VÀO QUYẾT TOÁN</v>
          </cell>
        </row>
      </sheetData>
      <sheetData sheetId="7827">
        <row r="4">
          <cell r="A4" t="str">
            <v>BẢNG TÍNH TOÁN, ĐO BÓC KHỐI LƯỢNG HOÀN THÀNH ĐƯA VÀO QUYẾT TOÁN</v>
          </cell>
        </row>
      </sheetData>
      <sheetData sheetId="7828">
        <row r="4">
          <cell r="A4" t="str">
            <v>BẢNG TÍNH TOÁN, ĐO BÓC KHỐI LƯỢNG HOÀN THÀNH ĐƯA VÀO QUYẾT TOÁN</v>
          </cell>
        </row>
      </sheetData>
      <sheetData sheetId="7829">
        <row r="4">
          <cell r="A4" t="str">
            <v>BẢNG TÍNH TOÁN, ĐO BÓC KHỐI LƯỢNG HOÀN THÀNH ĐƯA VÀO QUYẾT TOÁN</v>
          </cell>
        </row>
      </sheetData>
      <sheetData sheetId="7830">
        <row r="4">
          <cell r="A4" t="str">
            <v>BẢNG TÍNH TOÁN, ĐO BÓC KHỐI LƯỢNG HOÀN THÀNH ĐƯA VÀO QUYẾT TOÁN</v>
          </cell>
        </row>
      </sheetData>
      <sheetData sheetId="7831">
        <row r="4">
          <cell r="A4" t="str">
            <v>BẢNG TÍNH TOÁN, ĐO BÓC KHỐI LƯỢNG HOÀN THÀNH ĐƯA VÀO QUYẾT TOÁN</v>
          </cell>
        </row>
      </sheetData>
      <sheetData sheetId="7832">
        <row r="4">
          <cell r="A4" t="str">
            <v>BẢNG TÍNH TOÁN, ĐO BÓC KHỐI LƯỢNG HOÀN THÀNH ĐƯA VÀO QUYẾT TOÁN</v>
          </cell>
        </row>
      </sheetData>
      <sheetData sheetId="7833">
        <row r="4">
          <cell r="A4" t="str">
            <v>BẢNG TÍNH TOÁN, ĐO BÓC KHỐI LƯỢNG HOÀN THÀNH ĐƯA VÀO QUYẾT TOÁN</v>
          </cell>
        </row>
      </sheetData>
      <sheetData sheetId="7834">
        <row r="4">
          <cell r="A4" t="str">
            <v>BẢNG TÍNH TOÁN, ĐO BÓC KHỐI LƯỢNG HOÀN THÀNH ĐƯA VÀO QUYẾT TOÁN</v>
          </cell>
        </row>
      </sheetData>
      <sheetData sheetId="7835">
        <row r="4">
          <cell r="A4" t="str">
            <v>BẢNG TÍNH TOÁN, ĐO BÓC KHỐI LƯỢNG HOÀN THÀNH ĐƯA VÀO QUYẾT TOÁN</v>
          </cell>
        </row>
      </sheetData>
      <sheetData sheetId="7836">
        <row r="4">
          <cell r="A4" t="str">
            <v>BẢNG TÍNH TOÁN, ĐO BÓC KHỐI LƯỢNG HOÀN THÀNH ĐƯA VÀO QUYẾT TOÁN</v>
          </cell>
        </row>
      </sheetData>
      <sheetData sheetId="7837">
        <row r="4">
          <cell r="A4" t="str">
            <v>BẢNG TÍNH TOÁN, ĐO BÓC KHỐI LƯỢNG HOÀN THÀNH ĐƯA VÀO QUYẾT TOÁN</v>
          </cell>
        </row>
      </sheetData>
      <sheetData sheetId="7838">
        <row r="4">
          <cell r="A4" t="str">
            <v>BẢNG TÍNH TOÁN, ĐO BÓC KHỐI LƯỢNG HOÀN THÀNH ĐƯA VÀO QUYẾT TOÁN</v>
          </cell>
        </row>
      </sheetData>
      <sheetData sheetId="7839">
        <row r="4">
          <cell r="A4" t="str">
            <v>BẢNG TÍNH TOÁN, ĐO BÓC KHỐI LƯỢNG HOÀN THÀNH ĐƯA VÀO QUYẾT TOÁN</v>
          </cell>
        </row>
      </sheetData>
      <sheetData sheetId="7840">
        <row r="4">
          <cell r="A4" t="str">
            <v>BẢNG TÍNH TOÁN, ĐO BÓC KHỐI LƯỢNG HOÀN THÀNH ĐƯA VÀO QUYẾT TOÁN</v>
          </cell>
        </row>
      </sheetData>
      <sheetData sheetId="7841">
        <row r="4">
          <cell r="A4" t="str">
            <v>BẢNG TÍNH TOÁN, ĐO BÓC KHỐI LƯỢNG HOÀN THÀNH ĐƯA VÀO QUYẾT TOÁN</v>
          </cell>
        </row>
      </sheetData>
      <sheetData sheetId="7842">
        <row r="4">
          <cell r="A4" t="str">
            <v>BẢNG TÍNH TOÁN, ĐO BÓC KHỐI LƯỢNG HOÀN THÀNH ĐƯA VÀO QUYẾT TOÁN</v>
          </cell>
        </row>
      </sheetData>
      <sheetData sheetId="7843">
        <row r="4">
          <cell r="A4" t="str">
            <v>BẢNG TÍNH TOÁN, ĐO BÓC KHỐI LƯỢNG HOÀN THÀNH ĐƯA VÀO QUYẾT TOÁN</v>
          </cell>
        </row>
      </sheetData>
      <sheetData sheetId="7844">
        <row r="4">
          <cell r="A4" t="str">
            <v>BẢNG TÍNH TOÁN, ĐO BÓC KHỐI LƯỢNG HOÀN THÀNH ĐƯA VÀO QUYẾT TOÁN</v>
          </cell>
        </row>
      </sheetData>
      <sheetData sheetId="7845">
        <row r="4">
          <cell r="A4" t="str">
            <v>BẢNG TÍNH TOÁN, ĐO BÓC KHỐI LƯỢNG HOÀN THÀNH ĐƯA VÀO QUYẾT TOÁN</v>
          </cell>
        </row>
      </sheetData>
      <sheetData sheetId="7846">
        <row r="4">
          <cell r="A4" t="str">
            <v>BẢNG TÍNH TOÁN, ĐO BÓC KHỐI LƯỢNG HOÀN THÀNH ĐƯA VÀO QUYẾT TOÁN</v>
          </cell>
        </row>
      </sheetData>
      <sheetData sheetId="7847">
        <row r="4">
          <cell r="A4" t="str">
            <v>BẢNG TÍNH TOÁN, ĐO BÓC KHỐI LƯỢNG HOÀN THÀNH ĐƯA VÀO QUYẾT TOÁN</v>
          </cell>
        </row>
      </sheetData>
      <sheetData sheetId="7848">
        <row r="4">
          <cell r="A4" t="str">
            <v>BẢNG TÍNH TOÁN, ĐO BÓC KHỐI LƯỢNG HOÀN THÀNH ĐƯA VÀO QUYẾT TOÁN</v>
          </cell>
        </row>
      </sheetData>
      <sheetData sheetId="7849">
        <row r="4">
          <cell r="A4" t="str">
            <v>BẢNG TÍNH TOÁN, ĐO BÓC KHỐI LƯỢNG HOÀN THÀNH ĐƯA VÀO QUYẾT TOÁN</v>
          </cell>
        </row>
      </sheetData>
      <sheetData sheetId="7850">
        <row r="4">
          <cell r="A4" t="str">
            <v>BẢNG TÍNH TOÁN, ĐO BÓC KHỐI LƯỢNG HOÀN THÀNH ĐƯA VÀO QUYẾT TOÁN</v>
          </cell>
        </row>
      </sheetData>
      <sheetData sheetId="7851">
        <row r="4">
          <cell r="A4" t="str">
            <v>BẢNG TÍNH TOÁN, ĐO BÓC KHỐI LƯỢNG HOÀN THÀNH ĐƯA VÀO QUYẾT TOÁN</v>
          </cell>
        </row>
      </sheetData>
      <sheetData sheetId="7852">
        <row r="4">
          <cell r="A4" t="str">
            <v>BẢNG TÍNH TOÁN, ĐO BÓC KHỐI LƯỢNG HOÀN THÀNH ĐƯA VÀO QUYẾT TOÁN</v>
          </cell>
        </row>
      </sheetData>
      <sheetData sheetId="7853">
        <row r="4">
          <cell r="A4" t="str">
            <v>BẢNG TÍNH TOÁN, ĐO BÓC KHỐI LƯỢNG HOÀN THÀNH ĐƯA VÀO QUYẾT TOÁN</v>
          </cell>
        </row>
      </sheetData>
      <sheetData sheetId="7854">
        <row r="4">
          <cell r="A4" t="str">
            <v>BẢNG TÍNH TOÁN, ĐO BÓC KHỐI LƯỢNG HOÀN THÀNH ĐƯA VÀO QUYẾT TOÁN</v>
          </cell>
        </row>
      </sheetData>
      <sheetData sheetId="7855">
        <row r="4">
          <cell r="A4" t="str">
            <v>BẢNG TÍNH TOÁN, ĐO BÓC KHỐI LƯỢNG HOÀN THÀNH ĐƯA VÀO QUYẾT TOÁN</v>
          </cell>
        </row>
      </sheetData>
      <sheetData sheetId="7856">
        <row r="4">
          <cell r="A4" t="str">
            <v>BẢNG TÍNH TOÁN, ĐO BÓC KHỐI LƯỢNG HOÀN THÀNH ĐƯA VÀO QUYẾT TOÁN</v>
          </cell>
        </row>
      </sheetData>
      <sheetData sheetId="7857">
        <row r="4">
          <cell r="A4" t="str">
            <v>BẢNG TÍNH TOÁN, ĐO BÓC KHỐI LƯỢNG HOÀN THÀNH ĐƯA VÀO QUYẾT TOÁN</v>
          </cell>
        </row>
      </sheetData>
      <sheetData sheetId="7858">
        <row r="4">
          <cell r="A4" t="str">
            <v>BẢNG TÍNH TOÁN, ĐO BÓC KHỐI LƯỢNG HOÀN THÀNH ĐƯA VÀO QUYẾT TOÁN</v>
          </cell>
        </row>
      </sheetData>
      <sheetData sheetId="7859">
        <row r="4">
          <cell r="A4" t="str">
            <v>BẢNG TÍNH TOÁN, ĐO BÓC KHỐI LƯỢNG HOÀN THÀNH ĐƯA VÀO QUYẾT TOÁN</v>
          </cell>
        </row>
      </sheetData>
      <sheetData sheetId="7860">
        <row r="4">
          <cell r="A4" t="str">
            <v>BẢNG TÍNH TOÁN, ĐO BÓC KHỐI LƯỢNG HOÀN THÀNH ĐƯA VÀO QUYẾT TOÁN</v>
          </cell>
        </row>
      </sheetData>
      <sheetData sheetId="7861">
        <row r="4">
          <cell r="A4" t="str">
            <v>BẢNG TÍNH TOÁN, ĐO BÓC KHỐI LƯỢNG HOÀN THÀNH ĐƯA VÀO QUYẾT TOÁN</v>
          </cell>
        </row>
      </sheetData>
      <sheetData sheetId="7862">
        <row r="4">
          <cell r="A4" t="str">
            <v>BẢNG TÍNH TOÁN, ĐO BÓC KHỐI LƯỢNG HOÀN THÀNH ĐƯA VÀO QUYẾT TOÁN</v>
          </cell>
        </row>
      </sheetData>
      <sheetData sheetId="7863">
        <row r="4">
          <cell r="A4" t="str">
            <v>BẢNG TÍNH TOÁN, ĐO BÓC KHỐI LƯỢNG HOÀN THÀNH ĐƯA VÀO QUYẾT TOÁN</v>
          </cell>
        </row>
      </sheetData>
      <sheetData sheetId="7864">
        <row r="4">
          <cell r="A4" t="str">
            <v>BẢNG TÍNH TOÁN, ĐO BÓC KHỐI LƯỢNG HOÀN THÀNH ĐƯA VÀO QUYẾT TOÁN</v>
          </cell>
        </row>
      </sheetData>
      <sheetData sheetId="7865">
        <row r="4">
          <cell r="A4" t="str">
            <v>BẢNG TÍNH TOÁN, ĐO BÓC KHỐI LƯỢNG HOÀN THÀNH ĐƯA VÀO QUYẾT TOÁN</v>
          </cell>
        </row>
      </sheetData>
      <sheetData sheetId="7866">
        <row r="4">
          <cell r="A4" t="str">
            <v>BẢNG TÍNH TOÁN, ĐO BÓC KHỐI LƯỢNG HOÀN THÀNH ĐƯA VÀO QUYẾT TOÁN</v>
          </cell>
        </row>
      </sheetData>
      <sheetData sheetId="7867">
        <row r="4">
          <cell r="A4" t="str">
            <v>BẢNG TÍNH TOÁN, ĐO BÓC KHỐI LƯỢNG HOÀN THÀNH ĐƯA VÀO QUYẾT TOÁN</v>
          </cell>
        </row>
      </sheetData>
      <sheetData sheetId="7868">
        <row r="4">
          <cell r="A4" t="str">
            <v>BẢNG TÍNH TOÁN, ĐO BÓC KHỐI LƯỢNG HOÀN THÀNH ĐƯA VÀO QUYẾT TOÁN</v>
          </cell>
        </row>
      </sheetData>
      <sheetData sheetId="7869">
        <row r="4">
          <cell r="A4" t="str">
            <v>BẢNG TÍNH TOÁN, ĐO BÓC KHỐI LƯỢNG HOÀN THÀNH ĐƯA VÀO QUYẾT TOÁN</v>
          </cell>
        </row>
      </sheetData>
      <sheetData sheetId="7870">
        <row r="4">
          <cell r="A4" t="str">
            <v>BẢNG TÍNH TOÁN, ĐO BÓC KHỐI LƯỢNG HOÀN THÀNH ĐƯA VÀO QUYẾT TOÁN</v>
          </cell>
        </row>
      </sheetData>
      <sheetData sheetId="7871">
        <row r="4">
          <cell r="A4" t="str">
            <v>BẢNG TÍNH TOÁN, ĐO BÓC KHỐI LƯỢNG HOÀN THÀNH ĐƯA VÀO QUYẾT TOÁN</v>
          </cell>
        </row>
      </sheetData>
      <sheetData sheetId="7872">
        <row r="4">
          <cell r="A4" t="str">
            <v>BẢNG TÍNH TOÁN, ĐO BÓC KHỐI LƯỢNG HOÀN THÀNH ĐƯA VÀO QUYẾT TOÁN</v>
          </cell>
        </row>
      </sheetData>
      <sheetData sheetId="7873">
        <row r="4">
          <cell r="A4" t="str">
            <v>BẢNG TÍNH TOÁN, ĐO BÓC KHỐI LƯỢNG HOÀN THÀNH ĐƯA VÀO QUYẾT TOÁN</v>
          </cell>
        </row>
      </sheetData>
      <sheetData sheetId="7874">
        <row r="4">
          <cell r="A4" t="str">
            <v>BẢNG TÍNH TOÁN, ĐO BÓC KHỐI LƯỢNG HOÀN THÀNH ĐƯA VÀO QUYẾT TOÁN</v>
          </cell>
        </row>
      </sheetData>
      <sheetData sheetId="7875">
        <row r="4">
          <cell r="A4" t="str">
            <v>BẢNG TÍNH TOÁN, ĐO BÓC KHỐI LƯỢNG HOÀN THÀNH ĐƯA VÀO QUYẾT TOÁN</v>
          </cell>
        </row>
      </sheetData>
      <sheetData sheetId="7876">
        <row r="4">
          <cell r="A4" t="str">
            <v>BẢNG TÍNH TOÁN, ĐO BÓC KHỐI LƯỢNG HOÀN THÀNH ĐƯA VÀO QUYẾT TOÁN</v>
          </cell>
        </row>
      </sheetData>
      <sheetData sheetId="7877">
        <row r="4">
          <cell r="A4" t="str">
            <v>BẢNG TÍNH TOÁN, ĐO BÓC KHỐI LƯỢNG HOÀN THÀNH ĐƯA VÀO QUYẾT TOÁN</v>
          </cell>
        </row>
      </sheetData>
      <sheetData sheetId="7878">
        <row r="4">
          <cell r="A4" t="str">
            <v>BẢNG TÍNH TOÁN, ĐO BÓC KHỐI LƯỢNG HOÀN THÀNH ĐƯA VÀO QUYẾT TOÁN</v>
          </cell>
        </row>
      </sheetData>
      <sheetData sheetId="7879">
        <row r="4">
          <cell r="A4" t="str">
            <v>BẢNG TÍNH TOÁN, ĐO BÓC KHỐI LƯỢNG HOÀN THÀNH ĐƯA VÀO QUYẾT TOÁN</v>
          </cell>
        </row>
      </sheetData>
      <sheetData sheetId="7880">
        <row r="4">
          <cell r="A4" t="str">
            <v>BẢNG TÍNH TOÁN, ĐO BÓC KHỐI LƯỢNG HOÀN THÀNH ĐƯA VÀO QUYẾT TOÁN</v>
          </cell>
        </row>
      </sheetData>
      <sheetData sheetId="7881">
        <row r="4">
          <cell r="A4" t="str">
            <v>BẢNG TÍNH TOÁN, ĐO BÓC KHỐI LƯỢNG HOÀN THÀNH ĐƯA VÀO QUYẾT TOÁN</v>
          </cell>
        </row>
      </sheetData>
      <sheetData sheetId="7882">
        <row r="4">
          <cell r="A4" t="str">
            <v>BẢNG TÍNH TOÁN, ĐO BÓC KHỐI LƯỢNG HOÀN THÀNH ĐƯA VÀO QUYẾT TOÁN</v>
          </cell>
        </row>
      </sheetData>
      <sheetData sheetId="7883">
        <row r="4">
          <cell r="A4" t="str">
            <v>BẢNG TÍNH TOÁN, ĐO BÓC KHỐI LƯỢNG HOÀN THÀNH ĐƯA VÀO QUYẾT TOÁN</v>
          </cell>
        </row>
      </sheetData>
      <sheetData sheetId="7884">
        <row r="4">
          <cell r="A4" t="str">
            <v>BẢNG TÍNH TOÁN, ĐO BÓC KHỐI LƯỢNG HOÀN THÀNH ĐƯA VÀO QUYẾT TOÁN</v>
          </cell>
        </row>
      </sheetData>
      <sheetData sheetId="7885">
        <row r="4">
          <cell r="A4" t="str">
            <v>BẢNG TÍNH TOÁN, ĐO BÓC KHỐI LƯỢNG HOÀN THÀNH ĐƯA VÀO QUYẾT TOÁN</v>
          </cell>
        </row>
      </sheetData>
      <sheetData sheetId="7886">
        <row r="4">
          <cell r="A4" t="str">
            <v>BẢNG TÍNH TOÁN, ĐO BÓC KHỐI LƯỢNG HOÀN THÀNH ĐƯA VÀO QUYẾT TOÁN</v>
          </cell>
        </row>
      </sheetData>
      <sheetData sheetId="7887">
        <row r="4">
          <cell r="A4" t="str">
            <v>BẢNG TÍNH TOÁN, ĐO BÓC KHỐI LƯỢNG HOÀN THÀNH ĐƯA VÀO QUYẾT TOÁN</v>
          </cell>
        </row>
      </sheetData>
      <sheetData sheetId="7888">
        <row r="4">
          <cell r="A4" t="str">
            <v>BẢNG TÍNH TOÁN, ĐO BÓC KHỐI LƯỢNG HOÀN THÀNH ĐƯA VÀO QUYẾT TOÁN</v>
          </cell>
        </row>
      </sheetData>
      <sheetData sheetId="7889">
        <row r="4">
          <cell r="A4" t="str">
            <v>BẢNG TÍNH TOÁN, ĐO BÓC KHỐI LƯỢNG HOÀN THÀNH ĐƯA VÀO QUYẾT TOÁN</v>
          </cell>
        </row>
      </sheetData>
      <sheetData sheetId="7890">
        <row r="4">
          <cell r="A4" t="str">
            <v>BẢNG TÍNH TOÁN, ĐO BÓC KHỐI LƯỢNG HOÀN THÀNH ĐƯA VÀO QUYẾT TOÁN</v>
          </cell>
        </row>
      </sheetData>
      <sheetData sheetId="7891">
        <row r="4">
          <cell r="A4" t="str">
            <v>BẢNG TÍNH TOÁN, ĐO BÓC KHỐI LƯỢNG HOÀN THÀNH ĐƯA VÀO QUYẾT TOÁN</v>
          </cell>
        </row>
      </sheetData>
      <sheetData sheetId="7892">
        <row r="4">
          <cell r="A4" t="str">
            <v>BẢNG TÍNH TOÁN, ĐO BÓC KHỐI LƯỢNG HOÀN THÀNH ĐƯA VÀO QUYẾT TOÁN</v>
          </cell>
        </row>
      </sheetData>
      <sheetData sheetId="7893">
        <row r="4">
          <cell r="A4" t="str">
            <v>BẢNG TÍNH TOÁN, ĐO BÓC KHỐI LƯỢNG HOÀN THÀNH ĐƯA VÀO QUYẾT TOÁN</v>
          </cell>
        </row>
      </sheetData>
      <sheetData sheetId="7894">
        <row r="4">
          <cell r="A4" t="str">
            <v>BẢNG TÍNH TOÁN, ĐO BÓC KHỐI LƯỢNG HOÀN THÀNH ĐƯA VÀO QUYẾT TOÁN</v>
          </cell>
        </row>
      </sheetData>
      <sheetData sheetId="7895">
        <row r="4">
          <cell r="A4" t="str">
            <v>BẢNG TÍNH TOÁN, ĐO BÓC KHỐI LƯỢNG HOÀN THÀNH ĐƯA VÀO QUYẾT TOÁN</v>
          </cell>
        </row>
      </sheetData>
      <sheetData sheetId="7896">
        <row r="4">
          <cell r="A4" t="str">
            <v>BẢNG TÍNH TOÁN, ĐO BÓC KHỐI LƯỢNG HOÀN THÀNH ĐƯA VÀO QUYẾT TOÁN</v>
          </cell>
        </row>
      </sheetData>
      <sheetData sheetId="7897">
        <row r="4">
          <cell r="A4" t="str">
            <v>BẢNG TÍNH TOÁN, ĐO BÓC KHỐI LƯỢNG HOÀN THÀNH ĐƯA VÀO QUYẾT TOÁN</v>
          </cell>
        </row>
      </sheetData>
      <sheetData sheetId="7898">
        <row r="4">
          <cell r="A4" t="str">
            <v>BẢNG TÍNH TOÁN, ĐO BÓC KHỐI LƯỢNG HOÀN THÀNH ĐƯA VÀO QUYẾT TOÁN</v>
          </cell>
        </row>
      </sheetData>
      <sheetData sheetId="7899">
        <row r="4">
          <cell r="A4" t="str">
            <v>BẢNG TÍNH TOÁN, ĐO BÓC KHỐI LƯỢNG HOÀN THÀNH ĐƯA VÀO QUYẾT TOÁN</v>
          </cell>
        </row>
      </sheetData>
      <sheetData sheetId="7900">
        <row r="4">
          <cell r="A4" t="str">
            <v>BẢNG TÍNH TOÁN, ĐO BÓC KHỐI LƯỢNG HOÀN THÀNH ĐƯA VÀO QUYẾT TOÁN</v>
          </cell>
        </row>
      </sheetData>
      <sheetData sheetId="7901">
        <row r="4">
          <cell r="A4" t="str">
            <v>BẢNG TÍNH TOÁN, ĐO BÓC KHỐI LƯỢNG HOÀN THÀNH ĐƯA VÀO QUYẾT TOÁN</v>
          </cell>
        </row>
      </sheetData>
      <sheetData sheetId="7902">
        <row r="4">
          <cell r="A4" t="str">
            <v>BẢNG TÍNH TOÁN, ĐO BÓC KHỐI LƯỢNG HOÀN THÀNH ĐƯA VÀO QUYẾT TOÁN</v>
          </cell>
        </row>
      </sheetData>
      <sheetData sheetId="7903">
        <row r="4">
          <cell r="A4" t="str">
            <v>BẢNG TÍNH TOÁN, ĐO BÓC KHỐI LƯỢNG HOÀN THÀNH ĐƯA VÀO QUYẾT TOÁN</v>
          </cell>
        </row>
      </sheetData>
      <sheetData sheetId="7904">
        <row r="4">
          <cell r="A4" t="str">
            <v>BẢNG TÍNH TOÁN, ĐO BÓC KHỐI LƯỢNG HOÀN THÀNH ĐƯA VÀO QUYẾT TOÁN</v>
          </cell>
        </row>
      </sheetData>
      <sheetData sheetId="7905">
        <row r="4">
          <cell r="A4" t="str">
            <v>BẢNG TÍNH TOÁN, ĐO BÓC KHỐI LƯỢNG HOÀN THÀNH ĐƯA VÀO QUYẾT TOÁN</v>
          </cell>
        </row>
      </sheetData>
      <sheetData sheetId="7906">
        <row r="4">
          <cell r="A4" t="str">
            <v>BẢNG TÍNH TOÁN, ĐO BÓC KHỐI LƯỢNG HOÀN THÀNH ĐƯA VÀO QUYẾT TOÁN</v>
          </cell>
        </row>
      </sheetData>
      <sheetData sheetId="7907">
        <row r="4">
          <cell r="A4" t="str">
            <v>BẢNG TÍNH TOÁN, ĐO BÓC KHỐI LƯỢNG HOÀN THÀNH ĐƯA VÀO QUYẾT TOÁN</v>
          </cell>
        </row>
      </sheetData>
      <sheetData sheetId="7908">
        <row r="4">
          <cell r="A4" t="str">
            <v>BẢNG TÍNH TOÁN, ĐO BÓC KHỐI LƯỢNG HOÀN THÀNH ĐƯA VÀO QUYẾT TOÁN</v>
          </cell>
        </row>
      </sheetData>
      <sheetData sheetId="7909">
        <row r="4">
          <cell r="A4" t="str">
            <v>BẢNG TÍNH TOÁN, ĐO BÓC KHỐI LƯỢNG HOÀN THÀNH ĐƯA VÀO QUYẾT TOÁN</v>
          </cell>
        </row>
      </sheetData>
      <sheetData sheetId="7910">
        <row r="4">
          <cell r="A4" t="str">
            <v>BẢNG TÍNH TOÁN, ĐO BÓC KHỐI LƯỢNG HOÀN THÀNH ĐƯA VÀO QUYẾT TOÁN</v>
          </cell>
        </row>
      </sheetData>
      <sheetData sheetId="7911">
        <row r="4">
          <cell r="A4" t="str">
            <v>BẢNG TÍNH TOÁN, ĐO BÓC KHỐI LƯỢNG HOÀN THÀNH ĐƯA VÀO QUYẾT TOÁN</v>
          </cell>
        </row>
      </sheetData>
      <sheetData sheetId="7912">
        <row r="4">
          <cell r="A4" t="str">
            <v>BẢNG TÍNH TOÁN, ĐO BÓC KHỐI LƯỢNG HOÀN THÀNH ĐƯA VÀO QUYẾT TOÁN</v>
          </cell>
        </row>
      </sheetData>
      <sheetData sheetId="7913">
        <row r="4">
          <cell r="A4" t="str">
            <v>BẢNG TÍNH TOÁN, ĐO BÓC KHỐI LƯỢNG HOÀN THÀNH ĐƯA VÀO QUYẾT TOÁN</v>
          </cell>
        </row>
      </sheetData>
      <sheetData sheetId="7914">
        <row r="4">
          <cell r="A4" t="str">
            <v>BẢNG TÍNH TOÁN, ĐO BÓC KHỐI LƯỢNG HOÀN THÀNH ĐƯA VÀO QUYẾT TOÁN</v>
          </cell>
        </row>
      </sheetData>
      <sheetData sheetId="7915">
        <row r="4">
          <cell r="A4" t="str">
            <v>BẢNG TÍNH TOÁN, ĐO BÓC KHỐI LƯỢNG HOÀN THÀNH ĐƯA VÀO QUYẾT TOÁN</v>
          </cell>
        </row>
      </sheetData>
      <sheetData sheetId="7916">
        <row r="4">
          <cell r="A4" t="str">
            <v>BẢNG TÍNH TOÁN, ĐO BÓC KHỐI LƯỢNG HOÀN THÀNH ĐƯA VÀO QUYẾT TOÁN</v>
          </cell>
        </row>
      </sheetData>
      <sheetData sheetId="7917">
        <row r="4">
          <cell r="A4" t="str">
            <v>BẢNG TÍNH TOÁN, ĐO BÓC KHỐI LƯỢNG HOÀN THÀNH ĐƯA VÀO QUYẾT TOÁN</v>
          </cell>
        </row>
      </sheetData>
      <sheetData sheetId="7918">
        <row r="4">
          <cell r="A4" t="str">
            <v>BẢNG TÍNH TOÁN, ĐO BÓC KHỐI LƯỢNG HOÀN THÀNH ĐƯA VÀO QUYẾT TOÁN</v>
          </cell>
        </row>
      </sheetData>
      <sheetData sheetId="7919">
        <row r="4">
          <cell r="A4" t="str">
            <v>BẢNG TÍNH TOÁN, ĐO BÓC KHỐI LƯỢNG HOÀN THÀNH ĐƯA VÀO QUYẾT TOÁN</v>
          </cell>
        </row>
      </sheetData>
      <sheetData sheetId="7920">
        <row r="4">
          <cell r="A4" t="str">
            <v>BẢNG TÍNH TOÁN, ĐO BÓC KHỐI LƯỢNG HOÀN THÀNH ĐƯA VÀO QUYẾT TOÁN</v>
          </cell>
        </row>
      </sheetData>
      <sheetData sheetId="7921">
        <row r="4">
          <cell r="A4" t="str">
            <v>BẢNG TÍNH TOÁN, ĐO BÓC KHỐI LƯỢNG HOÀN THÀNH ĐƯA VÀO QUYẾT TOÁN</v>
          </cell>
        </row>
      </sheetData>
      <sheetData sheetId="7922">
        <row r="4">
          <cell r="A4" t="str">
            <v>BẢNG TÍNH TOÁN, ĐO BÓC KHỐI LƯỢNG HOÀN THÀNH ĐƯA VÀO QUYẾT TOÁN</v>
          </cell>
        </row>
      </sheetData>
      <sheetData sheetId="7923">
        <row r="4">
          <cell r="A4" t="str">
            <v>BẢNG TÍNH TOÁN, ĐO BÓC KHỐI LƯỢNG HOÀN THÀNH ĐƯA VÀO QUYẾT TOÁN</v>
          </cell>
        </row>
      </sheetData>
      <sheetData sheetId="7924">
        <row r="4">
          <cell r="A4" t="str">
            <v>BẢNG TÍNH TOÁN, ĐO BÓC KHỐI LƯỢNG HOÀN THÀNH ĐƯA VÀO QUYẾT TOÁN</v>
          </cell>
        </row>
      </sheetData>
      <sheetData sheetId="7925">
        <row r="4">
          <cell r="A4" t="str">
            <v>BẢNG TÍNH TOÁN, ĐO BÓC KHỐI LƯỢNG HOÀN THÀNH ĐƯA VÀO QUYẾT TOÁN</v>
          </cell>
        </row>
      </sheetData>
      <sheetData sheetId="7926">
        <row r="4">
          <cell r="A4" t="str">
            <v>BẢNG TÍNH TOÁN, ĐO BÓC KHỐI LƯỢNG HOÀN THÀNH ĐƯA VÀO QUYẾT TOÁN</v>
          </cell>
        </row>
      </sheetData>
      <sheetData sheetId="7927">
        <row r="4">
          <cell r="A4" t="str">
            <v>BẢNG TÍNH TOÁN, ĐO BÓC KHỐI LƯỢNG HOÀN THÀNH ĐƯA VÀO QUYẾT TOÁN</v>
          </cell>
        </row>
      </sheetData>
      <sheetData sheetId="7928">
        <row r="4">
          <cell r="A4" t="str">
            <v>BẢNG TÍNH TOÁN, ĐO BÓC KHỐI LƯỢNG HOÀN THÀNH ĐƯA VÀO QUYẾT TOÁN</v>
          </cell>
        </row>
      </sheetData>
      <sheetData sheetId="7929">
        <row r="4">
          <cell r="A4" t="str">
            <v>BẢNG TÍNH TOÁN, ĐO BÓC KHỐI LƯỢNG HOÀN THÀNH ĐƯA VÀO QUYẾT TOÁN</v>
          </cell>
        </row>
      </sheetData>
      <sheetData sheetId="7930">
        <row r="4">
          <cell r="A4" t="str">
            <v>BẢNG TÍNH TOÁN, ĐO BÓC KHỐI LƯỢNG HOÀN THÀNH ĐƯA VÀO QUYẾT TOÁN</v>
          </cell>
        </row>
      </sheetData>
      <sheetData sheetId="7931">
        <row r="4">
          <cell r="A4" t="str">
            <v>BẢNG TÍNH TOÁN, ĐO BÓC KHỐI LƯỢNG HOÀN THÀNH ĐƯA VÀO QUYẾT TOÁN</v>
          </cell>
        </row>
      </sheetData>
      <sheetData sheetId="7932">
        <row r="4">
          <cell r="A4" t="str">
            <v>BẢNG TÍNH TOÁN, ĐO BÓC KHỐI LƯỢNG HOÀN THÀNH ĐƯA VÀO QUYẾT TOÁN</v>
          </cell>
        </row>
      </sheetData>
      <sheetData sheetId="7933">
        <row r="4">
          <cell r="A4" t="str">
            <v>BẢNG TÍNH TOÁN, ĐO BÓC KHỐI LƯỢNG HOÀN THÀNH ĐƯA VÀO QUYẾT TOÁN</v>
          </cell>
        </row>
      </sheetData>
      <sheetData sheetId="7934">
        <row r="4">
          <cell r="A4" t="str">
            <v>BẢNG TÍNH TOÁN, ĐO BÓC KHỐI LƯỢNG HOÀN THÀNH ĐƯA VÀO QUYẾT TOÁN</v>
          </cell>
        </row>
      </sheetData>
      <sheetData sheetId="7935">
        <row r="4">
          <cell r="A4" t="str">
            <v>BẢNG TÍNH TOÁN, ĐO BÓC KHỐI LƯỢNG HOÀN THÀNH ĐƯA VÀO QUYẾT TOÁN</v>
          </cell>
        </row>
      </sheetData>
      <sheetData sheetId="7936">
        <row r="4">
          <cell r="A4" t="str">
            <v>BẢNG TÍNH TOÁN, ĐO BÓC KHỐI LƯỢNG HOÀN THÀNH ĐƯA VÀO QUYẾT TOÁN</v>
          </cell>
        </row>
      </sheetData>
      <sheetData sheetId="7937">
        <row r="4">
          <cell r="A4" t="str">
            <v>BẢNG TÍNH TOÁN, ĐO BÓC KHỐI LƯỢNG HOÀN THÀNH ĐƯA VÀO QUYẾT TOÁN</v>
          </cell>
        </row>
      </sheetData>
      <sheetData sheetId="7938">
        <row r="4">
          <cell r="A4" t="str">
            <v>BẢNG TÍNH TOÁN, ĐO BÓC KHỐI LƯỢNG HOÀN THÀNH ĐƯA VÀO QUYẾT TOÁN</v>
          </cell>
        </row>
      </sheetData>
      <sheetData sheetId="7939">
        <row r="4">
          <cell r="A4" t="str">
            <v>BẢNG TÍNH TOÁN, ĐO BÓC KHỐI LƯỢNG HOÀN THÀNH ĐƯA VÀO QUYẾT TOÁN</v>
          </cell>
        </row>
      </sheetData>
      <sheetData sheetId="7940">
        <row r="4">
          <cell r="A4" t="str">
            <v>BẢNG TÍNH TOÁN, ĐO BÓC KHỐI LƯỢNG HOÀN THÀNH ĐƯA VÀO QUYẾT TOÁN</v>
          </cell>
        </row>
      </sheetData>
      <sheetData sheetId="7941">
        <row r="4">
          <cell r="A4" t="str">
            <v>BẢNG TÍNH TOÁN, ĐO BÓC KHỐI LƯỢNG HOÀN THÀNH ĐƯA VÀO QUYẾT TOÁN</v>
          </cell>
        </row>
      </sheetData>
      <sheetData sheetId="7942">
        <row r="4">
          <cell r="A4" t="str">
            <v>BẢNG TÍNH TOÁN, ĐO BÓC KHỐI LƯỢNG HOÀN THÀNH ĐƯA VÀO QUYẾT TOÁN</v>
          </cell>
        </row>
      </sheetData>
      <sheetData sheetId="7943">
        <row r="4">
          <cell r="A4" t="str">
            <v>BẢNG TÍNH TOÁN, ĐO BÓC KHỐI LƯỢNG HOÀN THÀNH ĐƯA VÀO QUYẾT TOÁN</v>
          </cell>
        </row>
      </sheetData>
      <sheetData sheetId="7944">
        <row r="4">
          <cell r="A4" t="str">
            <v>BẢNG TÍNH TOÁN, ĐO BÓC KHỐI LƯỢNG HOÀN THÀNH ĐƯA VÀO QUYẾT TOÁN</v>
          </cell>
        </row>
      </sheetData>
      <sheetData sheetId="7945">
        <row r="4">
          <cell r="A4" t="str">
            <v>BẢNG TÍNH TOÁN, ĐO BÓC KHỐI LƯỢNG HOÀN THÀNH ĐƯA VÀO QUYẾT TOÁN</v>
          </cell>
        </row>
      </sheetData>
      <sheetData sheetId="7946">
        <row r="4">
          <cell r="A4" t="str">
            <v>BẢNG TÍNH TOÁN, ĐO BÓC KHỐI LƯỢNG HOÀN THÀNH ĐƯA VÀO QUYẾT TOÁN</v>
          </cell>
        </row>
      </sheetData>
      <sheetData sheetId="7947">
        <row r="4">
          <cell r="A4" t="str">
            <v>BẢNG TÍNH TOÁN, ĐO BÓC KHỐI LƯỢNG HOÀN THÀNH ĐƯA VÀO QUYẾT TOÁN</v>
          </cell>
        </row>
      </sheetData>
      <sheetData sheetId="7948">
        <row r="4">
          <cell r="A4" t="str">
            <v>BẢNG TÍNH TOÁN, ĐO BÓC KHỐI LƯỢNG HOÀN THÀNH ĐƯA VÀO QUYẾT TOÁN</v>
          </cell>
        </row>
      </sheetData>
      <sheetData sheetId="7949">
        <row r="4">
          <cell r="A4" t="str">
            <v>BẢNG TÍNH TOÁN, ĐO BÓC KHỐI LƯỢNG HOÀN THÀNH ĐƯA VÀO QUYẾT TOÁN</v>
          </cell>
        </row>
      </sheetData>
      <sheetData sheetId="7950">
        <row r="4">
          <cell r="A4" t="str">
            <v>BẢNG TÍNH TOÁN, ĐO BÓC KHỐI LƯỢNG HOÀN THÀNH ĐƯA VÀO QUYẾT TOÁN</v>
          </cell>
        </row>
      </sheetData>
      <sheetData sheetId="7951">
        <row r="4">
          <cell r="A4" t="str">
            <v>BẢNG TÍNH TOÁN, ĐO BÓC KHỐI LƯỢNG HOÀN THÀNH ĐƯA VÀO QUYẾT TOÁN</v>
          </cell>
        </row>
      </sheetData>
      <sheetData sheetId="7952">
        <row r="4">
          <cell r="A4" t="str">
            <v>BẢNG TÍNH TOÁN, ĐO BÓC KHỐI LƯỢNG HOÀN THÀNH ĐƯA VÀO QUYẾT TOÁN</v>
          </cell>
        </row>
      </sheetData>
      <sheetData sheetId="7953">
        <row r="4">
          <cell r="A4" t="str">
            <v>BẢNG TÍNH TOÁN, ĐO BÓC KHỐI LƯỢNG HOÀN THÀNH ĐƯA VÀO QUYẾT TOÁN</v>
          </cell>
        </row>
      </sheetData>
      <sheetData sheetId="7954">
        <row r="4">
          <cell r="A4" t="str">
            <v>BẢNG TÍNH TOÁN, ĐO BÓC KHỐI LƯỢNG HOÀN THÀNH ĐƯA VÀO QUYẾT TOÁN</v>
          </cell>
        </row>
      </sheetData>
      <sheetData sheetId="7955">
        <row r="4">
          <cell r="A4" t="str">
            <v>BẢNG TÍNH TOÁN, ĐO BÓC KHỐI LƯỢNG HOÀN THÀNH ĐƯA VÀO QUYẾT TOÁN</v>
          </cell>
        </row>
      </sheetData>
      <sheetData sheetId="7956">
        <row r="4">
          <cell r="A4" t="str">
            <v>BẢNG TÍNH TOÁN, ĐO BÓC KHỐI LƯỢNG HOÀN THÀNH ĐƯA VÀO QUYẾT TOÁN</v>
          </cell>
        </row>
      </sheetData>
      <sheetData sheetId="7957">
        <row r="4">
          <cell r="A4" t="str">
            <v>BẢNG TÍNH TOÁN, ĐO BÓC KHỐI LƯỢNG HOÀN THÀNH ĐƯA VÀO QUYẾT TOÁN</v>
          </cell>
        </row>
      </sheetData>
      <sheetData sheetId="7958">
        <row r="4">
          <cell r="A4" t="str">
            <v>BẢNG TÍNH TOÁN, ĐO BÓC KHỐI LƯỢNG HOÀN THÀNH ĐƯA VÀO QUYẾT TOÁN</v>
          </cell>
        </row>
      </sheetData>
      <sheetData sheetId="7959">
        <row r="4">
          <cell r="A4" t="str">
            <v>BẢNG TÍNH TOÁN, ĐO BÓC KHỐI LƯỢNG HOÀN THÀNH ĐƯA VÀO QUYẾT TOÁN</v>
          </cell>
        </row>
      </sheetData>
      <sheetData sheetId="7960">
        <row r="4">
          <cell r="A4" t="str">
            <v>BẢNG TÍNH TOÁN, ĐO BÓC KHỐI LƯỢNG HOÀN THÀNH ĐƯA VÀO QUYẾT TOÁN</v>
          </cell>
        </row>
      </sheetData>
      <sheetData sheetId="7961">
        <row r="4">
          <cell r="A4" t="str">
            <v>BẢNG TÍNH TOÁN, ĐO BÓC KHỐI LƯỢNG HOÀN THÀNH ĐƯA VÀO QUYẾT TOÁN</v>
          </cell>
        </row>
      </sheetData>
      <sheetData sheetId="7962">
        <row r="4">
          <cell r="A4" t="str">
            <v>BẢNG TÍNH TOÁN, ĐO BÓC KHỐI LƯỢNG HOÀN THÀNH ĐƯA VÀO QUYẾT TOÁN</v>
          </cell>
        </row>
      </sheetData>
      <sheetData sheetId="7963">
        <row r="4">
          <cell r="A4" t="str">
            <v>BẢNG TÍNH TOÁN, ĐO BÓC KHỐI LƯỢNG HOÀN THÀNH ĐƯA VÀO QUYẾT TOÁN</v>
          </cell>
        </row>
      </sheetData>
      <sheetData sheetId="7964">
        <row r="4">
          <cell r="A4" t="str">
            <v>BẢNG TÍNH TOÁN, ĐO BÓC KHỐI LƯỢNG HOÀN THÀNH ĐƯA VÀO QUYẾT TOÁN</v>
          </cell>
        </row>
      </sheetData>
      <sheetData sheetId="7965">
        <row r="4">
          <cell r="A4" t="str">
            <v>BẢNG TÍNH TOÁN, ĐO BÓC KHỐI LƯỢNG HOÀN THÀNH ĐƯA VÀO QUYẾT TOÁN</v>
          </cell>
        </row>
      </sheetData>
      <sheetData sheetId="7966">
        <row r="4">
          <cell r="A4" t="str">
            <v>BẢNG TÍNH TOÁN, ĐO BÓC KHỐI LƯỢNG HOÀN THÀNH ĐƯA VÀO QUYẾT TOÁN</v>
          </cell>
        </row>
      </sheetData>
      <sheetData sheetId="7967">
        <row r="4">
          <cell r="A4" t="str">
            <v>BẢNG TÍNH TOÁN, ĐO BÓC KHỐI LƯỢNG HOÀN THÀNH ĐƯA VÀO QUYẾT TOÁN</v>
          </cell>
        </row>
      </sheetData>
      <sheetData sheetId="7968">
        <row r="4">
          <cell r="A4" t="str">
            <v>BẢNG TÍNH TOÁN, ĐO BÓC KHỐI LƯỢNG HOÀN THÀNH ĐƯA VÀO QUYẾT TOÁN</v>
          </cell>
        </row>
      </sheetData>
      <sheetData sheetId="7969">
        <row r="4">
          <cell r="A4" t="str">
            <v>BẢNG TÍNH TOÁN, ĐO BÓC KHỐI LƯỢNG HOÀN THÀNH ĐƯA VÀO QUYẾT TOÁN</v>
          </cell>
        </row>
      </sheetData>
      <sheetData sheetId="7970">
        <row r="4">
          <cell r="A4" t="str">
            <v>BẢNG TÍNH TOÁN, ĐO BÓC KHỐI LƯỢNG HOÀN THÀNH ĐƯA VÀO QUYẾT TOÁN</v>
          </cell>
        </row>
      </sheetData>
      <sheetData sheetId="7971">
        <row r="4">
          <cell r="A4" t="str">
            <v>BẢNG TÍNH TOÁN, ĐO BÓC KHỐI LƯỢNG HOÀN THÀNH ĐƯA VÀO QUYẾT TOÁN</v>
          </cell>
        </row>
      </sheetData>
      <sheetData sheetId="7972">
        <row r="4">
          <cell r="A4" t="str">
            <v>BẢNG TÍNH TOÁN, ĐO BÓC KHỐI LƯỢNG HOÀN THÀNH ĐƯA VÀO QUYẾT TOÁN</v>
          </cell>
        </row>
      </sheetData>
      <sheetData sheetId="7973">
        <row r="4">
          <cell r="A4" t="str">
            <v>BẢNG TÍNH TOÁN, ĐO BÓC KHỐI LƯỢNG HOÀN THÀNH ĐƯA VÀO QUYẾT TOÁN</v>
          </cell>
        </row>
      </sheetData>
      <sheetData sheetId="7974">
        <row r="4">
          <cell r="A4" t="str">
            <v>BẢNG TÍNH TOÁN, ĐO BÓC KHỐI LƯỢNG HOÀN THÀNH ĐƯA VÀO QUYẾT TOÁN</v>
          </cell>
        </row>
      </sheetData>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ow r="4">
          <cell r="A4" t="str">
            <v>BẢNG TÍNH TOÁN, ĐO BÓC KHỐI LƯỢNG HOÀN THÀNH ĐƯA VÀO QUYẾT TOÁN</v>
          </cell>
        </row>
      </sheetData>
      <sheetData sheetId="8137">
        <row r="4">
          <cell r="A4" t="str">
            <v>BẢNG TÍNH TOÁN, ĐO BÓC KHỐI LƯỢNG HOÀN THÀNH ĐƯA VÀO QUYẾT TOÁN</v>
          </cell>
        </row>
      </sheetData>
      <sheetData sheetId="8138">
        <row r="4">
          <cell r="A4" t="str">
            <v>BẢNG TÍNH TOÁN, ĐO BÓC KHỐI LƯỢNG HOÀN THÀNH ĐƯA VÀO QUYẾT TOÁN</v>
          </cell>
        </row>
      </sheetData>
      <sheetData sheetId="8139">
        <row r="4">
          <cell r="A4" t="str">
            <v>BẢNG TÍNH TOÁN, ĐO BÓC KHỐI LƯỢNG HOÀN THÀNH ĐƯA VÀO QUYẾT TOÁN</v>
          </cell>
        </row>
      </sheetData>
      <sheetData sheetId="8140">
        <row r="4">
          <cell r="A4" t="str">
            <v>BẢNG TÍNH TOÁN, ĐO BÓC KHỐI LƯỢNG HOÀN THÀNH ĐƯA VÀO QUYẾT TOÁN</v>
          </cell>
        </row>
      </sheetData>
      <sheetData sheetId="8141">
        <row r="4">
          <cell r="A4" t="str">
            <v>BẢNG TÍNH TOÁN, ĐO BÓC KHỐI LƯỢNG HOÀN THÀNH ĐƯA VÀO QUYẾT TOÁN</v>
          </cell>
        </row>
      </sheetData>
      <sheetData sheetId="8142">
        <row r="4">
          <cell r="A4" t="str">
            <v>BẢNG TÍNH TOÁN, ĐO BÓC KHỐI LƯỢNG HOÀN THÀNH ĐƯA VÀO QUYẾT TOÁN</v>
          </cell>
        </row>
      </sheetData>
      <sheetData sheetId="8143">
        <row r="4">
          <cell r="A4" t="str">
            <v>BẢNG TÍNH TOÁN, ĐO BÓC KHỐI LƯỢNG HOÀN THÀNH ĐƯA VÀO QUYẾT TOÁN</v>
          </cell>
        </row>
      </sheetData>
      <sheetData sheetId="8144">
        <row r="4">
          <cell r="A4" t="str">
            <v>BẢNG TÍNH TOÁN, ĐO BÓC KHỐI LƯỢNG HOÀN THÀNH ĐƯA VÀO QUYẾT TOÁN</v>
          </cell>
        </row>
      </sheetData>
      <sheetData sheetId="8145">
        <row r="4">
          <cell r="A4" t="str">
            <v>BẢNG TÍNH TOÁN, ĐO BÓC KHỐI LƯỢNG HOÀN THÀNH ĐƯA VÀO QUYẾT TOÁN</v>
          </cell>
        </row>
      </sheetData>
      <sheetData sheetId="8146">
        <row r="4">
          <cell r="A4" t="str">
            <v>BẢNG TÍNH TOÁN, ĐO BÓC KHỐI LƯỢNG HOÀN THÀNH ĐƯA VÀO QUYẾT TOÁN</v>
          </cell>
        </row>
      </sheetData>
      <sheetData sheetId="8147">
        <row r="4">
          <cell r="A4" t="str">
            <v>BẢNG TÍNH TOÁN, ĐO BÓC KHỐI LƯỢNG HOÀN THÀNH ĐƯA VÀO QUYẾT TOÁN</v>
          </cell>
        </row>
      </sheetData>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ow r="9">
          <cell r="A9" t="str">
            <v>A</v>
          </cell>
        </row>
      </sheetData>
      <sheetData sheetId="8197">
        <row r="4">
          <cell r="A4" t="str">
            <v>BẢNG TÍNH TOÁN, ĐO BÓC KHỐI LƯỢNG HOÀN THÀNH ĐƯA VÀO QUYẾT TOÁN</v>
          </cell>
        </row>
      </sheetData>
      <sheetData sheetId="8198">
        <row r="4">
          <cell r="A4" t="str">
            <v>BẢNG TÍNH TOÁN, ĐO BÓC KHỐI LƯỢNG HOÀN THÀNH ĐƯA VÀO QUYẾT TOÁN</v>
          </cell>
        </row>
      </sheetData>
      <sheetData sheetId="8199">
        <row r="4">
          <cell r="A4" t="str">
            <v>BẢNG TÍNH TOÁN, ĐO BÓC KHỐI LƯỢNG HOÀN THÀNH ĐƯA VÀO QUYẾT TOÁN</v>
          </cell>
        </row>
      </sheetData>
      <sheetData sheetId="8200">
        <row r="9">
          <cell r="A9" t="str">
            <v>A</v>
          </cell>
        </row>
      </sheetData>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ow r="4">
          <cell r="A4" t="str">
            <v>BẢNG TÍNH TOÁN, ĐO BÓC KHỐI LƯỢNG HOÀN THÀNH ĐƯA VÀO QUYẾT TOÁN</v>
          </cell>
        </row>
      </sheetData>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sheetData sheetId="8286"/>
      <sheetData sheetId="8287">
        <row r="4">
          <cell r="A4" t="str">
            <v>BẢNG TÍNH TOÁN, ĐO BÓC KHỐI LƯỢNG HOÀN THÀNH ĐƯA VÀO QUYẾT TOÁN</v>
          </cell>
        </row>
      </sheetData>
      <sheetData sheetId="8288">
        <row r="4">
          <cell r="A4" t="str">
            <v>BẢNG TÍNH TOÁN, ĐO BÓC KHỐI LƯỢNG HOÀN THÀNH ĐƯA VÀO QUYẾT TOÁN</v>
          </cell>
        </row>
      </sheetData>
      <sheetData sheetId="8289">
        <row r="4">
          <cell r="A4" t="str">
            <v>BẢNG TÍNH TOÁN, ĐO BÓC KHỐI LƯỢNG HOÀN THÀNH ĐƯA VÀO QUYẾT TOÁN</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efreshError="1"/>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sheetData sheetId="8305"/>
      <sheetData sheetId="8306"/>
      <sheetData sheetId="8307"/>
      <sheetData sheetId="8308"/>
      <sheetData sheetId="8309"/>
      <sheetData sheetId="8310"/>
      <sheetData sheetId="8311"/>
      <sheetData sheetId="8312">
        <row r="4">
          <cell r="A4" t="str">
            <v>BẢNG TÍNH TOÁN, ĐO BÓC KHỐI LƯỢNG HOÀN THÀNH ĐƯA VÀO QUYẾT TOÁN</v>
          </cell>
        </row>
      </sheetData>
      <sheetData sheetId="8313">
        <row r="4">
          <cell r="A4" t="str">
            <v>BẢNG TÍNH TOÁN, ĐO BÓC KHỐI LƯỢNG HOÀN THÀNH ĐƯA VÀO QUYẾT TOÁN</v>
          </cell>
        </row>
      </sheetData>
      <sheetData sheetId="8314">
        <row r="4">
          <cell r="A4" t="str">
            <v>BẢNG TÍNH TOÁN, ĐO BÓC KHỐI LƯỢNG HOÀN THÀNH ĐƯA VÀO QUYẾT TOÁN</v>
          </cell>
        </row>
      </sheetData>
      <sheetData sheetId="8315">
        <row r="4">
          <cell r="A4" t="str">
            <v>BẢNG TÍNH TOÁN, ĐO BÓC KHỐI LƯỢNG HOÀN THÀNH ĐƯA VÀO QUYẾT TOÁN</v>
          </cell>
        </row>
      </sheetData>
      <sheetData sheetId="8316">
        <row r="4">
          <cell r="A4" t="str">
            <v>BẢNG TÍNH TOÁN, ĐO BÓC KHỐI LƯỢNG HOÀN THÀNH ĐƯA VÀO QUYẾT TOÁN</v>
          </cell>
        </row>
      </sheetData>
      <sheetData sheetId="8317">
        <row r="4">
          <cell r="A4" t="str">
            <v>BẢNG TÍNH TOÁN, ĐO BÓC KHỐI LƯỢNG HOÀN THÀNH ĐƯA VÀO QUYẾT TOÁN</v>
          </cell>
        </row>
      </sheetData>
      <sheetData sheetId="8318">
        <row r="4">
          <cell r="A4" t="str">
            <v>BẢNG TÍNH TOÁN, ĐO BÓC KHỐI LƯỢNG HOÀN THÀNH ĐƯA VÀO QUYẾT TOÁN</v>
          </cell>
        </row>
      </sheetData>
      <sheetData sheetId="8319">
        <row r="4">
          <cell r="A4" t="str">
            <v>BẢNG TÍNH TOÁN, ĐO BÓC KHỐI LƯỢNG HOÀN THÀNH ĐƯA VÀO QUYẾT TOÁN</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4">
          <cell r="A4" t="str">
            <v>BẢNG TÍNH TOÁN, ĐO BÓC KHỐI LƯỢNG HOÀN THÀNH ĐƯA VÀO QUYẾT TOÁN</v>
          </cell>
        </row>
      </sheetData>
      <sheetData sheetId="8324">
        <row r="4">
          <cell r="A4" t="str">
            <v>BẢNG TÍNH TOÁN, ĐO BÓC KHỐI LƯỢNG HOÀN THÀNH ĐƯA VÀO QUYẾT TOÁN</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4">
          <cell r="A4" t="str">
            <v>BẢNG TÍNH TOÁN, ĐO BÓC KHỐI LƯỢNG HOÀN THÀNH ĐƯA VÀO QUYẾT TOÁN</v>
          </cell>
        </row>
      </sheetData>
      <sheetData sheetId="8329">
        <row r="4">
          <cell r="A4" t="str">
            <v>BẢNG TÍNH TOÁN, ĐO BÓC KHỐI LƯỢNG HOÀN THÀNH ĐƯA VÀO QUYẾT TOÁN</v>
          </cell>
        </row>
      </sheetData>
      <sheetData sheetId="8330">
        <row r="4">
          <cell r="A4" t="str">
            <v>BẢNG TÍNH TOÁN, ĐO BÓC KHỐI LƯỢNG HOÀN THÀNH ĐƯA VÀO QUYẾT TOÁN</v>
          </cell>
        </row>
      </sheetData>
      <sheetData sheetId="8331">
        <row r="4">
          <cell r="A4" t="str">
            <v>BẢNG TÍNH TOÁN, ĐO BÓC KHỐI LƯỢNG HOÀN THÀNH ĐƯA VÀO QUYẾT TOÁN</v>
          </cell>
        </row>
      </sheetData>
      <sheetData sheetId="8332">
        <row r="4">
          <cell r="A4" t="str">
            <v>BẢNG TÍNH TOÁN, ĐO BÓC KHỐI LƯỢNG HOÀN THÀNH ĐƯA VÀO QUYẾT TOÁN</v>
          </cell>
        </row>
      </sheetData>
      <sheetData sheetId="8333">
        <row r="4">
          <cell r="A4" t="str">
            <v>BẢNG TÍNH TOÁN, ĐO BÓC KHỐI LƯỢNG HOÀN THÀNH ĐƯA VÀO QUYẾT TOÁN</v>
          </cell>
        </row>
      </sheetData>
      <sheetData sheetId="8334">
        <row r="4">
          <cell r="A4" t="str">
            <v>BẢNG TÍNH TOÁN, ĐO BÓC KHỐI LƯỢNG HOÀN THÀNH ĐƯA VÀO QUYẾT TOÁN</v>
          </cell>
        </row>
      </sheetData>
      <sheetData sheetId="8335">
        <row r="4">
          <cell r="A4" t="str">
            <v>BẢNG TÍNH TOÁN, ĐO BÓC KHỐI LƯỢNG HOÀN THÀNH ĐƯA VÀO QUYẾT TOÁN</v>
          </cell>
        </row>
      </sheetData>
      <sheetData sheetId="8336">
        <row r="4">
          <cell r="A4" t="str">
            <v>BẢNG TÍNH TOÁN, ĐO BÓC KHỐI LƯỢNG HOÀN THÀNH ĐƯA VÀO QUYẾT TOÁN</v>
          </cell>
        </row>
      </sheetData>
      <sheetData sheetId="8337">
        <row r="4">
          <cell r="A4" t="str">
            <v>BẢNG TÍNH TOÁN, ĐO BÓC KHỐI LƯỢNG HOÀN THÀNH ĐƯA VÀO QUYẾT TOÁN</v>
          </cell>
        </row>
      </sheetData>
      <sheetData sheetId="8338">
        <row r="4">
          <cell r="A4" t="str">
            <v>BẢNG TÍNH TOÁN, ĐO BÓC KHỐI LƯỢNG HOÀN THÀNH ĐƯA VÀO QUYẾT TOÁN</v>
          </cell>
        </row>
      </sheetData>
      <sheetData sheetId="8339">
        <row r="4">
          <cell r="A4" t="str">
            <v>BẢNG TÍNH TOÁN, ĐO BÓC KHỐI LƯỢNG HOÀN THÀNH ĐƯA VÀO QUYẾT TOÁN</v>
          </cell>
        </row>
      </sheetData>
      <sheetData sheetId="8340">
        <row r="4">
          <cell r="A4" t="str">
            <v>BẢNG TÍNH TOÁN, ĐO BÓC KHỐI LƯỢNG HOÀN THÀNH ĐƯA VÀO QUYẾT TOÁN</v>
          </cell>
        </row>
      </sheetData>
      <sheetData sheetId="8341">
        <row r="4">
          <cell r="A4" t="str">
            <v>BẢNG TÍNH TOÁN, ĐO BÓC KHỐI LƯỢNG HOÀN THÀNH ĐƯA VÀO QUYẾT TOÁN</v>
          </cell>
        </row>
      </sheetData>
      <sheetData sheetId="8342">
        <row r="4">
          <cell r="A4" t="str">
            <v>BẢNG TÍNH TOÁN, ĐO BÓC KHỐI LƯỢNG HOÀN THÀNH ĐƯA VÀO QUYẾT TOÁN</v>
          </cell>
        </row>
      </sheetData>
      <sheetData sheetId="8343">
        <row r="4">
          <cell r="A4" t="str">
            <v>BẢNG TÍNH TOÁN, ĐO BÓC KHỐI LƯỢNG HOÀN THÀNH ĐƯA VÀO QUYẾT TOÁN</v>
          </cell>
        </row>
      </sheetData>
      <sheetData sheetId="8344">
        <row r="4">
          <cell r="A4" t="str">
            <v>BẢNG TÍNH TOÁN, ĐO BÓC KHỐI LƯỢNG HOÀN THÀNH ĐƯA VÀO QUYẾT TOÁN</v>
          </cell>
        </row>
      </sheetData>
      <sheetData sheetId="8345">
        <row r="4">
          <cell r="A4" t="str">
            <v>BẢNG TÍNH TOÁN, ĐO BÓC KHỐI LƯỢNG HOÀN THÀNH ĐƯA VÀO QUYẾT TOÁN</v>
          </cell>
        </row>
      </sheetData>
      <sheetData sheetId="8346">
        <row r="4">
          <cell r="A4" t="str">
            <v>BẢNG TÍNH TOÁN, ĐO BÓC KHỐI LƯỢNG HOÀN THÀNH ĐƯA VÀO QUYẾT TOÁN</v>
          </cell>
        </row>
      </sheetData>
      <sheetData sheetId="8347">
        <row r="4">
          <cell r="A4" t="str">
            <v>BẢNG TÍNH TOÁN, ĐO BÓC KHỐI LƯỢNG HOÀN THÀNH ĐƯA VÀO QUYẾT TOÁN</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4">
          <cell r="A4" t="str">
            <v>BẢNG TÍNH TOÁN, ĐO BÓC KHỐI LƯỢNG HOÀN THÀNH ĐƯA VÀO QUYẾT TOÁN</v>
          </cell>
        </row>
      </sheetData>
      <sheetData sheetId="8351">
        <row r="4">
          <cell r="A4" t="str">
            <v>BẢNG TÍNH TOÁN, ĐO BÓC KHỐI LƯỢNG HOÀN THÀNH ĐƯA VÀO QUYẾT TOÁN</v>
          </cell>
        </row>
      </sheetData>
      <sheetData sheetId="8352">
        <row r="4">
          <cell r="A4" t="str">
            <v>BẢNG TÍNH TOÁN, ĐO BÓC KHỐI LƯỢNG HOÀN THÀNH ĐƯA VÀO QUYẾT TOÁN</v>
          </cell>
        </row>
      </sheetData>
      <sheetData sheetId="8353">
        <row r="4">
          <cell r="A4" t="str">
            <v>BẢNG TÍNH TOÁN, ĐO BÓC KHỐI LƯỢNG HOÀN THÀNH ĐƯA VÀO QUYẾT TOÁN</v>
          </cell>
        </row>
      </sheetData>
      <sheetData sheetId="8354">
        <row r="4">
          <cell r="A4" t="str">
            <v>BẢNG TÍNH TOÁN, ĐO BÓC KHỐI LƯỢNG HOÀN THÀNH ĐƯA VÀO QUYẾT TOÁN</v>
          </cell>
        </row>
      </sheetData>
      <sheetData sheetId="8355">
        <row r="4">
          <cell r="A4" t="str">
            <v>BẢNG TÍNH TOÁN, ĐO BÓC KHỐI LƯỢNG HOÀN THÀNH ĐƯA VÀO QUYẾT TOÁN</v>
          </cell>
        </row>
      </sheetData>
      <sheetData sheetId="8356">
        <row r="4">
          <cell r="A4" t="str">
            <v>BẢNG TÍNH TOÁN, ĐO BÓC KHỐI LƯỢNG HOÀN THÀNH ĐƯA VÀO QUYẾT TOÁN</v>
          </cell>
        </row>
      </sheetData>
      <sheetData sheetId="8357">
        <row r="4">
          <cell r="A4" t="str">
            <v>BẢNG TÍNH TOÁN, ĐO BÓC KHỐI LƯỢNG HOÀN THÀNH ĐƯA VÀO QUYẾT TOÁN</v>
          </cell>
        </row>
      </sheetData>
      <sheetData sheetId="8358">
        <row r="4">
          <cell r="A4" t="str">
            <v>BẢNG TÍNH TOÁN, ĐO BÓC KHỐI LƯỢNG HOÀN THÀNH ĐƯA VÀO QUYẾT TOÁN</v>
          </cell>
        </row>
      </sheetData>
      <sheetData sheetId="8359">
        <row r="4">
          <cell r="A4" t="str">
            <v>BẢNG TÍNH TOÁN, ĐO BÓC KHỐI LƯỢNG HOÀN THÀNH ĐƯA VÀO QUYẾT TOÁN</v>
          </cell>
        </row>
      </sheetData>
      <sheetData sheetId="8360">
        <row r="4">
          <cell r="A4" t="str">
            <v>BẢNG TÍNH TOÁN, ĐO BÓC KHỐI LƯỢNG HOÀN THÀNH ĐƯA VÀO QUYẾT TOÁN</v>
          </cell>
        </row>
      </sheetData>
      <sheetData sheetId="8361">
        <row r="4">
          <cell r="A4" t="str">
            <v>BẢNG TÍNH TOÁN, ĐO BÓC KHỐI LƯỢNG HOÀN THÀNH ĐƯA VÀO QUYẾT TOÁN</v>
          </cell>
        </row>
      </sheetData>
      <sheetData sheetId="8362">
        <row r="4">
          <cell r="A4" t="str">
            <v>BẢNG TÍNH TOÁN, ĐO BÓC KHỐI LƯỢNG HOÀN THÀNH ĐƯA VÀO QUYẾT TOÁN</v>
          </cell>
        </row>
      </sheetData>
      <sheetData sheetId="8363">
        <row r="4">
          <cell r="A4" t="str">
            <v>BẢNG TÍNH TOÁN, ĐO BÓC KHỐI LƯỢNG HOÀN THÀNH ĐƯA VÀO QUYẾT TOÁN</v>
          </cell>
        </row>
      </sheetData>
      <sheetData sheetId="8364">
        <row r="4">
          <cell r="A4" t="str">
            <v>BẢNG TÍNH TOÁN, ĐO BÓC KHỐI LƯỢNG HOÀN THÀNH ĐƯA VÀO QUYẾT TOÁN</v>
          </cell>
        </row>
      </sheetData>
      <sheetData sheetId="8365">
        <row r="4">
          <cell r="A4" t="str">
            <v>BẢNG TÍNH TOÁN, ĐO BÓC KHỐI LƯỢNG HOÀN THÀNH ĐƯA VÀO QUYẾT TOÁN</v>
          </cell>
        </row>
      </sheetData>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ow r="4">
          <cell r="A4" t="str">
            <v>BẢNG TÍNH TOÁN, ĐO BÓC KHỐI LƯỢNG HOÀN THÀNH ĐƯA VÀO QUYẾT TOÁN</v>
          </cell>
        </row>
      </sheetData>
      <sheetData sheetId="8377">
        <row r="4">
          <cell r="A4" t="str">
            <v>BẢNG TÍNH TOÁN, ĐO BÓC KHỐI LƯỢNG HOÀN THÀNH ĐƯA VÀO QUYẾT TOÁN</v>
          </cell>
        </row>
      </sheetData>
      <sheetData sheetId="8378">
        <row r="4">
          <cell r="A4" t="str">
            <v>BẢNG TÍNH TOÁN, ĐO BÓC KHỐI LƯỢNG HOÀN THÀNH ĐƯA VÀO QUYẾT TOÁN</v>
          </cell>
        </row>
      </sheetData>
      <sheetData sheetId="8379">
        <row r="4">
          <cell r="A4" t="str">
            <v>BẢNG TÍNH TOÁN, ĐO BÓC KHỐI LƯỢNG HOÀN THÀNH ĐƯA VÀO QUYẾT TOÁN</v>
          </cell>
        </row>
      </sheetData>
      <sheetData sheetId="8380">
        <row r="4">
          <cell r="A4" t="str">
            <v>BẢNG TÍNH TOÁN, ĐO BÓC KHỐI LƯỢNG HOÀN THÀNH ĐƯA VÀO QUYẾT TOÁN</v>
          </cell>
        </row>
      </sheetData>
      <sheetData sheetId="8381">
        <row r="4">
          <cell r="A4" t="str">
            <v>BẢNG TÍNH TOÁN, ĐO BÓC KHỐI LƯỢNG HOÀN THÀNH ĐƯA VÀO QUYẾT TOÁN</v>
          </cell>
        </row>
      </sheetData>
      <sheetData sheetId="8382">
        <row r="4">
          <cell r="A4" t="str">
            <v>BẢNG TÍNH TOÁN, ĐO BÓC KHỐI LƯỢNG HOÀN THÀNH ĐƯA VÀO QUYẾT TOÁN</v>
          </cell>
        </row>
      </sheetData>
      <sheetData sheetId="8383">
        <row r="4">
          <cell r="A4" t="str">
            <v>BẢNG TÍNH TOÁN, ĐO BÓC KHỐI LƯỢNG HOÀN THÀNH ĐƯA VÀO QUYẾT TOÁN</v>
          </cell>
        </row>
      </sheetData>
      <sheetData sheetId="8384">
        <row r="4">
          <cell r="A4" t="str">
            <v>BẢNG TÍNH TOÁN, ĐO BÓC KHỐI LƯỢNG HOÀN THÀNH ĐƯA VÀO QUYẾT TOÁN</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ow r="4">
          <cell r="A4" t="str">
            <v>BẢNG TÍNH TOÁN, ĐO BÓC KHỐI LƯỢNG HOÀN THÀNH ĐƯA VÀO QUYẾT TOÁN</v>
          </cell>
        </row>
      </sheetData>
      <sheetData sheetId="8391">
        <row r="4">
          <cell r="A4" t="str">
            <v>BẢNG TÍNH TOÁN, ĐO BÓC KHỐI LƯỢNG HOÀN THÀNH ĐƯA VÀO QUYẾT TOÁN</v>
          </cell>
        </row>
      </sheetData>
      <sheetData sheetId="8392">
        <row r="4">
          <cell r="A4" t="str">
            <v>BẢNG TÍNH TOÁN, ĐO BÓC KHỐI LƯỢNG HOÀN THÀNH ĐƯA VÀO QUYẾT TOÁN</v>
          </cell>
        </row>
      </sheetData>
      <sheetData sheetId="8393">
        <row r="4">
          <cell r="A4" t="str">
            <v>BẢNG TÍNH TOÁN, ĐO BÓC KHỐI LƯỢNG HOÀN THÀNH ĐƯA VÀO QUYẾT TOÁN</v>
          </cell>
        </row>
      </sheetData>
      <sheetData sheetId="8394">
        <row r="4">
          <cell r="A4" t="str">
            <v>BẢNG TÍNH TOÁN, ĐO BÓC KHỐI LƯỢNG HOÀN THÀNH ĐƯA VÀO QUYẾT TOÁN</v>
          </cell>
        </row>
      </sheetData>
      <sheetData sheetId="8395">
        <row r="4">
          <cell r="A4" t="str">
            <v>BẢNG TÍNH TOÁN, ĐO BÓC KHỐI LƯỢNG HOÀN THÀNH ĐƯA VÀO QUYẾT TOÁN</v>
          </cell>
        </row>
      </sheetData>
      <sheetData sheetId="8396">
        <row r="4">
          <cell r="A4" t="str">
            <v>BẢNG TÍNH TOÁN, ĐO BÓC KHỐI LƯỢNG HOÀN THÀNH ĐƯA VÀO QUYẾT TOÁN</v>
          </cell>
        </row>
      </sheetData>
      <sheetData sheetId="8397">
        <row r="4">
          <cell r="A4" t="str">
            <v>BẢNG TÍNH TOÁN, ĐO BÓC KHỐI LƯỢNG HOÀN THÀNH ĐƯA VÀO QUYẾT TOÁN</v>
          </cell>
        </row>
      </sheetData>
      <sheetData sheetId="8398">
        <row r="4">
          <cell r="A4" t="str">
            <v>BẢNG TÍNH TOÁN, ĐO BÓC KHỐI LƯỢNG HOÀN THÀNH ĐƯA VÀO QUYẾT TOÁN</v>
          </cell>
        </row>
      </sheetData>
      <sheetData sheetId="8399">
        <row r="4">
          <cell r="A4" t="str">
            <v>BẢNG TÍNH TOÁN, ĐO BÓC KHỐI LƯỢNG HOÀN THÀNH ĐƯA VÀO QUYẾT TOÁN</v>
          </cell>
        </row>
      </sheetData>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4">
          <cell r="A4" t="str">
            <v>BẢNG TÍNH TOÁN, ĐO BÓC KHỐI LƯỢNG HOÀN THÀNH ĐƯA VÀO QUYẾT TOÁN</v>
          </cell>
        </row>
      </sheetData>
      <sheetData sheetId="8405">
        <row r="4">
          <cell r="A4" t="str">
            <v>BẢNG TÍNH TOÁN, ĐO BÓC KHỐI LƯỢNG HOÀN THÀNH ĐƯA VÀO QUYẾT TOÁN</v>
          </cell>
        </row>
      </sheetData>
      <sheetData sheetId="8406">
        <row r="4">
          <cell r="A4" t="str">
            <v>BẢNG TÍNH TOÁN, ĐO BÓC KHỐI LƯỢNG HOÀN THÀNH ĐƯA VÀO QUYẾT TOÁN</v>
          </cell>
        </row>
      </sheetData>
      <sheetData sheetId="8407">
        <row r="4">
          <cell r="A4" t="str">
            <v>BẢNG TÍNH TOÁN, ĐO BÓC KHỐI LƯỢNG HOÀN THÀNH ĐƯA VÀO QUYẾT TOÁN</v>
          </cell>
        </row>
      </sheetData>
      <sheetData sheetId="8408">
        <row r="4">
          <cell r="A4" t="str">
            <v>BẢNG TÍNH TOÁN, ĐO BÓC KHỐI LƯỢNG HOÀN THÀNH ĐƯA VÀO QUYẾT TOÁN</v>
          </cell>
        </row>
      </sheetData>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4">
          <cell r="A4" t="str">
            <v>BẢNG TÍNH TOÁN, ĐO BÓC KHỐI LƯỢNG HOÀN THÀNH ĐƯA VÀO QUYẾT TOÁN</v>
          </cell>
        </row>
      </sheetData>
      <sheetData sheetId="8413">
        <row r="4">
          <cell r="A4" t="str">
            <v>BẢNG TÍNH TOÁN, ĐO BÓC KHỐI LƯỢNG HOÀN THÀNH ĐƯA VÀO QUYẾT TOÁN</v>
          </cell>
        </row>
      </sheetData>
      <sheetData sheetId="8414">
        <row r="4">
          <cell r="A4" t="str">
            <v>BẢNG TÍNH TOÁN, ĐO BÓC KHỐI LƯỢNG HOÀN THÀNH ĐƯA VÀO QUYẾT TOÁN</v>
          </cell>
        </row>
      </sheetData>
      <sheetData sheetId="8415">
        <row r="4">
          <cell r="A4" t="str">
            <v>BẢNG TÍNH TOÁN, ĐO BÓC KHỐI LƯỢNG HOÀN THÀNH ĐƯA VÀO QUYẾT TOÁN</v>
          </cell>
        </row>
      </sheetData>
      <sheetData sheetId="8416">
        <row r="4">
          <cell r="A4" t="str">
            <v>BẢNG TÍNH TOÁN, ĐO BÓC KHỐI LƯỢNG HOÀN THÀNH ĐƯA VÀO QUYẾT TOÁN</v>
          </cell>
        </row>
      </sheetData>
      <sheetData sheetId="8417">
        <row r="4">
          <cell r="A4" t="str">
            <v>BẢNG TÍNH TOÁN, ĐO BÓC KHỐI LƯỢNG HOÀN THÀNH ĐƯA VÀO QUYẾT TOÁN</v>
          </cell>
        </row>
      </sheetData>
      <sheetData sheetId="8418">
        <row r="4">
          <cell r="A4" t="str">
            <v>BẢNG TÍNH TOÁN, ĐO BÓC KHỐI LƯỢNG HOÀN THÀNH ĐƯA VÀO QUYẾT TOÁN</v>
          </cell>
        </row>
      </sheetData>
      <sheetData sheetId="8419">
        <row r="4">
          <cell r="A4" t="str">
            <v>BẢNG TÍNH TOÁN, ĐO BÓC KHỐI LƯỢNG HOÀN THÀNH ĐƯA VÀO QUYẾT TOÁN</v>
          </cell>
        </row>
      </sheetData>
      <sheetData sheetId="8420">
        <row r="4">
          <cell r="A4" t="str">
            <v>BẢNG TÍNH TOÁN, ĐO BÓC KHỐI LƯỢNG HOÀN THÀNH ĐƯA VÀO QUYẾT TOÁN</v>
          </cell>
        </row>
      </sheetData>
      <sheetData sheetId="8421">
        <row r="4">
          <cell r="A4" t="str">
            <v>BẢNG TÍNH TOÁN, ĐO BÓC KHỐI LƯỢNG HOÀN THÀNH ĐƯA VÀO QUYẾT TOÁN</v>
          </cell>
        </row>
      </sheetData>
      <sheetData sheetId="8422">
        <row r="4">
          <cell r="A4" t="str">
            <v>BẢNG TÍNH TOÁN, ĐO BÓC KHỐI LƯỢNG HOÀN THÀNH ĐƯA VÀO QUYẾT TOÁN</v>
          </cell>
        </row>
      </sheetData>
      <sheetData sheetId="8423">
        <row r="4">
          <cell r="A4" t="str">
            <v>BẢNG TÍNH TOÁN, ĐO BÓC KHỐI LƯỢNG HOÀN THÀNH ĐƯA VÀO QUYẾT TOÁN</v>
          </cell>
        </row>
      </sheetData>
      <sheetData sheetId="8424">
        <row r="4">
          <cell r="A4" t="str">
            <v>BẢNG TÍNH TOÁN, ĐO BÓC KHỐI LƯỢNG HOÀN THÀNH ĐƯA VÀO QUYẾT TOÁN</v>
          </cell>
        </row>
      </sheetData>
      <sheetData sheetId="8425">
        <row r="4">
          <cell r="A4" t="str">
            <v>BẢNG TÍNH TOÁN, ĐO BÓC KHỐI LƯỢNG HOÀN THÀNH ĐƯA VÀO QUYẾT TOÁN</v>
          </cell>
        </row>
      </sheetData>
      <sheetData sheetId="8426">
        <row r="4">
          <cell r="A4" t="str">
            <v>BẢNG TÍNH TOÁN, ĐO BÓC KHỐI LƯỢNG HOÀN THÀNH ĐƯA VÀO QUYẾT TOÁN</v>
          </cell>
        </row>
      </sheetData>
      <sheetData sheetId="8427">
        <row r="4">
          <cell r="A4" t="str">
            <v>BẢNG TÍNH TOÁN, ĐO BÓC KHỐI LƯỢNG HOÀN THÀNH ĐƯA VÀO QUYẾT TOÁN</v>
          </cell>
        </row>
      </sheetData>
      <sheetData sheetId="8428">
        <row r="4">
          <cell r="A4" t="str">
            <v>BẢNG TÍNH TOÁN, ĐO BÓC KHỐI LƯỢNG HOÀN THÀNH ĐƯA VÀO QUYẾT TOÁN</v>
          </cell>
        </row>
      </sheetData>
      <sheetData sheetId="8429">
        <row r="4">
          <cell r="A4" t="str">
            <v>BẢNG TÍNH TOÁN, ĐO BÓC KHỐI LƯỢNG HOÀN THÀNH ĐƯA VÀO QUYẾT TOÁN</v>
          </cell>
        </row>
      </sheetData>
      <sheetData sheetId="8430">
        <row r="4">
          <cell r="A4" t="str">
            <v>BẢNG TÍNH TOÁN, ĐO BÓC KHỐI LƯỢNG HOÀN THÀNH ĐƯA VÀO QUYẾT TOÁN</v>
          </cell>
        </row>
      </sheetData>
      <sheetData sheetId="8431">
        <row r="4">
          <cell r="A4" t="str">
            <v>BẢNG TÍNH TOÁN, ĐO BÓC KHỐI LƯỢNG HOÀN THÀNH ĐƯA VÀO QUYẾT TOÁN</v>
          </cell>
        </row>
      </sheetData>
      <sheetData sheetId="8432">
        <row r="4">
          <cell r="A4" t="str">
            <v>BẢNG TÍNH TOÁN, ĐO BÓC KHỐI LƯỢNG HOÀN THÀNH ĐƯA VÀO QUYẾT TOÁN</v>
          </cell>
        </row>
      </sheetData>
      <sheetData sheetId="8433">
        <row r="4">
          <cell r="A4" t="str">
            <v>BẢNG TÍNH TOÁN, ĐO BÓC KHỐI LƯỢNG HOÀN THÀNH ĐƯA VÀO QUYẾT TOÁN</v>
          </cell>
        </row>
      </sheetData>
      <sheetData sheetId="8434">
        <row r="4">
          <cell r="A4" t="str">
            <v>BẢNG TÍNH TOÁN, ĐO BÓC KHỐI LƯỢNG HOÀN THÀNH ĐƯA VÀO QUYẾT TOÁN</v>
          </cell>
        </row>
      </sheetData>
      <sheetData sheetId="8435">
        <row r="4">
          <cell r="A4" t="str">
            <v>BẢNG TÍNH TOÁN, ĐO BÓC KHỐI LƯỢNG HOÀN THÀNH ĐƯA VÀO QUYẾT TOÁN</v>
          </cell>
        </row>
      </sheetData>
      <sheetData sheetId="8436">
        <row r="4">
          <cell r="A4" t="str">
            <v>BẢNG TÍNH TOÁN, ĐO BÓC KHỐI LƯỢNG HOÀN THÀNH ĐƯA VÀO QUYẾT TOÁN</v>
          </cell>
        </row>
      </sheetData>
      <sheetData sheetId="8437">
        <row r="4">
          <cell r="A4" t="str">
            <v>BẢNG TÍNH TOÁN, ĐO BÓC KHỐI LƯỢNG HOÀN THÀNH ĐƯA VÀO QUYẾT TOÁN</v>
          </cell>
        </row>
      </sheetData>
      <sheetData sheetId="8438">
        <row r="4">
          <cell r="A4" t="str">
            <v>BẢNG TÍNH TOÁN, ĐO BÓC KHỐI LƯỢNG HOÀN THÀNH ĐƯA VÀO QUYẾT TOÁN</v>
          </cell>
        </row>
      </sheetData>
      <sheetData sheetId="8439">
        <row r="4">
          <cell r="A4" t="str">
            <v>BẢNG TÍNH TOÁN, ĐO BÓC KHỐI LƯỢNG HOÀN THÀNH ĐƯA VÀO QUYẾT TOÁN</v>
          </cell>
        </row>
      </sheetData>
      <sheetData sheetId="8440">
        <row r="4">
          <cell r="A4" t="str">
            <v>BẢNG TÍNH TOÁN, ĐO BÓC KHỐI LƯỢNG HOÀN THÀNH ĐƯA VÀO QUYẾT TOÁN</v>
          </cell>
        </row>
      </sheetData>
      <sheetData sheetId="8441">
        <row r="4">
          <cell r="A4" t="str">
            <v>BẢNG TÍNH TOÁN, ĐO BÓC KHỐI LƯỢNG HOÀN THÀNH ĐƯA VÀO QUYẾT TOÁN</v>
          </cell>
        </row>
      </sheetData>
      <sheetData sheetId="8442">
        <row r="4">
          <cell r="A4" t="str">
            <v>BẢNG TÍNH TOÁN, ĐO BÓC KHỐI LƯỢNG HOÀN THÀNH ĐƯA VÀO QUYẾT TOÁN</v>
          </cell>
        </row>
      </sheetData>
      <sheetData sheetId="8443">
        <row r="4">
          <cell r="A4" t="str">
            <v>BẢNG TÍNH TOÁN, ĐO BÓC KHỐI LƯỢNG HOÀN THÀNH ĐƯA VÀO QUYẾT TOÁN</v>
          </cell>
        </row>
      </sheetData>
      <sheetData sheetId="8444">
        <row r="4">
          <cell r="A4" t="str">
            <v>BẢNG TÍNH TOÁN, ĐO BÓC KHỐI LƯỢNG HOÀN THÀNH ĐƯA VÀO QUYẾT TOÁN</v>
          </cell>
        </row>
      </sheetData>
      <sheetData sheetId="8445">
        <row r="4">
          <cell r="A4" t="str">
            <v>BẢNG TÍNH TOÁN, ĐO BÓC KHỐI LƯỢNG HOÀN THÀNH ĐƯA VÀO QUYẾT TOÁN</v>
          </cell>
        </row>
      </sheetData>
      <sheetData sheetId="8446">
        <row r="4">
          <cell r="A4" t="str">
            <v>BẢNG TÍNH TOÁN, ĐO BÓC KHỐI LƯỢNG HOÀN THÀNH ĐƯA VÀO QUYẾT TOÁN</v>
          </cell>
        </row>
      </sheetData>
      <sheetData sheetId="8447">
        <row r="4">
          <cell r="A4" t="str">
            <v>BẢNG TÍNH TOÁN, ĐO BÓC KHỐI LƯỢNG HOÀN THÀNH ĐƯA VÀO QUYẾT TOÁN</v>
          </cell>
        </row>
      </sheetData>
      <sheetData sheetId="8448">
        <row r="4">
          <cell r="A4" t="str">
            <v>BẢNG TÍNH TOÁN, ĐO BÓC KHỐI LƯỢNG HOÀN THÀNH ĐƯA VÀO QUYẾT TOÁN</v>
          </cell>
        </row>
      </sheetData>
      <sheetData sheetId="8449">
        <row r="4">
          <cell r="A4" t="str">
            <v>BẢNG TÍNH TOÁN, ĐO BÓC KHỐI LƯỢNG HOÀN THÀNH ĐƯA VÀO QUYẾT TOÁN</v>
          </cell>
        </row>
      </sheetData>
      <sheetData sheetId="8450">
        <row r="4">
          <cell r="A4" t="str">
            <v>BẢNG TÍNH TOÁN, ĐO BÓC KHỐI LƯỢNG HOÀN THÀNH ĐƯA VÀO QUYẾT TOÁN</v>
          </cell>
        </row>
      </sheetData>
      <sheetData sheetId="8451">
        <row r="4">
          <cell r="A4" t="str">
            <v>BẢNG TÍNH TOÁN, ĐO BÓC KHỐI LƯỢNG HOÀN THÀNH ĐƯA VÀO QUYẾT TOÁN</v>
          </cell>
        </row>
      </sheetData>
      <sheetData sheetId="8452">
        <row r="4">
          <cell r="A4" t="str">
            <v>BẢNG TÍNH TOÁN, ĐO BÓC KHỐI LƯỢNG HOÀN THÀNH ĐƯA VÀO QUYẾT TOÁN</v>
          </cell>
        </row>
      </sheetData>
      <sheetData sheetId="8453">
        <row r="4">
          <cell r="A4" t="str">
            <v>BẢNG TÍNH TOÁN, ĐO BÓC KHỐI LƯỢNG HOÀN THÀNH ĐƯA VÀO QUYẾT TOÁN</v>
          </cell>
        </row>
      </sheetData>
      <sheetData sheetId="8454">
        <row r="4">
          <cell r="A4" t="str">
            <v>BẢNG TÍNH TOÁN, ĐO BÓC KHỐI LƯỢNG HOÀN THÀNH ĐƯA VÀO QUYẾT TOÁN</v>
          </cell>
        </row>
      </sheetData>
      <sheetData sheetId="8455">
        <row r="4">
          <cell r="A4" t="str">
            <v>BẢNG TÍNH TOÁN, ĐO BÓC KHỐI LƯỢNG HOÀN THÀNH ĐƯA VÀO QUYẾT TOÁN</v>
          </cell>
        </row>
      </sheetData>
      <sheetData sheetId="8456">
        <row r="4">
          <cell r="A4" t="str">
            <v>BẢNG TÍNH TOÁN, ĐO BÓC KHỐI LƯỢNG HOÀN THÀNH ĐƯA VÀO QUYẾT TOÁN</v>
          </cell>
        </row>
      </sheetData>
      <sheetData sheetId="8457">
        <row r="4">
          <cell r="A4" t="str">
            <v>BẢNG TÍNH TOÁN, ĐO BÓC KHỐI LƯỢNG HOÀN THÀNH ĐƯA VÀO QUYẾT TOÁN</v>
          </cell>
        </row>
      </sheetData>
      <sheetData sheetId="8458">
        <row r="4">
          <cell r="A4" t="str">
            <v>BẢNG TÍNH TOÁN, ĐO BÓC KHỐI LƯỢNG HOÀN THÀNH ĐƯA VÀO QUYẾT TOÁN</v>
          </cell>
        </row>
      </sheetData>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ow r="4">
          <cell r="A4" t="str">
            <v>BẢNG TÍNH TOÁN, ĐO BÓC KHỐI LƯỢNG HOÀN THÀNH ĐƯA VÀO QUYẾT TOÁN</v>
          </cell>
        </row>
      </sheetData>
      <sheetData sheetId="8908">
        <row r="4">
          <cell r="A4" t="str">
            <v>BẢNG TÍNH TOÁN, ĐO BÓC KHỐI LƯỢNG HOÀN THÀNH ĐƯA VÀO QUYẾT TOÁN</v>
          </cell>
        </row>
      </sheetData>
      <sheetData sheetId="8909">
        <row r="4">
          <cell r="A4" t="str">
            <v>BẢNG TÍNH TOÁN, ĐO BÓC KHỐI LƯỢNG HOÀN THÀNH ĐƯA VÀO QUYẾT TOÁN</v>
          </cell>
        </row>
      </sheetData>
      <sheetData sheetId="8910">
        <row r="4">
          <cell r="A4" t="str">
            <v>BẢNG TÍNH TOÁN, ĐO BÓC KHỐI LƯỢNG HOÀN THÀNH ĐƯA VÀO QUYẾT TOÁN</v>
          </cell>
        </row>
      </sheetData>
      <sheetData sheetId="8911">
        <row r="4">
          <cell r="A4" t="str">
            <v>BẢNG TÍNH TOÁN, ĐO BÓC KHỐI LƯỢNG HOÀN THÀNH ĐƯA VÀO QUYẾT TOÁN</v>
          </cell>
        </row>
      </sheetData>
      <sheetData sheetId="8912">
        <row r="4">
          <cell r="A4" t="str">
            <v>BẢNG TÍNH TOÁN, ĐO BÓC KHỐI LƯỢNG HOÀN THÀNH ĐƯA VÀO QUYẾT TOÁN</v>
          </cell>
        </row>
      </sheetData>
      <sheetData sheetId="8913">
        <row r="4">
          <cell r="A4" t="str">
            <v>BẢNG TÍNH TOÁN, ĐO BÓC KHỐI LƯỢNG HOÀN THÀNH ĐƯA VÀO QUYẾT TOÁN</v>
          </cell>
        </row>
      </sheetData>
      <sheetData sheetId="8914">
        <row r="4">
          <cell r="A4" t="str">
            <v>BẢNG TÍNH TOÁN, ĐO BÓC KHỐI LƯỢNG HOÀN THÀNH ĐƯA VÀO QUYẾT TOÁN</v>
          </cell>
        </row>
      </sheetData>
      <sheetData sheetId="8915">
        <row r="4">
          <cell r="A4" t="str">
            <v>BẢNG TÍNH TOÁN, ĐO BÓC KHỐI LƯỢNG HOÀN THÀNH ĐƯA VÀO QUYẾT TOÁN</v>
          </cell>
        </row>
      </sheetData>
      <sheetData sheetId="8916">
        <row r="4">
          <cell r="A4" t="str">
            <v>BẢNG TÍNH TOÁN, ĐO BÓC KHỐI LƯỢNG HOÀN THÀNH ĐƯA VÀO QUYẾT TOÁN</v>
          </cell>
        </row>
      </sheetData>
      <sheetData sheetId="8917">
        <row r="4">
          <cell r="A4" t="str">
            <v>BẢNG TÍNH TOÁN, ĐO BÓC KHỐI LƯỢNG HOÀN THÀNH ĐƯA VÀO QUYẾT TOÁN</v>
          </cell>
        </row>
      </sheetData>
      <sheetData sheetId="8918">
        <row r="4">
          <cell r="A4" t="str">
            <v>BẢNG TÍNH TOÁN, ĐO BÓC KHỐI LƯỢNG HOÀN THÀNH ĐƯA VÀO QUYẾT TOÁN</v>
          </cell>
        </row>
      </sheetData>
      <sheetData sheetId="8919">
        <row r="4">
          <cell r="A4" t="str">
            <v>BẢNG TÍNH TOÁN, ĐO BÓC KHỐI LƯỢNG HOÀN THÀNH ĐƯA VÀO QUYẾT TOÁN</v>
          </cell>
        </row>
      </sheetData>
      <sheetData sheetId="8920">
        <row r="4">
          <cell r="A4" t="str">
            <v>BẢNG TÍNH TOÁN, ĐO BÓC KHỐI LƯỢNG HOÀN THÀNH ĐƯA VÀO QUYẾT TOÁN</v>
          </cell>
        </row>
      </sheetData>
      <sheetData sheetId="8921">
        <row r="4">
          <cell r="A4" t="str">
            <v>BẢNG TÍNH TOÁN, ĐO BÓC KHỐI LƯỢNG HOÀN THÀNH ĐƯA VÀO QUYẾT TOÁN</v>
          </cell>
        </row>
      </sheetData>
      <sheetData sheetId="8922">
        <row r="4">
          <cell r="A4" t="str">
            <v>BẢNG TÍNH TOÁN, ĐO BÓC KHỐI LƯỢNG HOÀN THÀNH ĐƯA VÀO QUYẾT TOÁN</v>
          </cell>
        </row>
      </sheetData>
      <sheetData sheetId="8923">
        <row r="4">
          <cell r="A4" t="str">
            <v>BẢNG TÍNH TOÁN, ĐO BÓC KHỐI LƯỢNG HOÀN THÀNH ĐƯA VÀO QUYẾT TOÁN</v>
          </cell>
        </row>
      </sheetData>
      <sheetData sheetId="8924">
        <row r="4">
          <cell r="A4" t="str">
            <v>BẢNG TÍNH TOÁN, ĐO BÓC KHỐI LƯỢNG HOÀN THÀNH ĐƯA VÀO QUYẾT TOÁN</v>
          </cell>
        </row>
      </sheetData>
      <sheetData sheetId="8925">
        <row r="4">
          <cell r="A4" t="str">
            <v>BẢNG TÍNH TOÁN, ĐO BÓC KHỐI LƯỢNG HOÀN THÀNH ĐƯA VÀO QUYẾT TOÁN</v>
          </cell>
        </row>
      </sheetData>
      <sheetData sheetId="8926">
        <row r="4">
          <cell r="A4" t="str">
            <v>BẢNG TÍNH TOÁN, ĐO BÓC KHỐI LƯỢNG HOÀN THÀNH ĐƯA VÀO QUYẾT TOÁN</v>
          </cell>
        </row>
      </sheetData>
      <sheetData sheetId="8927">
        <row r="4">
          <cell r="A4" t="str">
            <v>BẢNG TÍNH TOÁN, ĐO BÓC KHỐI LƯỢNG HOÀN THÀNH ĐƯA VÀO QUYẾT TOÁN</v>
          </cell>
        </row>
      </sheetData>
      <sheetData sheetId="8928">
        <row r="4">
          <cell r="A4" t="str">
            <v>BẢNG TÍNH TOÁN, ĐO BÓC KHỐI LƯỢNG HOÀN THÀNH ĐƯA VÀO QUYẾT TOÁN</v>
          </cell>
        </row>
      </sheetData>
      <sheetData sheetId="8929">
        <row r="4">
          <cell r="A4" t="str">
            <v>BẢNG TÍNH TOÁN, ĐO BÓC KHỐI LƯỢNG HOÀN THÀNH ĐƯA VÀO QUYẾT TOÁN</v>
          </cell>
        </row>
      </sheetData>
      <sheetData sheetId="8930">
        <row r="4">
          <cell r="A4" t="str">
            <v>BẢNG TÍNH TOÁN, ĐO BÓC KHỐI LƯỢNG HOÀN THÀNH ĐƯA VÀO QUYẾT TOÁN</v>
          </cell>
        </row>
      </sheetData>
      <sheetData sheetId="8931">
        <row r="4">
          <cell r="A4" t="str">
            <v>BẢNG TÍNH TOÁN, ĐO BÓC KHỐI LƯỢNG HOÀN THÀNH ĐƯA VÀO QUYẾT TOÁN</v>
          </cell>
        </row>
      </sheetData>
      <sheetData sheetId="8932">
        <row r="4">
          <cell r="A4" t="str">
            <v>BẢNG TÍNH TOÁN, ĐO BÓC KHỐI LƯỢNG HOÀN THÀNH ĐƯA VÀO QUYẾT TOÁN</v>
          </cell>
        </row>
      </sheetData>
      <sheetData sheetId="8933">
        <row r="4">
          <cell r="A4" t="str">
            <v>BẢNG TÍNH TOÁN, ĐO BÓC KHỐI LƯỢNG HOÀN THÀNH ĐƯA VÀO QUYẾT TOÁN</v>
          </cell>
        </row>
      </sheetData>
      <sheetData sheetId="8934">
        <row r="4">
          <cell r="A4" t="str">
            <v>BẢNG TÍNH TOÁN, ĐO BÓC KHỐI LƯỢNG HOÀN THÀNH ĐƯA VÀO QUYẾT TOÁN</v>
          </cell>
        </row>
      </sheetData>
      <sheetData sheetId="8935">
        <row r="4">
          <cell r="A4" t="str">
            <v>BẢNG TÍNH TOÁN, ĐO BÓC KHỐI LƯỢNG HOÀN THÀNH ĐƯA VÀO QUYẾT TOÁN</v>
          </cell>
        </row>
      </sheetData>
      <sheetData sheetId="8936">
        <row r="4">
          <cell r="A4" t="str">
            <v>BẢNG TÍNH TOÁN, ĐO BÓC KHỐI LƯỢNG HOÀN THÀNH ĐƯA VÀO QUYẾT TOÁN</v>
          </cell>
        </row>
      </sheetData>
      <sheetData sheetId="8937">
        <row r="4">
          <cell r="A4" t="str">
            <v>BẢNG TÍNH TOÁN, ĐO BÓC KHỐI LƯỢNG HOÀN THÀNH ĐƯA VÀO QUYẾT TOÁN</v>
          </cell>
        </row>
      </sheetData>
      <sheetData sheetId="8938">
        <row r="4">
          <cell r="A4" t="str">
            <v>BẢNG TÍNH TOÁN, ĐO BÓC KHỐI LƯỢNG HOÀN THÀNH ĐƯA VÀO QUYẾT TOÁN</v>
          </cell>
        </row>
      </sheetData>
      <sheetData sheetId="8939" refreshError="1"/>
      <sheetData sheetId="8940">
        <row r="4">
          <cell r="A4" t="str">
            <v>BẢNG TÍNH TOÁN, ĐO BÓC KHỐI LƯỢNG HOÀN THÀNH ĐƯA VÀO QUYẾT TOÁN</v>
          </cell>
        </row>
      </sheetData>
      <sheetData sheetId="8941">
        <row r="4">
          <cell r="A4" t="str">
            <v>BẢNG TÍNH TOÁN, ĐO BÓC KHỐI LƯỢNG HOÀN THÀNH ĐƯA VÀO QUYẾT TOÁN</v>
          </cell>
        </row>
      </sheetData>
      <sheetData sheetId="8942">
        <row r="4">
          <cell r="A4" t="str">
            <v>BẢNG TÍNH TOÁN, ĐO BÓC KHỐI LƯỢNG HOÀN THÀNH ĐƯA VÀO QUYẾT TOÁN</v>
          </cell>
        </row>
      </sheetData>
      <sheetData sheetId="8943">
        <row r="4">
          <cell r="A4" t="str">
            <v>BẢNG TÍNH TOÁN, ĐO BÓC KHỐI LƯỢNG HOÀN THÀNH ĐƯA VÀO QUYẾT TOÁN</v>
          </cell>
        </row>
      </sheetData>
      <sheetData sheetId="8944">
        <row r="4">
          <cell r="A4" t="str">
            <v>BẢNG TÍNH TOÁN, ĐO BÓC KHỐI LƯỢNG HOÀN THÀNH ĐƯA VÀO QUYẾT TOÁN</v>
          </cell>
        </row>
      </sheetData>
      <sheetData sheetId="8945">
        <row r="4">
          <cell r="A4" t="str">
            <v>BẢNG TÍNH TOÁN, ĐO BÓC KHỐI LƯỢNG HOÀN THÀNH ĐƯA VÀO QUYẾT TOÁN</v>
          </cell>
        </row>
      </sheetData>
      <sheetData sheetId="8946">
        <row r="4">
          <cell r="A4" t="str">
            <v>BẢNG TÍNH TOÁN, ĐO BÓC KHỐI LƯỢNG HOÀN THÀNH ĐƯA VÀO QUYẾT TOÁN</v>
          </cell>
        </row>
      </sheetData>
      <sheetData sheetId="8947">
        <row r="4">
          <cell r="A4" t="str">
            <v>BẢNG TÍNH TOÁN, ĐO BÓC KHỐI LƯỢNG HOÀN THÀNH ĐƯA VÀO QUYẾT TOÁN</v>
          </cell>
        </row>
      </sheetData>
      <sheetData sheetId="8948">
        <row r="4">
          <cell r="A4" t="str">
            <v>BẢNG TÍNH TOÁN, ĐO BÓC KHỐI LƯỢNG HOÀN THÀNH ĐƯA VÀO QUYẾT TOÁN</v>
          </cell>
        </row>
      </sheetData>
      <sheetData sheetId="8949">
        <row r="4">
          <cell r="A4" t="str">
            <v>BẢNG TÍNH TOÁN, ĐO BÓC KHỐI LƯỢNG HOÀN THÀNH ĐƯA VÀO QUYẾT TOÁN</v>
          </cell>
        </row>
      </sheetData>
      <sheetData sheetId="8950">
        <row r="4">
          <cell r="A4" t="str">
            <v>BẢNG TÍNH TOÁN, ĐO BÓC KHỐI LƯỢNG HOÀN THÀNH ĐƯA VÀO QUYẾT TOÁN</v>
          </cell>
        </row>
      </sheetData>
      <sheetData sheetId="8951">
        <row r="4">
          <cell r="A4" t="str">
            <v>BẢNG TÍNH TOÁN, ĐO BÓC KHỐI LƯỢNG HOÀN THÀNH ĐƯA VÀO QUYẾT TOÁN</v>
          </cell>
        </row>
      </sheetData>
      <sheetData sheetId="8952">
        <row r="4">
          <cell r="A4" t="str">
            <v>BẢNG TÍNH TOÁN, ĐO BÓC KHỐI LƯỢNG HOÀN THÀNH ĐƯA VÀO QUYẾT TOÁN</v>
          </cell>
        </row>
      </sheetData>
      <sheetData sheetId="8953">
        <row r="4">
          <cell r="A4" t="str">
            <v>BẢNG TÍNH TOÁN, ĐO BÓC KHỐI LƯỢNG HOÀN THÀNH ĐƯA VÀO QUYẾT TOÁN</v>
          </cell>
        </row>
      </sheetData>
      <sheetData sheetId="8954">
        <row r="4">
          <cell r="A4" t="str">
            <v>BẢNG TÍNH TOÁN, ĐO BÓC KHỐI LƯỢNG HOÀN THÀNH ĐƯA VÀO QUYẾT TOÁN</v>
          </cell>
        </row>
      </sheetData>
      <sheetData sheetId="8955">
        <row r="4">
          <cell r="A4" t="str">
            <v>BẢNG TÍNH TOÁN, ĐO BÓC KHỐI LƯỢNG HOÀN THÀNH ĐƯA VÀO QUYẾT TOÁN</v>
          </cell>
        </row>
      </sheetData>
      <sheetData sheetId="8956">
        <row r="4">
          <cell r="A4" t="str">
            <v>BẢNG TÍNH TOÁN, ĐO BÓC KHỐI LƯỢNG HOÀN THÀNH ĐƯA VÀO QUYẾT TOÁN</v>
          </cell>
        </row>
      </sheetData>
      <sheetData sheetId="8957">
        <row r="4">
          <cell r="A4" t="str">
            <v>BẢNG TÍNH TOÁN, ĐO BÓC KHỐI LƯỢNG HOÀN THÀNH ĐƯA VÀO QUYẾT TOÁN</v>
          </cell>
        </row>
      </sheetData>
      <sheetData sheetId="8958">
        <row r="4">
          <cell r="A4" t="str">
            <v>BẢNG TÍNH TOÁN, ĐO BÓC KHỐI LƯỢNG HOÀN THÀNH ĐƯA VÀO QUYẾT TOÁN</v>
          </cell>
        </row>
      </sheetData>
      <sheetData sheetId="8959">
        <row r="4">
          <cell r="A4" t="str">
            <v>BẢNG TÍNH TOÁN, ĐO BÓC KHỐI LƯỢNG HOÀN THÀNH ĐƯA VÀO QUYẾT TOÁN</v>
          </cell>
        </row>
      </sheetData>
      <sheetData sheetId="8960">
        <row r="4">
          <cell r="A4" t="str">
            <v>BẢNG TÍNH TOÁN, ĐO BÓC KHỐI LƯỢNG HOÀN THÀNH ĐƯA VÀO QUYẾT TOÁN</v>
          </cell>
        </row>
      </sheetData>
      <sheetData sheetId="8961">
        <row r="4">
          <cell r="A4" t="str">
            <v>BẢNG TÍNH TOÁN, ĐO BÓC KHỐI LƯỢNG HOÀN THÀNH ĐƯA VÀO QUYẾT TOÁN</v>
          </cell>
        </row>
      </sheetData>
      <sheetData sheetId="8962">
        <row r="4">
          <cell r="A4" t="str">
            <v>BẢNG TÍNH TOÁN, ĐO BÓC KHỐI LƯỢNG HOÀN THÀNH ĐƯA VÀO QUYẾT TOÁN</v>
          </cell>
        </row>
      </sheetData>
      <sheetData sheetId="8963">
        <row r="4">
          <cell r="A4" t="str">
            <v>BẢNG TÍNH TOÁN, ĐO BÓC KHỐI LƯỢNG HOÀN THÀNH ĐƯA VÀO QUYẾT TOÁN</v>
          </cell>
        </row>
      </sheetData>
      <sheetData sheetId="8964">
        <row r="4">
          <cell r="A4" t="str">
            <v>BẢNG TÍNH TOÁN, ĐO BÓC KHỐI LƯỢNG HOÀN THÀNH ĐƯA VÀO QUYẾT TOÁN</v>
          </cell>
        </row>
      </sheetData>
      <sheetData sheetId="8965">
        <row r="4">
          <cell r="A4" t="str">
            <v>BẢNG TÍNH TOÁN, ĐO BÓC KHỐI LƯỢNG HOÀN THÀNH ĐƯA VÀO QUYẾT TOÁN</v>
          </cell>
        </row>
      </sheetData>
      <sheetData sheetId="8966">
        <row r="4">
          <cell r="A4" t="str">
            <v>BẢNG TÍNH TOÁN, ĐO BÓC KHỐI LƯỢNG HOÀN THÀNH ĐƯA VÀO QUYẾT TOÁN</v>
          </cell>
        </row>
      </sheetData>
      <sheetData sheetId="8967">
        <row r="4">
          <cell r="A4" t="str">
            <v>BẢNG TÍNH TOÁN, ĐO BÓC KHỐI LƯỢNG HOÀN THÀNH ĐƯA VÀO QUYẾT TOÁN</v>
          </cell>
        </row>
      </sheetData>
      <sheetData sheetId="8968">
        <row r="4">
          <cell r="A4" t="str">
            <v>BẢNG TÍNH TOÁN, ĐO BÓC KHỐI LƯỢNG HOÀN THÀNH ĐƯA VÀO QUYẾT TOÁN</v>
          </cell>
        </row>
      </sheetData>
      <sheetData sheetId="8969" refreshError="1"/>
      <sheetData sheetId="8970" refreshError="1"/>
      <sheetData sheetId="8971" refreshError="1"/>
      <sheetData sheetId="8972" refreshError="1"/>
      <sheetData sheetId="8973" refreshError="1"/>
      <sheetData sheetId="8974">
        <row r="4">
          <cell r="A4" t="str">
            <v>BẢNG TÍNH TOÁN, ĐO BÓC KHỐI LƯỢNG HOÀN THÀNH ĐƯA VÀO QUYẾT TOÁN</v>
          </cell>
        </row>
      </sheetData>
      <sheetData sheetId="8975">
        <row r="4">
          <cell r="A4" t="str">
            <v>BẢNG TÍNH TOÁN, ĐO BÓC KHỐI LƯỢNG HOÀN THÀNH ĐƯA VÀO QUYẾT TOÁN</v>
          </cell>
        </row>
      </sheetData>
      <sheetData sheetId="8976">
        <row r="4">
          <cell r="A4" t="str">
            <v>BẢNG TÍNH TOÁN, ĐO BÓC KHỐI LƯỢNG HOÀN THÀNH ĐƯA VÀO QUYẾT TOÁN</v>
          </cell>
        </row>
      </sheetData>
      <sheetData sheetId="8977">
        <row r="4">
          <cell r="A4" t="str">
            <v>BẢNG TÍNH TOÁN, ĐO BÓC KHỐI LƯỢNG HOÀN THÀNH ĐƯA VÀO QUYẾT TOÁN</v>
          </cell>
        </row>
      </sheetData>
      <sheetData sheetId="8978">
        <row r="4">
          <cell r="A4" t="str">
            <v>BẢNG TÍNH TOÁN, ĐO BÓC KHỐI LƯỢNG HOÀN THÀNH ĐƯA VÀO QUYẾT TOÁN</v>
          </cell>
        </row>
      </sheetData>
      <sheetData sheetId="8979">
        <row r="4">
          <cell r="A4" t="str">
            <v>BẢNG TÍNH TOÁN, ĐO BÓC KHỐI LƯỢNG HOÀN THÀNH ĐƯA VÀO QUYẾT TOÁN</v>
          </cell>
        </row>
      </sheetData>
      <sheetData sheetId="8980">
        <row r="4">
          <cell r="A4" t="str">
            <v>BẢNG TÍNH TOÁN, ĐO BÓC KHỐI LƯỢNG HOÀN THÀNH ĐƯA VÀO QUYẾT TOÁN</v>
          </cell>
        </row>
      </sheetData>
      <sheetData sheetId="8981">
        <row r="4">
          <cell r="A4" t="str">
            <v>BẢNG TÍNH TOÁN, ĐO BÓC KHỐI LƯỢNG HOÀN THÀNH ĐƯA VÀO QUYẾT TOÁN</v>
          </cell>
        </row>
      </sheetData>
      <sheetData sheetId="8982">
        <row r="4">
          <cell r="A4" t="str">
            <v>BẢNG TÍNH TOÁN, ĐO BÓC KHỐI LƯỢNG HOÀN THÀNH ĐƯA VÀO QUYẾT TOÁN</v>
          </cell>
        </row>
      </sheetData>
      <sheetData sheetId="8983">
        <row r="4">
          <cell r="A4" t="str">
            <v>BẢNG TÍNH TOÁN, ĐO BÓC KHỐI LƯỢNG HOÀN THÀNH ĐƯA VÀO QUYẾT TOÁN</v>
          </cell>
        </row>
      </sheetData>
      <sheetData sheetId="8984">
        <row r="4">
          <cell r="A4" t="str">
            <v>BẢNG TÍNH TOÁN, ĐO BÓC KHỐI LƯỢNG HOÀN THÀNH ĐƯA VÀO QUYẾT TOÁN</v>
          </cell>
        </row>
      </sheetData>
      <sheetData sheetId="8985">
        <row r="4">
          <cell r="A4" t="str">
            <v>BẢNG TÍNH TOÁN, ĐO BÓC KHỐI LƯỢNG HOÀN THÀNH ĐƯA VÀO QUYẾT TOÁN</v>
          </cell>
        </row>
      </sheetData>
      <sheetData sheetId="8986">
        <row r="4">
          <cell r="A4" t="str">
            <v>BẢNG TÍNH TOÁN, ĐO BÓC KHỐI LƯỢNG HOÀN THÀNH ĐƯA VÀO QUYẾT TOÁN</v>
          </cell>
        </row>
      </sheetData>
      <sheetData sheetId="8987">
        <row r="4">
          <cell r="A4" t="str">
            <v>BẢNG TÍNH TOÁN, ĐO BÓC KHỐI LƯỢNG HOÀN THÀNH ĐƯA VÀO QUYẾT TOÁN</v>
          </cell>
        </row>
      </sheetData>
      <sheetData sheetId="8988">
        <row r="4">
          <cell r="A4" t="str">
            <v>BẢNG TÍNH TOÁN, ĐO BÓC KHỐI LƯỢNG HOÀN THÀNH ĐƯA VÀO QUYẾT TOÁN</v>
          </cell>
        </row>
      </sheetData>
      <sheetData sheetId="8989">
        <row r="4">
          <cell r="A4" t="str">
            <v>BẢNG TÍNH TOÁN, ĐO BÓC KHỐI LƯỢNG HOÀN THÀNH ĐƯA VÀO QUYẾT TOÁN</v>
          </cell>
        </row>
      </sheetData>
      <sheetData sheetId="8990">
        <row r="4">
          <cell r="A4" t="str">
            <v>BẢNG TÍNH TOÁN, ĐO BÓC KHỐI LƯỢNG HOÀN THÀNH ĐƯA VÀO QUYẾT TOÁN</v>
          </cell>
        </row>
      </sheetData>
      <sheetData sheetId="8991">
        <row r="4">
          <cell r="A4" t="str">
            <v>BẢNG TÍNH TOÁN, ĐO BÓC KHỐI LƯỢNG HOÀN THÀNH ĐƯA VÀO QUYẾT TOÁN</v>
          </cell>
        </row>
      </sheetData>
      <sheetData sheetId="8992" refreshError="1"/>
      <sheetData sheetId="8993" refreshError="1"/>
      <sheetData sheetId="8994" refreshError="1"/>
      <sheetData sheetId="8995" refreshError="1"/>
      <sheetData sheetId="8996" refreshError="1"/>
      <sheetData sheetId="8997">
        <row r="4">
          <cell r="A4" t="str">
            <v>BẢNG TÍNH TOÁN, ĐO BÓC KHỐI LƯỢNG HOÀN THÀNH ĐƯA VÀO QUYẾT TOÁN</v>
          </cell>
        </row>
      </sheetData>
      <sheetData sheetId="8998">
        <row r="9">
          <cell r="A9" t="str">
            <v>A</v>
          </cell>
        </row>
      </sheetData>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ow r="9">
          <cell r="A9" t="str">
            <v>A</v>
          </cell>
        </row>
      </sheetData>
      <sheetData sheetId="9017">
        <row r="9">
          <cell r="A9" t="str">
            <v>A</v>
          </cell>
        </row>
      </sheetData>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ow r="4">
          <cell r="A4" t="str">
            <v>BẢNG TÍNH TOÁN, ĐO BÓC KHỐI LƯỢNG HOÀN THÀNH ĐƯA VÀO QUYẾT TOÁN</v>
          </cell>
        </row>
      </sheetData>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ow r="4">
          <cell r="A4" t="str">
            <v>BẢNG TÍNH TOÁN, ĐO BÓC KHỐI LƯỢNG HOÀN THÀNH ĐƯA VÀO QUYẾT TOÁN</v>
          </cell>
        </row>
      </sheetData>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ow r="9">
          <cell r="A9" t="str">
            <v>A</v>
          </cell>
        </row>
      </sheetData>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ow r="4">
          <cell r="A4" t="str">
            <v>BẢNG TÍNH TOÁN, ĐO BÓC KHỐI LƯỢNG HOÀN THÀNH ĐƯA VÀO QUYẾT TOÁN</v>
          </cell>
        </row>
      </sheetData>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sheetData sheetId="9237"/>
      <sheetData sheetId="9238"/>
      <sheetData sheetId="9239">
        <row r="4">
          <cell r="A4" t="str">
            <v>BẢNG TÍNH TOÁN, ĐO BÓC KHỐI LƯỢNG HOÀN THÀNH ĐƯA VÀO QUYẾT TOÁN</v>
          </cell>
        </row>
      </sheetData>
      <sheetData sheetId="9240">
        <row r="4">
          <cell r="A4" t="str">
            <v>BẢNG TÍNH TOÁN, ĐO BÓC KHỐI LƯỢNG HOÀN THÀNH ĐƯA VÀO QUYẾT TOÁN</v>
          </cell>
        </row>
      </sheetData>
      <sheetData sheetId="9241">
        <row r="4">
          <cell r="A4" t="str">
            <v>BẢNG TÍNH TOÁN, ĐO BÓC KHỐI LƯỢNG HOÀN THÀNH ĐƯA VÀO QUYẾT TOÁN</v>
          </cell>
        </row>
      </sheetData>
      <sheetData sheetId="9242" refreshError="1"/>
      <sheetData sheetId="9243" refreshError="1"/>
      <sheetData sheetId="9244" refreshError="1"/>
      <sheetData sheetId="9245" refreshError="1"/>
      <sheetData sheetId="9246">
        <row r="4">
          <cell r="A4" t="str">
            <v>BẢNG TÍNH TOÁN, ĐO BÓC KHỐI LƯỢNG HOÀN THÀNH ĐƯA VÀO QUYẾT TOÁN</v>
          </cell>
        </row>
      </sheetData>
      <sheetData sheetId="9247">
        <row r="4">
          <cell r="A4" t="str">
            <v>BẢNG TÍNH TOÁN, ĐO BÓC KHỐI LƯỢNG HOÀN THÀNH ĐƯA VÀO QUYẾT TOÁN</v>
          </cell>
        </row>
      </sheetData>
      <sheetData sheetId="9248">
        <row r="4">
          <cell r="A4" t="str">
            <v>BẢNG TÍNH TOÁN, ĐO BÓC KHỐI LƯỢNG HOÀN THÀNH ĐƯA VÀO QUYẾT TOÁN</v>
          </cell>
        </row>
      </sheetData>
      <sheetData sheetId="9249" refreshError="1"/>
      <sheetData sheetId="9250">
        <row r="4">
          <cell r="A4" t="str">
            <v>BẢNG TÍNH TOÁN, ĐO BÓC KHỐI LƯỢNG HOÀN THÀNH ĐƯA VÀO QUYẾT TOÁN</v>
          </cell>
        </row>
      </sheetData>
      <sheetData sheetId="9251">
        <row r="4">
          <cell r="A4" t="str">
            <v>BẢNG TÍNH TOÁN, ĐO BÓC KHỐI LƯỢNG HOÀN THÀNH ĐƯA VÀO QUYẾT TOÁN</v>
          </cell>
        </row>
      </sheetData>
      <sheetData sheetId="9252">
        <row r="4">
          <cell r="A4" t="str">
            <v>BẢNG TÍNH TOÁN, ĐO BÓC KHỐI LƯỢNG HOÀN THÀNH ĐƯA VÀO QUYẾT TOÁN</v>
          </cell>
        </row>
      </sheetData>
      <sheetData sheetId="9253">
        <row r="4">
          <cell r="A4" t="str">
            <v>BẢNG TÍNH TOÁN, ĐO BÓC KHỐI LƯỢNG HOÀN THÀNH ĐƯA VÀO QUYẾT TOÁN</v>
          </cell>
        </row>
      </sheetData>
      <sheetData sheetId="9254">
        <row r="4">
          <cell r="A4" t="str">
            <v>BẢNG TÍNH TOÁN, ĐO BÓC KHỐI LƯỢNG HOÀN THÀNH ĐƯA VÀO QUYẾT TOÁN</v>
          </cell>
        </row>
      </sheetData>
      <sheetData sheetId="9255">
        <row r="4">
          <cell r="A4" t="str">
            <v>BẢNG TÍNH TOÁN, ĐO BÓC KHỐI LƯỢNG HOÀN THÀNH ĐƯA VÀO QUYẾT TOÁN</v>
          </cell>
        </row>
      </sheetData>
      <sheetData sheetId="9256">
        <row r="4">
          <cell r="A4" t="str">
            <v>BẢNG TÍNH TOÁN, ĐO BÓC KHỐI LƯỢNG HOÀN THÀNH ĐƯA VÀO QUYẾT TOÁN</v>
          </cell>
        </row>
      </sheetData>
      <sheetData sheetId="9257">
        <row r="4">
          <cell r="A4" t="str">
            <v>BẢNG TÍNH TOÁN, ĐO BÓC KHỐI LƯỢNG HOÀN THÀNH ĐƯA VÀO QUYẾT TOÁN</v>
          </cell>
        </row>
      </sheetData>
      <sheetData sheetId="9258"/>
      <sheetData sheetId="9259"/>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ow r="4">
          <cell r="A4" t="str">
            <v>BẢNG TÍNH TOÁN, ĐO BÓC KHỐI LƯỢNG HOÀN THÀNH ĐƯA VÀO QUYẾT TOÁN</v>
          </cell>
        </row>
      </sheetData>
      <sheetData sheetId="9281">
        <row r="4">
          <cell r="A4" t="str">
            <v>BẢNG TÍNH TOÁN, ĐO BÓC KHỐI LƯỢNG HOÀN THÀNH ĐƯA VÀO QUYẾT TOÁN</v>
          </cell>
        </row>
      </sheetData>
      <sheetData sheetId="9282">
        <row r="4">
          <cell r="A4" t="str">
            <v>BẢNG TÍNH TOÁN, ĐO BÓC KHỐI LƯỢNG HOÀN THÀNH ĐƯA VÀO QUYẾT TOÁN</v>
          </cell>
        </row>
      </sheetData>
      <sheetData sheetId="9283">
        <row r="4">
          <cell r="A4" t="str">
            <v>BẢNG TÍNH TOÁN, ĐO BÓC KHỐI LƯỢNG HOÀN THÀNH ĐƯA VÀO QUYẾT TOÁN</v>
          </cell>
        </row>
      </sheetData>
      <sheetData sheetId="9284">
        <row r="4">
          <cell r="A4" t="str">
            <v>BẢNG TÍNH TOÁN, ĐO BÓC KHỐI LƯỢNG HOÀN THÀNH ĐƯA VÀO QUYẾT TOÁN</v>
          </cell>
        </row>
      </sheetData>
      <sheetData sheetId="9285">
        <row r="4">
          <cell r="A4" t="str">
            <v>BẢNG TÍNH TOÁN, ĐO BÓC KHỐI LƯỢNG HOÀN THÀNH ĐƯA VÀO QUYẾT TOÁN</v>
          </cell>
        </row>
      </sheetData>
      <sheetData sheetId="9286">
        <row r="4">
          <cell r="A4" t="str">
            <v>BẢNG TÍNH TOÁN, ĐO BÓC KHỐI LƯỢNG HOÀN THÀNH ĐƯA VÀO QUYẾT TOÁN</v>
          </cell>
        </row>
      </sheetData>
      <sheetData sheetId="9287">
        <row r="4">
          <cell r="A4" t="str">
            <v>BẢNG TÍNH TOÁN, ĐO BÓC KHỐI LƯỢNG HOÀN THÀNH ĐƯA VÀO QUYẾT TOÁN</v>
          </cell>
        </row>
      </sheetData>
      <sheetData sheetId="9288">
        <row r="4">
          <cell r="A4" t="str">
            <v>BẢNG TÍNH TOÁN, ĐO BÓC KHỐI LƯỢNG HOÀN THÀNH ĐƯA VÀO QUYẾT TOÁN</v>
          </cell>
        </row>
      </sheetData>
      <sheetData sheetId="9289">
        <row r="4">
          <cell r="A4" t="str">
            <v>BẢNG TÍNH TOÁN, ĐO BÓC KHỐI LƯỢNG HOÀN THÀNH ĐƯA VÀO QUYẾT TOÁN</v>
          </cell>
        </row>
      </sheetData>
      <sheetData sheetId="9290">
        <row r="4">
          <cell r="A4" t="str">
            <v>BẢNG TÍNH TOÁN, ĐO BÓC KHỐI LƯỢNG HOÀN THÀNH ĐƯA VÀO QUYẾT TOÁN</v>
          </cell>
        </row>
      </sheetData>
      <sheetData sheetId="9291">
        <row r="4">
          <cell r="A4" t="str">
            <v>BẢNG TÍNH TOÁN, ĐO BÓC KHỐI LƯỢNG HOÀN THÀNH ĐƯA VÀO QUYẾT TOÁN</v>
          </cell>
        </row>
      </sheetData>
      <sheetData sheetId="9292">
        <row r="4">
          <cell r="A4" t="str">
            <v>BẢNG TÍNH TOÁN, ĐO BÓC KHỐI LƯỢNG HOÀN THÀNH ĐƯA VÀO QUYẾT TOÁN</v>
          </cell>
        </row>
      </sheetData>
      <sheetData sheetId="9293">
        <row r="4">
          <cell r="A4" t="str">
            <v>BẢNG TÍNH TOÁN, ĐO BÓC KHỐI LƯỢNG HOÀN THÀNH ĐƯA VÀO QUYẾT TOÁN</v>
          </cell>
        </row>
      </sheetData>
      <sheetData sheetId="9294">
        <row r="4">
          <cell r="A4" t="str">
            <v>BẢNG TÍNH TOÁN, ĐO BÓC KHỐI LƯỢNG HOÀN THÀNH ĐƯA VÀO QUYẾT TOÁN</v>
          </cell>
        </row>
      </sheetData>
      <sheetData sheetId="9295">
        <row r="4">
          <cell r="A4" t="str">
            <v>BẢNG TÍNH TOÁN, ĐO BÓC KHỐI LƯỢNG HOÀN THÀNH ĐƯA VÀO QUYẾT TOÁN</v>
          </cell>
        </row>
      </sheetData>
      <sheetData sheetId="9296">
        <row r="4">
          <cell r="A4" t="str">
            <v>BẢNG TÍNH TOÁN, ĐO BÓC KHỐI LƯỢNG HOÀN THÀNH ĐƯA VÀO QUYẾT TOÁN</v>
          </cell>
        </row>
      </sheetData>
      <sheetData sheetId="9297">
        <row r="4">
          <cell r="A4" t="str">
            <v>BẢNG TÍNH TOÁN, ĐO BÓC KHỐI LƯỢNG HOÀN THÀNH ĐƯA VÀO QUYẾT TOÁN</v>
          </cell>
        </row>
      </sheetData>
      <sheetData sheetId="9298">
        <row r="4">
          <cell r="A4" t="str">
            <v>BẢNG TÍNH TOÁN, ĐO BÓC KHỐI LƯỢNG HOÀN THÀNH ĐƯA VÀO QUYẾT TOÁN</v>
          </cell>
        </row>
      </sheetData>
      <sheetData sheetId="9299">
        <row r="4">
          <cell r="A4" t="str">
            <v>BẢNG TÍNH TOÁN, ĐO BÓC KHỐI LƯỢNG HOÀN THÀNH ĐƯA VÀO QUYẾT TOÁN</v>
          </cell>
        </row>
      </sheetData>
      <sheetData sheetId="9300">
        <row r="4">
          <cell r="A4" t="str">
            <v>BẢNG TÍNH TOÁN, ĐO BÓC KHỐI LƯỢNG HOÀN THÀNH ĐƯA VÀO QUYẾT TOÁN</v>
          </cell>
        </row>
      </sheetData>
      <sheetData sheetId="9301">
        <row r="4">
          <cell r="A4" t="str">
            <v>BẢNG TÍNH TOÁN, ĐO BÓC KHỐI LƯỢNG HOÀN THÀNH ĐƯA VÀO QUYẾT TOÁN</v>
          </cell>
        </row>
      </sheetData>
      <sheetData sheetId="9302">
        <row r="4">
          <cell r="A4" t="str">
            <v>BẢNG TÍNH TOÁN, ĐO BÓC KHỐI LƯỢNG HOÀN THÀNH ĐƯA VÀO QUYẾT TOÁN</v>
          </cell>
        </row>
      </sheetData>
      <sheetData sheetId="9303">
        <row r="4">
          <cell r="A4" t="str">
            <v>BẢNG TÍNH TOÁN, ĐO BÓC KHỐI LƯỢNG HOÀN THÀNH ĐƯA VÀO QUYẾT TOÁN</v>
          </cell>
        </row>
      </sheetData>
      <sheetData sheetId="9304">
        <row r="4">
          <cell r="A4" t="str">
            <v>BẢNG TÍNH TOÁN, ĐO BÓC KHỐI LƯỢNG HOÀN THÀNH ĐƯA VÀO QUYẾT TOÁN</v>
          </cell>
        </row>
      </sheetData>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ow r="4">
          <cell r="A4" t="str">
            <v>BẢNG TÍNH TOÁN, ĐO BÓC KHỐI LƯỢNG HOÀN THÀNH ĐƯA VÀO QUYẾT TOÁN</v>
          </cell>
        </row>
      </sheetData>
      <sheetData sheetId="9321">
        <row r="4">
          <cell r="A4" t="str">
            <v>BẢNG TÍNH TOÁN, ĐO BÓC KHỐI LƯỢNG HOÀN THÀNH ĐƯA VÀO QUYẾT TOÁN</v>
          </cell>
        </row>
      </sheetData>
      <sheetData sheetId="9322">
        <row r="4">
          <cell r="A4" t="str">
            <v>BẢNG TÍNH TOÁN, ĐO BÓC KHỐI LƯỢNG HOÀN THÀNH ĐƯA VÀO QUYẾT TOÁN</v>
          </cell>
        </row>
      </sheetData>
      <sheetData sheetId="9323">
        <row r="4">
          <cell r="A4" t="str">
            <v>BẢNG TÍNH TOÁN, ĐO BÓC KHỐI LƯỢNG HOÀN THÀNH ĐƯA VÀO QUYẾT TOÁN</v>
          </cell>
        </row>
      </sheetData>
      <sheetData sheetId="9324">
        <row r="4">
          <cell r="A4" t="str">
            <v>BẢNG TÍNH TOÁN, ĐO BÓC KHỐI LƯỢNG HOÀN THÀNH ĐƯA VÀO QUYẾT TOÁN</v>
          </cell>
        </row>
      </sheetData>
      <sheetData sheetId="9325" refreshError="1"/>
      <sheetData sheetId="9326" refreshError="1"/>
      <sheetData sheetId="9327">
        <row r="4">
          <cell r="A4" t="str">
            <v>BẢNG TÍNH TOÁN, ĐO BÓC KHỐI LƯỢNG HOÀN THÀNH ĐƯA VÀO QUYẾT TOÁN</v>
          </cell>
        </row>
      </sheetData>
      <sheetData sheetId="9328">
        <row r="4">
          <cell r="A4" t="str">
            <v>BẢNG TÍNH TOÁN, ĐO BÓC KHỐI LƯỢNG HOÀN THÀNH ĐƯA VÀO QUYẾT TOÁN</v>
          </cell>
        </row>
      </sheetData>
      <sheetData sheetId="9329">
        <row r="4">
          <cell r="A4" t="str">
            <v>BẢNG TÍNH TOÁN, ĐO BÓC KHỐI LƯỢNG HOÀN THÀNH ĐƯA VÀO QUYẾT TOÁN</v>
          </cell>
        </row>
      </sheetData>
      <sheetData sheetId="9330">
        <row r="4">
          <cell r="A4" t="str">
            <v>BẢNG TÍNH TOÁN, ĐO BÓC KHỐI LƯỢNG HOÀN THÀNH ĐƯA VÀO QUYẾT TOÁN</v>
          </cell>
        </row>
      </sheetData>
      <sheetData sheetId="9331">
        <row r="4">
          <cell r="A4" t="str">
            <v>BẢNG TÍNH TOÁN, ĐO BÓC KHỐI LƯỢNG HOÀN THÀNH ĐƯA VÀO QUYẾT TOÁN</v>
          </cell>
        </row>
      </sheetData>
      <sheetData sheetId="9332">
        <row r="4">
          <cell r="A4" t="str">
            <v>BẢNG TÍNH TOÁN, ĐO BÓC KHỐI LƯỢNG HOÀN THÀNH ĐƯA VÀO QUYẾT TOÁN</v>
          </cell>
        </row>
      </sheetData>
      <sheetData sheetId="9333">
        <row r="4">
          <cell r="A4" t="str">
            <v>BẢNG TÍNH TOÁN, ĐO BÓC KHỐI LƯỢNG HOÀN THÀNH ĐƯA VÀO QUYẾT TOÁN</v>
          </cell>
        </row>
      </sheetData>
      <sheetData sheetId="9334">
        <row r="4">
          <cell r="A4" t="str">
            <v>BẢNG TÍNH TOÁN, ĐO BÓC KHỐI LƯỢNG HOÀN THÀNH ĐƯA VÀO QUYẾT TOÁN</v>
          </cell>
        </row>
      </sheetData>
      <sheetData sheetId="9335">
        <row r="4">
          <cell r="A4" t="str">
            <v>BẢNG TÍNH TOÁN, ĐO BÓC KHỐI LƯỢNG HOÀN THÀNH ĐƯA VÀO QUYẾT TOÁN</v>
          </cell>
        </row>
      </sheetData>
      <sheetData sheetId="9336">
        <row r="4">
          <cell r="A4" t="str">
            <v>BẢNG TÍNH TOÁN, ĐO BÓC KHỐI LƯỢNG HOÀN THÀNH ĐƯA VÀO QUYẾT TOÁN</v>
          </cell>
        </row>
      </sheetData>
      <sheetData sheetId="9337">
        <row r="4">
          <cell r="A4" t="str">
            <v>BẢNG TÍNH TOÁN, ĐO BÓC KHỐI LƯỢNG HOÀN THÀNH ĐƯA VÀO QUYẾT TOÁN</v>
          </cell>
        </row>
      </sheetData>
      <sheetData sheetId="9338">
        <row r="4">
          <cell r="A4" t="str">
            <v>BẢNG TÍNH TOÁN, ĐO BÓC KHỐI LƯỢNG HOÀN THÀNH ĐƯA VÀO QUYẾT TOÁN</v>
          </cell>
        </row>
      </sheetData>
      <sheetData sheetId="9339">
        <row r="4">
          <cell r="A4" t="str">
            <v>BẢNG TÍNH TOÁN, ĐO BÓC KHỐI LƯỢNG HOÀN THÀNH ĐƯA VÀO QUYẾT TOÁN</v>
          </cell>
        </row>
      </sheetData>
      <sheetData sheetId="9340"/>
      <sheetData sheetId="9341"/>
      <sheetData sheetId="9342">
        <row r="9">
          <cell r="A9" t="str">
            <v>A</v>
          </cell>
        </row>
      </sheetData>
      <sheetData sheetId="9343"/>
      <sheetData sheetId="9344">
        <row r="9">
          <cell r="A9" t="str">
            <v>A</v>
          </cell>
        </row>
      </sheetData>
      <sheetData sheetId="9345">
        <row r="4">
          <cell r="A4" t="str">
            <v>BẢNG TÍNH TOÁN, ĐO BÓC KHỐI LƯỢNG HOÀN THÀNH ĐƯA VÀO QUYẾT TOÁN</v>
          </cell>
        </row>
      </sheetData>
      <sheetData sheetId="9346">
        <row r="4">
          <cell r="A4" t="str">
            <v>BẢNG TÍNH TOÁN, ĐO BÓC KHỐI LƯỢNG HOÀN THÀNH ĐƯA VÀO QUYẾT TOÁN</v>
          </cell>
        </row>
      </sheetData>
      <sheetData sheetId="9347" refreshError="1"/>
      <sheetData sheetId="9348" refreshError="1"/>
      <sheetData sheetId="9349" refreshError="1"/>
      <sheetData sheetId="9350" refreshError="1"/>
      <sheetData sheetId="9351" refreshError="1"/>
      <sheetData sheetId="9352">
        <row r="4">
          <cell r="A4" t="str">
            <v>BẢNG TÍNH TOÁN, ĐO BÓC KHỐI LƯỢNG HOÀN THÀNH ĐƯA VÀO QUYẾT TOÁN</v>
          </cell>
        </row>
      </sheetData>
      <sheetData sheetId="9353">
        <row r="4">
          <cell r="A4" t="str">
            <v>BẢNG TÍNH TOÁN, ĐO BÓC KHỐI LƯỢNG HOÀN THÀNH ĐƯA VÀO QUYẾT TOÁN</v>
          </cell>
        </row>
      </sheetData>
      <sheetData sheetId="9354">
        <row r="4">
          <cell r="A4" t="str">
            <v>BẢNG TÍNH TOÁN, ĐO BÓC KHỐI LƯỢNG HOÀN THÀNH ĐƯA VÀO QUYẾT TOÁN</v>
          </cell>
        </row>
      </sheetData>
      <sheetData sheetId="9355"/>
      <sheetData sheetId="9356"/>
      <sheetData sheetId="9357"/>
      <sheetData sheetId="9358">
        <row r="4">
          <cell r="A4" t="str">
            <v>BẢNG TÍNH TOÁN, ĐO BÓC KHỐI LƯỢNG HOÀN THÀNH ĐƯA VÀO QUYẾT TOÁN</v>
          </cell>
        </row>
      </sheetData>
      <sheetData sheetId="9359">
        <row r="4">
          <cell r="A4" t="str">
            <v>BẢNG TÍNH TOÁN, ĐO BÓC KHỐI LƯỢNG HOÀN THÀNH ĐƯA VÀO QUYẾT TOÁN</v>
          </cell>
        </row>
      </sheetData>
      <sheetData sheetId="9360">
        <row r="4">
          <cell r="A4" t="str">
            <v>BẢNG TÍNH TOÁN, ĐO BÓC KHỐI LƯỢNG HOÀN THÀNH ĐƯA VÀO QUYẾT TOÁN</v>
          </cell>
        </row>
      </sheetData>
      <sheetData sheetId="9361">
        <row r="4">
          <cell r="A4" t="str">
            <v>BẢNG TÍNH TOÁN, ĐO BÓC KHỐI LƯỢNG HOÀN THÀNH ĐƯA VÀO QUYẾT TOÁN</v>
          </cell>
        </row>
      </sheetData>
      <sheetData sheetId="9362" refreshError="1"/>
      <sheetData sheetId="9363" refreshError="1"/>
      <sheetData sheetId="9364" refreshError="1"/>
      <sheetData sheetId="9365">
        <row r="4">
          <cell r="A4" t="str">
            <v>BẢNG TÍNH TOÁN, ĐO BÓC KHỐI LƯỢNG HOÀN THÀNH ĐƯA VÀO QUYẾT TOÁN</v>
          </cell>
        </row>
      </sheetData>
      <sheetData sheetId="9366">
        <row r="4">
          <cell r="A4" t="str">
            <v>BẢNG TÍNH TOÁN, ĐO BÓC KHỐI LƯỢNG HOÀN THÀNH ĐƯA VÀO QUYẾT TOÁN</v>
          </cell>
        </row>
      </sheetData>
      <sheetData sheetId="9367">
        <row r="4">
          <cell r="A4" t="str">
            <v>BẢNG TÍNH TOÁN, ĐO BÓC KHỐI LƯỢNG HOÀN THÀNH ĐƯA VÀO QUYẾT TOÁN</v>
          </cell>
        </row>
      </sheetData>
      <sheetData sheetId="9368">
        <row r="4">
          <cell r="A4" t="str">
            <v>BẢNG TÍNH TOÁN, ĐO BÓC KHỐI LƯỢNG HOÀN THÀNH ĐƯA VÀO QUYẾT TOÁN</v>
          </cell>
        </row>
      </sheetData>
      <sheetData sheetId="9369">
        <row r="9">
          <cell r="A9" t="str">
            <v>A</v>
          </cell>
        </row>
      </sheetData>
      <sheetData sheetId="9370"/>
      <sheetData sheetId="9371"/>
      <sheetData sheetId="9372">
        <row r="9">
          <cell r="A9" t="str">
            <v>A</v>
          </cell>
        </row>
      </sheetData>
      <sheetData sheetId="9373"/>
      <sheetData sheetId="9374"/>
      <sheetData sheetId="9375">
        <row r="4">
          <cell r="A4" t="str">
            <v>BẢNG TÍNH TOÁN, ĐO BÓC KHỐI LƯỢNG HOÀN THÀNH ĐƯA VÀO QUYẾT TOÁN</v>
          </cell>
        </row>
      </sheetData>
      <sheetData sheetId="9376">
        <row r="4">
          <cell r="A4" t="str">
            <v>BẢNG TÍNH TOÁN, ĐO BÓC KHỐI LƯỢNG HOÀN THÀNH ĐƯA VÀO QUYẾT TOÁN</v>
          </cell>
        </row>
      </sheetData>
      <sheetData sheetId="9377">
        <row r="4">
          <cell r="A4" t="str">
            <v>BẢNG TÍNH TOÁN, ĐO BÓC KHỐI LƯỢNG HOÀN THÀNH ĐƯA VÀO QUYẾT TOÁN</v>
          </cell>
        </row>
      </sheetData>
      <sheetData sheetId="9378">
        <row r="4">
          <cell r="A4" t="str">
            <v>BẢNG TÍNH TOÁN, ĐO BÓC KHỐI LƯỢNG HOÀN THÀNH ĐƯA VÀO QUYẾT TOÁN</v>
          </cell>
        </row>
      </sheetData>
      <sheetData sheetId="9379">
        <row r="4">
          <cell r="A4" t="str">
            <v>BẢNG TÍNH TOÁN, ĐO BÓC KHỐI LƯỢNG HOÀN THÀNH ĐƯA VÀO QUYẾT TOÁN</v>
          </cell>
        </row>
      </sheetData>
      <sheetData sheetId="9380">
        <row r="4">
          <cell r="A4" t="str">
            <v>BẢNG TÍNH TOÁN, ĐO BÓC KHỐI LƯỢNG HOÀN THÀNH ĐƯA VÀO QUYẾT TOÁN</v>
          </cell>
        </row>
      </sheetData>
      <sheetData sheetId="9381">
        <row r="4">
          <cell r="A4" t="str">
            <v>BẢNG TÍNH TOÁN, ĐO BÓC KHỐI LƯỢNG HOÀN THÀNH ĐƯA VÀO QUYẾT TOÁN</v>
          </cell>
        </row>
      </sheetData>
      <sheetData sheetId="9382">
        <row r="4">
          <cell r="A4" t="str">
            <v>BẢNG TÍNH TOÁN, ĐO BÓC KHỐI LƯỢNG HOÀN THÀNH ĐƯA VÀO QUYẾT TOÁN</v>
          </cell>
        </row>
      </sheetData>
      <sheetData sheetId="9383">
        <row r="4">
          <cell r="A4" t="str">
            <v>BẢNG TÍNH TOÁN, ĐO BÓC KHỐI LƯỢNG HOÀN THÀNH ĐƯA VÀO QUYẾT TOÁN</v>
          </cell>
        </row>
      </sheetData>
      <sheetData sheetId="9384">
        <row r="4">
          <cell r="A4" t="str">
            <v>BẢNG TÍNH TOÁN, ĐO BÓC KHỐI LƯỢNG HOÀN THÀNH ĐƯA VÀO QUYẾT TOÁN</v>
          </cell>
        </row>
      </sheetData>
      <sheetData sheetId="9385">
        <row r="4">
          <cell r="A4" t="str">
            <v>BẢNG TÍNH TOÁN, ĐO BÓC KHỐI LƯỢNG HOÀN THÀNH ĐƯA VÀO QUYẾT TOÁN</v>
          </cell>
        </row>
      </sheetData>
      <sheetData sheetId="9386">
        <row r="4">
          <cell r="A4" t="str">
            <v>BẢNG TÍNH TOÁN, ĐO BÓC KHỐI LƯỢNG HOÀN THÀNH ĐƯA VÀO QUYẾT TOÁN</v>
          </cell>
        </row>
      </sheetData>
      <sheetData sheetId="9387" refreshError="1"/>
      <sheetData sheetId="9388">
        <row r="4">
          <cell r="A4" t="str">
            <v>BẢNG TÍNH TOÁN, ĐO BÓC KHỐI LƯỢNG HOÀN THÀNH ĐƯA VÀO QUYẾT TOÁN</v>
          </cell>
        </row>
      </sheetData>
      <sheetData sheetId="9389">
        <row r="4">
          <cell r="A4" t="str">
            <v>BẢNG TÍNH TOÁN, ĐO BÓC KHỐI LƯỢNG HOÀN THÀNH ĐƯA VÀO QUYẾT TOÁN</v>
          </cell>
        </row>
      </sheetData>
      <sheetData sheetId="9390">
        <row r="4">
          <cell r="A4" t="str">
            <v>BẢNG TÍNH TOÁN, ĐO BÓC KHỐI LƯỢNG HOÀN THÀNH ĐƯA VÀO QUYẾT TOÁN</v>
          </cell>
        </row>
      </sheetData>
      <sheetData sheetId="9391">
        <row r="4">
          <cell r="A4" t="str">
            <v>BẢNG TÍNH TOÁN, ĐO BÓC KHỐI LƯỢNG HOÀN THÀNH ĐƯA VÀO QUYẾT TOÁN</v>
          </cell>
        </row>
      </sheetData>
      <sheetData sheetId="9392">
        <row r="4">
          <cell r="A4" t="str">
            <v>BẢNG TÍNH TOÁN, ĐO BÓC KHỐI LƯỢNG HOÀN THÀNH ĐƯA VÀO QUYẾT TOÁN</v>
          </cell>
        </row>
      </sheetData>
      <sheetData sheetId="9393">
        <row r="4">
          <cell r="A4" t="str">
            <v>BẢNG TÍNH TOÁN, ĐO BÓC KHỐI LƯỢNG HOÀN THÀNH ĐƯA VÀO QUYẾT TOÁN</v>
          </cell>
        </row>
      </sheetData>
      <sheetData sheetId="9394">
        <row r="4">
          <cell r="A4" t="str">
            <v>BẢNG TÍNH TOÁN, ĐO BÓC KHỐI LƯỢNG HOÀN THÀNH ĐƯA VÀO QUYẾT TOÁN</v>
          </cell>
        </row>
      </sheetData>
      <sheetData sheetId="9395">
        <row r="4">
          <cell r="A4" t="str">
            <v>BẢNG TÍNH TOÁN, ĐO BÓC KHỐI LƯỢNG HOÀN THÀNH ĐƯA VÀO QUYẾT TOÁN</v>
          </cell>
        </row>
      </sheetData>
      <sheetData sheetId="9396">
        <row r="4">
          <cell r="A4" t="str">
            <v>BẢNG TÍNH TOÁN, ĐO BÓC KHỐI LƯỢNG HOÀN THÀNH ĐƯA VÀO QUYẾT TOÁN</v>
          </cell>
        </row>
      </sheetData>
      <sheetData sheetId="9397">
        <row r="4">
          <cell r="A4" t="str">
            <v>BẢNG TÍNH TOÁN, ĐO BÓC KHỐI LƯỢNG HOÀN THÀNH ĐƯA VÀO QUYẾT TOÁN</v>
          </cell>
        </row>
      </sheetData>
      <sheetData sheetId="9398">
        <row r="4">
          <cell r="A4" t="str">
            <v>BẢNG TÍNH TOÁN, ĐO BÓC KHỐI LƯỢNG HOÀN THÀNH ĐƯA VÀO QUYẾT TOÁN</v>
          </cell>
        </row>
      </sheetData>
      <sheetData sheetId="9399">
        <row r="4">
          <cell r="A4" t="str">
            <v>BẢNG TÍNH TOÁN, ĐO BÓC KHỐI LƯỢNG HOÀN THÀNH ĐƯA VÀO QUYẾT TOÁN</v>
          </cell>
        </row>
      </sheetData>
      <sheetData sheetId="9400">
        <row r="4">
          <cell r="A4" t="str">
            <v>BẢNG TÍNH TOÁN, ĐO BÓC KHỐI LƯỢNG HOÀN THÀNH ĐƯA VÀO QUYẾT TOÁN</v>
          </cell>
        </row>
      </sheetData>
      <sheetData sheetId="9401">
        <row r="4">
          <cell r="A4" t="str">
            <v>BẢNG TÍNH TOÁN, ĐO BÓC KHỐI LƯỢNG HOÀN THÀNH ĐƯA VÀO QUYẾT TOÁN</v>
          </cell>
        </row>
      </sheetData>
      <sheetData sheetId="9402">
        <row r="4">
          <cell r="A4" t="str">
            <v>BẢNG TÍNH TOÁN, ĐO BÓC KHỐI LƯỢNG HOÀN THÀNH ĐƯA VÀO QUYẾT TOÁN</v>
          </cell>
        </row>
      </sheetData>
      <sheetData sheetId="9403">
        <row r="4">
          <cell r="A4" t="str">
            <v>BẢNG TÍNH TOÁN, ĐO BÓC KHỐI LƯỢNG HOÀN THÀNH ĐƯA VÀO QUYẾT TOÁN</v>
          </cell>
        </row>
      </sheetData>
      <sheetData sheetId="9404">
        <row r="4">
          <cell r="A4" t="str">
            <v>BẢNG TÍNH TOÁN, ĐO BÓC KHỐI LƯỢNG HOÀN THÀNH ĐƯA VÀO QUYẾT TOÁN</v>
          </cell>
        </row>
      </sheetData>
      <sheetData sheetId="9405">
        <row r="4">
          <cell r="A4" t="str">
            <v>BẢNG TÍNH TOÁN, ĐO BÓC KHỐI LƯỢNG HOÀN THÀNH ĐƯA VÀO QUYẾT TOÁN</v>
          </cell>
        </row>
      </sheetData>
      <sheetData sheetId="9406">
        <row r="4">
          <cell r="A4" t="str">
            <v>BẢNG TÍNH TOÁN, ĐO BÓC KHỐI LƯỢNG HOÀN THÀNH ĐƯA VÀO QUYẾT TOÁN</v>
          </cell>
        </row>
      </sheetData>
      <sheetData sheetId="9407">
        <row r="4">
          <cell r="A4" t="str">
            <v>BẢNG TÍNH TOÁN, ĐO BÓC KHỐI LƯỢNG HOÀN THÀNH ĐƯA VÀO QUYẾT TOÁN</v>
          </cell>
        </row>
      </sheetData>
      <sheetData sheetId="9408">
        <row r="4">
          <cell r="A4" t="str">
            <v>BẢNG TÍNH TOÁN, ĐO BÓC KHỐI LƯỢNG HOÀN THÀNH ĐƯA VÀO QUYẾT TOÁN</v>
          </cell>
        </row>
      </sheetData>
      <sheetData sheetId="9409">
        <row r="4">
          <cell r="A4" t="str">
            <v>BẢNG TÍNH TOÁN, ĐO BÓC KHỐI LƯỢNG HOÀN THÀNH ĐƯA VÀO QUYẾT TOÁN</v>
          </cell>
        </row>
      </sheetData>
      <sheetData sheetId="9410">
        <row r="4">
          <cell r="A4" t="str">
            <v>BẢNG TÍNH TOÁN, ĐO BÓC KHỐI LƯỢNG HOÀN THÀNH ĐƯA VÀO QUYẾT TOÁN</v>
          </cell>
        </row>
      </sheetData>
      <sheetData sheetId="9411">
        <row r="4">
          <cell r="A4" t="str">
            <v>BẢNG TÍNH TOÁN, ĐO BÓC KHỐI LƯỢNG HOÀN THÀNH ĐƯA VÀO QUYẾT TOÁN</v>
          </cell>
        </row>
      </sheetData>
      <sheetData sheetId="9412">
        <row r="4">
          <cell r="A4" t="str">
            <v>BẢNG TÍNH TOÁN, ĐO BÓC KHỐI LƯỢNG HOÀN THÀNH ĐƯA VÀO QUYẾT TOÁN</v>
          </cell>
        </row>
      </sheetData>
      <sheetData sheetId="9413">
        <row r="4">
          <cell r="A4" t="str">
            <v>BẢNG TÍNH TOÁN, ĐO BÓC KHỐI LƯỢNG HOÀN THÀNH ĐƯA VÀO QUYẾT TOÁN</v>
          </cell>
        </row>
      </sheetData>
      <sheetData sheetId="9414">
        <row r="4">
          <cell r="A4" t="str">
            <v>BẢNG TÍNH TOÁN, ĐO BÓC KHỐI LƯỢNG HOÀN THÀNH ĐƯA VÀO QUYẾT TOÁN</v>
          </cell>
        </row>
      </sheetData>
      <sheetData sheetId="9415">
        <row r="4">
          <cell r="A4" t="str">
            <v>BẢNG TÍNH TOÁN, ĐO BÓC KHỐI LƯỢNG HOÀN THÀNH ĐƯA VÀO QUYẾT TOÁN</v>
          </cell>
        </row>
      </sheetData>
      <sheetData sheetId="9416">
        <row r="4">
          <cell r="A4" t="str">
            <v>BẢNG TÍNH TOÁN, ĐO BÓC KHỐI LƯỢNG HOÀN THÀNH ĐƯA VÀO QUYẾT TOÁN</v>
          </cell>
        </row>
      </sheetData>
      <sheetData sheetId="9417">
        <row r="4">
          <cell r="A4" t="str">
            <v>BẢNG TÍNH TOÁN, ĐO BÓC KHỐI LƯỢNG HOÀN THÀNH ĐƯA VÀO QUYẾT TOÁN</v>
          </cell>
        </row>
      </sheetData>
      <sheetData sheetId="9418">
        <row r="4">
          <cell r="A4" t="str">
            <v>BẢNG TÍNH TOÁN, ĐO BÓC KHỐI LƯỢNG HOÀN THÀNH ĐƯA VÀO QUYẾT TOÁN</v>
          </cell>
        </row>
      </sheetData>
      <sheetData sheetId="9419">
        <row r="4">
          <cell r="A4" t="str">
            <v>BẢNG TÍNH TOÁN, ĐO BÓC KHỐI LƯỢNG HOÀN THÀNH ĐƯA VÀO QUYẾT TOÁN</v>
          </cell>
        </row>
      </sheetData>
      <sheetData sheetId="9420">
        <row r="4">
          <cell r="A4" t="str">
            <v>BẢNG TÍNH TOÁN, ĐO BÓC KHỐI LƯỢNG HOÀN THÀNH ĐƯA VÀO QUYẾT TOÁN</v>
          </cell>
        </row>
      </sheetData>
      <sheetData sheetId="9421">
        <row r="4">
          <cell r="A4" t="str">
            <v>BẢNG TÍNH TOÁN, ĐO BÓC KHỐI LƯỢNG HOÀN THÀNH ĐƯA VÀO QUYẾT TOÁN</v>
          </cell>
        </row>
      </sheetData>
      <sheetData sheetId="9422">
        <row r="4">
          <cell r="A4" t="str">
            <v>BẢNG TÍNH TOÁN, ĐO BÓC KHỐI LƯỢNG HOÀN THÀNH ĐƯA VÀO QUYẾT TOÁN</v>
          </cell>
        </row>
      </sheetData>
      <sheetData sheetId="9423">
        <row r="4">
          <cell r="A4" t="str">
            <v>BẢNG TÍNH TOÁN, ĐO BÓC KHỐI LƯỢNG HOÀN THÀNH ĐƯA VÀO QUYẾT TOÁN</v>
          </cell>
        </row>
      </sheetData>
      <sheetData sheetId="9424">
        <row r="4">
          <cell r="A4" t="str">
            <v>BẢNG TÍNH TOÁN, ĐO BÓC KHỐI LƯỢNG HOÀN THÀNH ĐƯA VÀO QUYẾT TOÁN</v>
          </cell>
        </row>
      </sheetData>
      <sheetData sheetId="9425">
        <row r="4">
          <cell r="A4" t="str">
            <v>BẢNG TÍNH TOÁN, ĐO BÓC KHỐI LƯỢNG HOÀN THÀNH ĐƯA VÀO QUYẾT TOÁN</v>
          </cell>
        </row>
      </sheetData>
      <sheetData sheetId="9426">
        <row r="4">
          <cell r="A4" t="str">
            <v>BẢNG TÍNH TOÁN, ĐO BÓC KHỐI LƯỢNG HOÀN THÀNH ĐƯA VÀO QUYẾT TOÁN</v>
          </cell>
        </row>
      </sheetData>
      <sheetData sheetId="9427">
        <row r="4">
          <cell r="A4" t="str">
            <v>BẢNG TÍNH TOÁN, ĐO BÓC KHỐI LƯỢNG HOÀN THÀNH ĐƯA VÀO QUYẾT TOÁN</v>
          </cell>
        </row>
      </sheetData>
      <sheetData sheetId="9428">
        <row r="4">
          <cell r="A4" t="str">
            <v>BẢNG TÍNH TOÁN, ĐO BÓC KHỐI LƯỢNG HOÀN THÀNH ĐƯA VÀO QUYẾT TOÁN</v>
          </cell>
        </row>
      </sheetData>
      <sheetData sheetId="9429">
        <row r="4">
          <cell r="A4" t="str">
            <v>BẢNG TÍNH TOÁN, ĐO BÓC KHỐI LƯỢNG HOÀN THÀNH ĐƯA VÀO QUYẾT TOÁN</v>
          </cell>
        </row>
      </sheetData>
      <sheetData sheetId="9430">
        <row r="4">
          <cell r="A4" t="str">
            <v>BẢNG TÍNH TOÁN, ĐO BÓC KHỐI LƯỢNG HOÀN THÀNH ĐƯA VÀO QUYẾT TOÁN</v>
          </cell>
        </row>
      </sheetData>
      <sheetData sheetId="9431">
        <row r="4">
          <cell r="A4" t="str">
            <v>BẢNG TÍNH TOÁN, ĐO BÓC KHỐI LƯỢNG HOÀN THÀNH ĐƯA VÀO QUYẾT TOÁN</v>
          </cell>
        </row>
      </sheetData>
      <sheetData sheetId="9432">
        <row r="4">
          <cell r="A4" t="str">
            <v>BẢNG TÍNH TOÁN, ĐO BÓC KHỐI LƯỢNG HOÀN THÀNH ĐƯA VÀO QUYẾT TOÁN</v>
          </cell>
        </row>
      </sheetData>
      <sheetData sheetId="9433">
        <row r="4">
          <cell r="A4" t="str">
            <v>BẢNG TÍNH TOÁN, ĐO BÓC KHỐI LƯỢNG HOÀN THÀNH ĐƯA VÀO QUYẾT TOÁN</v>
          </cell>
        </row>
      </sheetData>
      <sheetData sheetId="9434">
        <row r="4">
          <cell r="A4" t="str">
            <v>BẢNG TÍNH TOÁN, ĐO BÓC KHỐI LƯỢNG HOÀN THÀNH ĐƯA VÀO QUYẾT TOÁN</v>
          </cell>
        </row>
      </sheetData>
      <sheetData sheetId="9435">
        <row r="4">
          <cell r="A4" t="str">
            <v>BẢNG TÍNH TOÁN, ĐO BÓC KHỐI LƯỢNG HOÀN THÀNH ĐƯA VÀO QUYẾT TOÁN</v>
          </cell>
        </row>
      </sheetData>
      <sheetData sheetId="9436">
        <row r="4">
          <cell r="A4" t="str">
            <v>BẢNG TÍNH TOÁN, ĐO BÓC KHỐI LƯỢNG HOÀN THÀNH ĐƯA VÀO QUYẾT TOÁN</v>
          </cell>
        </row>
      </sheetData>
      <sheetData sheetId="9437">
        <row r="4">
          <cell r="A4" t="str">
            <v>BẢNG TÍNH TOÁN, ĐO BÓC KHỐI LƯỢNG HOÀN THÀNH ĐƯA VÀO QUYẾT TOÁN</v>
          </cell>
        </row>
      </sheetData>
      <sheetData sheetId="9438">
        <row r="4">
          <cell r="A4" t="str">
            <v>BẢNG TÍNH TOÁN, ĐO BÓC KHỐI LƯỢNG HOÀN THÀNH ĐƯA VÀO QUYẾT TOÁN</v>
          </cell>
        </row>
      </sheetData>
      <sheetData sheetId="9439">
        <row r="4">
          <cell r="A4" t="str">
            <v>BẢNG TÍNH TOÁN, ĐO BÓC KHỐI LƯỢNG HOÀN THÀNH ĐƯA VÀO QUYẾT TOÁN</v>
          </cell>
        </row>
      </sheetData>
      <sheetData sheetId="9440">
        <row r="4">
          <cell r="A4" t="str">
            <v>BẢNG TÍNH TOÁN, ĐO BÓC KHỐI LƯỢNG HOÀN THÀNH ĐƯA VÀO QUYẾT TOÁN</v>
          </cell>
        </row>
      </sheetData>
      <sheetData sheetId="9441">
        <row r="4">
          <cell r="A4" t="str">
            <v>BẢNG TÍNH TOÁN, ĐO BÓC KHỐI LƯỢNG HOÀN THÀNH ĐƯA VÀO QUYẾT TOÁN</v>
          </cell>
        </row>
      </sheetData>
      <sheetData sheetId="9442">
        <row r="4">
          <cell r="A4" t="str">
            <v>BẢNG TÍNH TOÁN, ĐO BÓC KHỐI LƯỢNG HOÀN THÀNH ĐƯA VÀO QUYẾT TOÁN</v>
          </cell>
        </row>
      </sheetData>
      <sheetData sheetId="9443">
        <row r="4">
          <cell r="A4" t="str">
            <v>BẢNG TÍNH TOÁN, ĐO BÓC KHỐI LƯỢNG HOÀN THÀNH ĐƯA VÀO QUYẾT TOÁN</v>
          </cell>
        </row>
      </sheetData>
      <sheetData sheetId="9444">
        <row r="4">
          <cell r="A4" t="str">
            <v>BẢNG TÍNH TOÁN, ĐO BÓC KHỐI LƯỢNG HOÀN THÀNH ĐƯA VÀO QUYẾT TOÁN</v>
          </cell>
        </row>
      </sheetData>
      <sheetData sheetId="9445">
        <row r="4">
          <cell r="A4" t="str">
            <v>BẢNG TÍNH TOÁN, ĐO BÓC KHỐI LƯỢNG HOÀN THÀNH ĐƯA VÀO QUYẾT TOÁN</v>
          </cell>
        </row>
      </sheetData>
      <sheetData sheetId="9446">
        <row r="4">
          <cell r="A4" t="str">
            <v>BẢNG TÍNH TOÁN, ĐO BÓC KHỐI LƯỢNG HOÀN THÀNH ĐƯA VÀO QUYẾT TOÁN</v>
          </cell>
        </row>
      </sheetData>
      <sheetData sheetId="9447">
        <row r="4">
          <cell r="A4" t="str">
            <v>BẢNG TÍNH TOÁN, ĐO BÓC KHỐI LƯỢNG HOÀN THÀNH ĐƯA VÀO QUYẾT TOÁN</v>
          </cell>
        </row>
      </sheetData>
      <sheetData sheetId="9448">
        <row r="4">
          <cell r="A4" t="str">
            <v>BẢNG TÍNH TOÁN, ĐO BÓC KHỐI LƯỢNG HOÀN THÀNH ĐƯA VÀO QUYẾT TOÁN</v>
          </cell>
        </row>
      </sheetData>
      <sheetData sheetId="9449">
        <row r="4">
          <cell r="A4" t="str">
            <v>BẢNG TÍNH TOÁN, ĐO BÓC KHỐI LƯỢNG HOÀN THÀNH ĐƯA VÀO QUYẾT TOÁN</v>
          </cell>
        </row>
      </sheetData>
      <sheetData sheetId="9450">
        <row r="4">
          <cell r="A4" t="str">
            <v>BẢNG TÍNH TOÁN, ĐO BÓC KHỐI LƯỢNG HOÀN THÀNH ĐƯA VÀO QUYẾT TOÁN</v>
          </cell>
        </row>
      </sheetData>
      <sheetData sheetId="9451">
        <row r="4">
          <cell r="A4" t="str">
            <v>BẢNG TÍNH TOÁN, ĐO BÓC KHỐI LƯỢNG HOÀN THÀNH ĐƯA VÀO QUYẾT TOÁN</v>
          </cell>
        </row>
      </sheetData>
      <sheetData sheetId="9452">
        <row r="4">
          <cell r="A4" t="str">
            <v>BẢNG TÍNH TOÁN, ĐO BÓC KHỐI LƯỢNG HOÀN THÀNH ĐƯA VÀO QUYẾT TOÁN</v>
          </cell>
        </row>
      </sheetData>
      <sheetData sheetId="9453">
        <row r="4">
          <cell r="A4" t="str">
            <v>BẢNG TÍNH TOÁN, ĐO BÓC KHỐI LƯỢNG HOÀN THÀNH ĐƯA VÀO QUYẾT TOÁN</v>
          </cell>
        </row>
      </sheetData>
      <sheetData sheetId="9454">
        <row r="4">
          <cell r="A4" t="str">
            <v>BẢNG TÍNH TOÁN, ĐO BÓC KHỐI LƯỢNG HOÀN THÀNH ĐƯA VÀO QUYẾT TOÁN</v>
          </cell>
        </row>
      </sheetData>
      <sheetData sheetId="9455">
        <row r="4">
          <cell r="A4" t="str">
            <v>BẢNG TÍNH TOÁN, ĐO BÓC KHỐI LƯỢNG HOÀN THÀNH ĐƯA VÀO QUYẾT TOÁN</v>
          </cell>
        </row>
      </sheetData>
      <sheetData sheetId="9456">
        <row r="4">
          <cell r="A4" t="str">
            <v>BẢNG TÍNH TOÁN, ĐO BÓC KHỐI LƯỢNG HOÀN THÀNH ĐƯA VÀO QUYẾT TOÁN</v>
          </cell>
        </row>
      </sheetData>
      <sheetData sheetId="9457">
        <row r="4">
          <cell r="A4" t="str">
            <v>BẢNG TÍNH TOÁN, ĐO BÓC KHỐI LƯỢNG HOÀN THÀNH ĐƯA VÀO QUYẾT TOÁN</v>
          </cell>
        </row>
      </sheetData>
      <sheetData sheetId="9458">
        <row r="4">
          <cell r="A4" t="str">
            <v>BẢNG TÍNH TOÁN, ĐO BÓC KHỐI LƯỢNG HOÀN THÀNH ĐƯA VÀO QUYẾT TOÁN</v>
          </cell>
        </row>
      </sheetData>
      <sheetData sheetId="9459">
        <row r="4">
          <cell r="A4" t="str">
            <v>BẢNG TÍNH TOÁN, ĐO BÓC KHỐI LƯỢNG HOÀN THÀNH ĐƯA VÀO QUYẾT TOÁN</v>
          </cell>
        </row>
      </sheetData>
      <sheetData sheetId="9460">
        <row r="4">
          <cell r="A4" t="str">
            <v>BẢNG TÍNH TOÁN, ĐO BÓC KHỐI LƯỢNG HOÀN THÀNH ĐƯA VÀO QUYẾT TOÁN</v>
          </cell>
        </row>
      </sheetData>
      <sheetData sheetId="9461">
        <row r="4">
          <cell r="A4" t="str">
            <v>BẢNG TÍNH TOÁN, ĐO BÓC KHỐI LƯỢNG HOÀN THÀNH ĐƯA VÀO QUYẾT TOÁN</v>
          </cell>
        </row>
      </sheetData>
      <sheetData sheetId="9462">
        <row r="4">
          <cell r="A4" t="str">
            <v>BẢNG TÍNH TOÁN, ĐO BÓC KHỐI LƯỢNG HOÀN THÀNH ĐƯA VÀO QUYẾT TOÁN</v>
          </cell>
        </row>
      </sheetData>
      <sheetData sheetId="9463">
        <row r="4">
          <cell r="A4" t="str">
            <v>BẢNG TÍNH TOÁN, ĐO BÓC KHỐI LƯỢNG HOÀN THÀNH ĐƯA VÀO QUYẾT TOÁN</v>
          </cell>
        </row>
      </sheetData>
      <sheetData sheetId="9464">
        <row r="4">
          <cell r="A4" t="str">
            <v>BẢNG TÍNH TOÁN, ĐO BÓC KHỐI LƯỢNG HOÀN THÀNH ĐƯA VÀO QUYẾT TOÁN</v>
          </cell>
        </row>
      </sheetData>
      <sheetData sheetId="9465">
        <row r="4">
          <cell r="A4" t="str">
            <v>BẢNG TÍNH TOÁN, ĐO BÓC KHỐI LƯỢNG HOÀN THÀNH ĐƯA VÀO QUYẾT TOÁN</v>
          </cell>
        </row>
      </sheetData>
      <sheetData sheetId="9466">
        <row r="4">
          <cell r="A4" t="str">
            <v>BẢNG TÍNH TOÁN, ĐO BÓC KHỐI LƯỢNG HOÀN THÀNH ĐƯA VÀO QUYẾT TOÁN</v>
          </cell>
        </row>
      </sheetData>
      <sheetData sheetId="9467">
        <row r="4">
          <cell r="A4" t="str">
            <v>BẢNG TÍNH TOÁN, ĐO BÓC KHỐI LƯỢNG HOÀN THÀNH ĐƯA VÀO QUYẾT TOÁN</v>
          </cell>
        </row>
      </sheetData>
      <sheetData sheetId="9468">
        <row r="4">
          <cell r="A4" t="str">
            <v>BẢNG TÍNH TOÁN, ĐO BÓC KHỐI LƯỢNG HOÀN THÀNH ĐƯA VÀO QUYẾT TOÁN</v>
          </cell>
        </row>
      </sheetData>
      <sheetData sheetId="9469">
        <row r="4">
          <cell r="A4" t="str">
            <v>BẢNG TÍNH TOÁN, ĐO BÓC KHỐI LƯỢNG HOÀN THÀNH ĐƯA VÀO QUYẾT TOÁN</v>
          </cell>
        </row>
      </sheetData>
      <sheetData sheetId="9470">
        <row r="4">
          <cell r="A4" t="str">
            <v>BẢNG TÍNH TOÁN, ĐO BÓC KHỐI LƯỢNG HOÀN THÀNH ĐƯA VÀO QUYẾT TOÁN</v>
          </cell>
        </row>
      </sheetData>
      <sheetData sheetId="9471">
        <row r="4">
          <cell r="A4" t="str">
            <v>BẢNG TÍNH TOÁN, ĐO BÓC KHỐI LƯỢNG HOÀN THÀNH ĐƯA VÀO QUYẾT TOÁN</v>
          </cell>
        </row>
      </sheetData>
      <sheetData sheetId="9472">
        <row r="4">
          <cell r="A4" t="str">
            <v>BẢNG TÍNH TOÁN, ĐO BÓC KHỐI LƯỢNG HOÀN THÀNH ĐƯA VÀO QUYẾT TOÁN</v>
          </cell>
        </row>
      </sheetData>
      <sheetData sheetId="9473">
        <row r="4">
          <cell r="A4" t="str">
            <v>BẢNG TÍNH TOÁN, ĐO BÓC KHỐI LƯỢNG HOÀN THÀNH ĐƯA VÀO QUYẾT TOÁN</v>
          </cell>
        </row>
      </sheetData>
      <sheetData sheetId="9474">
        <row r="4">
          <cell r="A4" t="str">
            <v>BẢNG TÍNH TOÁN, ĐO BÓC KHỐI LƯỢNG HOÀN THÀNH ĐƯA VÀO QUYẾT TOÁN</v>
          </cell>
        </row>
      </sheetData>
      <sheetData sheetId="9475">
        <row r="4">
          <cell r="A4" t="str">
            <v>BẢNG TÍNH TOÁN, ĐO BÓC KHỐI LƯỢNG HOÀN THÀNH ĐƯA VÀO QUYẾT TOÁN</v>
          </cell>
        </row>
      </sheetData>
      <sheetData sheetId="9476">
        <row r="4">
          <cell r="A4" t="str">
            <v>BẢNG TÍNH TOÁN, ĐO BÓC KHỐI LƯỢNG HOÀN THÀNH ĐƯA VÀO QUYẾT TOÁN</v>
          </cell>
        </row>
      </sheetData>
      <sheetData sheetId="9477">
        <row r="4">
          <cell r="A4" t="str">
            <v>BẢNG TÍNH TOÁN, ĐO BÓC KHỐI LƯỢNG HOÀN THÀNH ĐƯA VÀO QUYẾT TOÁN</v>
          </cell>
        </row>
      </sheetData>
      <sheetData sheetId="9478">
        <row r="4">
          <cell r="A4" t="str">
            <v>BẢNG TÍNH TOÁN, ĐO BÓC KHỐI LƯỢNG HOÀN THÀNH ĐƯA VÀO QUYẾT TOÁN</v>
          </cell>
        </row>
      </sheetData>
      <sheetData sheetId="9479">
        <row r="4">
          <cell r="A4" t="str">
            <v>BẢNG TÍNH TOÁN, ĐO BÓC KHỐI LƯỢNG HOÀN THÀNH ĐƯA VÀO QUYẾT TOÁN</v>
          </cell>
        </row>
      </sheetData>
      <sheetData sheetId="9480">
        <row r="4">
          <cell r="A4" t="str">
            <v>BẢNG TÍNH TOÁN, ĐO BÓC KHỐI LƯỢNG HOÀN THÀNH ĐƯA VÀO QUYẾT TOÁN</v>
          </cell>
        </row>
      </sheetData>
      <sheetData sheetId="9481">
        <row r="4">
          <cell r="A4" t="str">
            <v>BẢNG TÍNH TOÁN, ĐO BÓC KHỐI LƯỢNG HOÀN THÀNH ĐƯA VÀO QUYẾT TOÁN</v>
          </cell>
        </row>
      </sheetData>
      <sheetData sheetId="9482">
        <row r="4">
          <cell r="A4" t="str">
            <v>BẢNG TÍNH TOÁN, ĐO BÓC KHỐI LƯỢNG HOÀN THÀNH ĐƯA VÀO QUYẾT TOÁN</v>
          </cell>
        </row>
      </sheetData>
      <sheetData sheetId="9483">
        <row r="4">
          <cell r="A4" t="str">
            <v>BẢNG TÍNH TOÁN, ĐO BÓC KHỐI LƯỢNG HOÀN THÀNH ĐƯA VÀO QUYẾT TOÁN</v>
          </cell>
        </row>
      </sheetData>
      <sheetData sheetId="9484">
        <row r="4">
          <cell r="A4" t="str">
            <v>BẢNG TÍNH TOÁN, ĐO BÓC KHỐI LƯỢNG HOÀN THÀNH ĐƯA VÀO QUYẾT TOÁN</v>
          </cell>
        </row>
      </sheetData>
      <sheetData sheetId="9485">
        <row r="4">
          <cell r="A4" t="str">
            <v>BẢNG TÍNH TOÁN, ĐO BÓC KHỐI LƯỢNG HOÀN THÀNH ĐƯA VÀO QUYẾT TOÁN</v>
          </cell>
        </row>
      </sheetData>
      <sheetData sheetId="9486">
        <row r="4">
          <cell r="A4" t="str">
            <v>BẢNG TÍNH TOÁN, ĐO BÓC KHỐI LƯỢNG HOÀN THÀNH ĐƯA VÀO QUYẾT TOÁN</v>
          </cell>
        </row>
      </sheetData>
      <sheetData sheetId="9487">
        <row r="4">
          <cell r="A4" t="str">
            <v>BẢNG TÍNH TOÁN, ĐO BÓC KHỐI LƯỢNG HOÀN THÀNH ĐƯA VÀO QUYẾT TOÁN</v>
          </cell>
        </row>
      </sheetData>
      <sheetData sheetId="9488">
        <row r="4">
          <cell r="A4" t="str">
            <v>BẢNG TÍNH TOÁN, ĐO BÓC KHỐI LƯỢNG HOÀN THÀNH ĐƯA VÀO QUYẾT TOÁN</v>
          </cell>
        </row>
      </sheetData>
      <sheetData sheetId="9489">
        <row r="4">
          <cell r="A4" t="str">
            <v>BẢNG TÍNH TOÁN, ĐO BÓC KHỐI LƯỢNG HOÀN THÀNH ĐƯA VÀO QUYẾT TOÁN</v>
          </cell>
        </row>
      </sheetData>
      <sheetData sheetId="9490" refreshError="1"/>
      <sheetData sheetId="9491" refreshError="1"/>
      <sheetData sheetId="9492" refreshError="1"/>
      <sheetData sheetId="9493" refreshError="1"/>
      <sheetData sheetId="9494" refreshError="1"/>
      <sheetData sheetId="9495">
        <row r="4">
          <cell r="A4" t="str">
            <v>BẢNG TÍNH TOÁN, ĐO BÓC KHỐI LƯỢNG HOÀN THÀNH ĐƯA VÀO QUYẾT TOÁN</v>
          </cell>
        </row>
      </sheetData>
      <sheetData sheetId="9496">
        <row r="4">
          <cell r="A4" t="str">
            <v>BẢNG TÍNH TOÁN, ĐO BÓC KHỐI LƯỢNG HOÀN THÀNH ĐƯA VÀO QUYẾT TOÁN</v>
          </cell>
        </row>
      </sheetData>
      <sheetData sheetId="9497">
        <row r="4">
          <cell r="A4" t="str">
            <v>BẢNG TÍNH TOÁN, ĐO BÓC KHỐI LƯỢNG HOÀN THÀNH ĐƯA VÀO QUYẾT TOÁN</v>
          </cell>
        </row>
      </sheetData>
      <sheetData sheetId="9498">
        <row r="4">
          <cell r="A4" t="str">
            <v>BẢNG TÍNH TOÁN, ĐO BÓC KHỐI LƯỢNG HOÀN THÀNH ĐƯA VÀO QUYẾT TOÁN</v>
          </cell>
        </row>
      </sheetData>
      <sheetData sheetId="9499">
        <row r="4">
          <cell r="A4" t="str">
            <v>BẢNG TÍNH TOÁN, ĐO BÓC KHỐI LƯỢNG HOÀN THÀNH ĐƯA VÀO QUYẾT TOÁN</v>
          </cell>
        </row>
      </sheetData>
      <sheetData sheetId="9500">
        <row r="4">
          <cell r="A4" t="str">
            <v>BẢNG TÍNH TOÁN, ĐO BÓC KHỐI LƯỢNG HOÀN THÀNH ĐƯA VÀO QUYẾT TOÁN</v>
          </cell>
        </row>
      </sheetData>
      <sheetData sheetId="9501">
        <row r="4">
          <cell r="A4" t="str">
            <v>BẢNG TÍNH TOÁN, ĐO BÓC KHỐI LƯỢNG HOÀN THÀNH ĐƯA VÀO QUYẾT TOÁN</v>
          </cell>
        </row>
      </sheetData>
      <sheetData sheetId="9502">
        <row r="4">
          <cell r="A4" t="str">
            <v>BẢNG TÍNH TOÁN, ĐO BÓC KHỐI LƯỢNG HOÀN THÀNH ĐƯA VÀO QUYẾT TOÁN</v>
          </cell>
        </row>
      </sheetData>
      <sheetData sheetId="9503" refreshError="1"/>
      <sheetData sheetId="9504">
        <row r="4">
          <cell r="A4" t="str">
            <v>BẢNG TÍNH TOÁN, ĐO BÓC KHỐI LƯỢNG HOÀN THÀNH ĐƯA VÀO QUYẾT TOÁN</v>
          </cell>
        </row>
      </sheetData>
      <sheetData sheetId="9505">
        <row r="4">
          <cell r="A4" t="str">
            <v>BẢNG TÍNH TOÁN, ĐO BÓC KHỐI LƯỢNG HOÀN THÀNH ĐƯA VÀO QUYẾT TOÁN</v>
          </cell>
        </row>
      </sheetData>
      <sheetData sheetId="9506">
        <row r="4">
          <cell r="A4" t="str">
            <v>BẢNG TÍNH TOÁN, ĐO BÓC KHỐI LƯỢNG HOÀN THÀNH ĐƯA VÀO QUYẾT TOÁN</v>
          </cell>
        </row>
      </sheetData>
      <sheetData sheetId="9507">
        <row r="4">
          <cell r="A4" t="str">
            <v>BẢNG TÍNH TOÁN, ĐO BÓC KHỐI LƯỢNG HOÀN THÀNH ĐƯA VÀO QUYẾT TOÁN</v>
          </cell>
        </row>
      </sheetData>
      <sheetData sheetId="9508">
        <row r="4">
          <cell r="A4" t="str">
            <v>BẢNG TÍNH TOÁN, ĐO BÓC KHỐI LƯỢNG HOÀN THÀNH ĐƯA VÀO QUYẾT TOÁN</v>
          </cell>
        </row>
      </sheetData>
      <sheetData sheetId="9509">
        <row r="4">
          <cell r="A4" t="str">
            <v>BẢNG TÍNH TOÁN, ĐO BÓC KHỐI LƯỢNG HOÀN THÀNH ĐƯA VÀO QUYẾT TOÁN</v>
          </cell>
        </row>
      </sheetData>
      <sheetData sheetId="9510">
        <row r="4">
          <cell r="A4" t="str">
            <v>BẢNG TÍNH TOÁN, ĐO BÓC KHỐI LƯỢNG HOÀN THÀNH ĐƯA VÀO QUYẾT TOÁN</v>
          </cell>
        </row>
      </sheetData>
      <sheetData sheetId="9511">
        <row r="4">
          <cell r="A4" t="str">
            <v>BẢNG TÍNH TOÁN, ĐO BÓC KHỐI LƯỢNG HOÀN THÀNH ĐƯA VÀO QUYẾT TOÁN</v>
          </cell>
        </row>
      </sheetData>
      <sheetData sheetId="9512">
        <row r="4">
          <cell r="A4" t="str">
            <v>BẢNG TÍNH TOÁN, ĐO BÓC KHỐI LƯỢNG HOÀN THÀNH ĐƯA VÀO QUYẾT TOÁN</v>
          </cell>
        </row>
      </sheetData>
      <sheetData sheetId="9513">
        <row r="4">
          <cell r="A4" t="str">
            <v>BẢNG TÍNH TOÁN, ĐO BÓC KHỐI LƯỢNG HOÀN THÀNH ĐƯA VÀO QUYẾT TOÁN</v>
          </cell>
        </row>
      </sheetData>
      <sheetData sheetId="9514">
        <row r="4">
          <cell r="A4" t="str">
            <v>BẢNG TÍNH TOÁN, ĐO BÓC KHỐI LƯỢNG HOÀN THÀNH ĐƯA VÀO QUYẾT TOÁN</v>
          </cell>
        </row>
      </sheetData>
      <sheetData sheetId="9515">
        <row r="4">
          <cell r="A4" t="str">
            <v>BẢNG TÍNH TOÁN, ĐO BÓC KHỐI LƯỢNG HOÀN THÀNH ĐƯA VÀO QUYẾT TOÁN</v>
          </cell>
        </row>
      </sheetData>
      <sheetData sheetId="9516">
        <row r="4">
          <cell r="A4" t="str">
            <v>BẢNG TÍNH TOÁN, ĐO BÓC KHỐI LƯỢNG HOÀN THÀNH ĐƯA VÀO QUYẾT TOÁN</v>
          </cell>
        </row>
      </sheetData>
      <sheetData sheetId="9517">
        <row r="4">
          <cell r="A4" t="str">
            <v>BẢNG TÍNH TOÁN, ĐO BÓC KHỐI LƯỢNG HOÀN THÀNH ĐƯA VÀO QUYẾT TOÁN</v>
          </cell>
        </row>
      </sheetData>
      <sheetData sheetId="9518">
        <row r="4">
          <cell r="A4" t="str">
            <v>BẢNG TÍNH TOÁN, ĐO BÓC KHỐI LƯỢNG HOÀN THÀNH ĐƯA VÀO QUYẾT TOÁN</v>
          </cell>
        </row>
      </sheetData>
      <sheetData sheetId="9519">
        <row r="4">
          <cell r="A4" t="str">
            <v>BẢNG TÍNH TOÁN, ĐO BÓC KHỐI LƯỢNG HOÀN THÀNH ĐƯA VÀO QUYẾT TOÁN</v>
          </cell>
        </row>
      </sheetData>
      <sheetData sheetId="9520">
        <row r="4">
          <cell r="A4" t="str">
            <v>BẢNG TÍNH TOÁN, ĐO BÓC KHỐI LƯỢNG HOÀN THÀNH ĐƯA VÀO QUYẾT TOÁN</v>
          </cell>
        </row>
      </sheetData>
      <sheetData sheetId="9521">
        <row r="4">
          <cell r="A4" t="str">
            <v>BẢNG TÍNH TOÁN, ĐO BÓC KHỐI LƯỢNG HOÀN THÀNH ĐƯA VÀO QUYẾT TOÁN</v>
          </cell>
        </row>
      </sheetData>
      <sheetData sheetId="9522">
        <row r="4">
          <cell r="A4" t="str">
            <v>BẢNG TÍNH TOÁN, ĐO BÓC KHỐI LƯỢNG HOÀN THÀNH ĐƯA VÀO QUYẾT TOÁN</v>
          </cell>
        </row>
      </sheetData>
      <sheetData sheetId="9523">
        <row r="4">
          <cell r="A4" t="str">
            <v>BẢNG TÍNH TOÁN, ĐO BÓC KHỐI LƯỢNG HOÀN THÀNH ĐƯA VÀO QUYẾT TOÁN</v>
          </cell>
        </row>
      </sheetData>
      <sheetData sheetId="9524">
        <row r="4">
          <cell r="A4" t="str">
            <v>BẢNG TÍNH TOÁN, ĐO BÓC KHỐI LƯỢNG HOÀN THÀNH ĐƯA VÀO QUYẾT TOÁN</v>
          </cell>
        </row>
      </sheetData>
      <sheetData sheetId="9525">
        <row r="4">
          <cell r="A4" t="str">
            <v>BẢNG TÍNH TOÁN, ĐO BÓC KHỐI LƯỢNG HOÀN THÀNH ĐƯA VÀO QUYẾT TOÁN</v>
          </cell>
        </row>
      </sheetData>
      <sheetData sheetId="9526">
        <row r="4">
          <cell r="A4" t="str">
            <v>BẢNG TÍNH TOÁN, ĐO BÓC KHỐI LƯỢNG HOÀN THÀNH ĐƯA VÀO QUYẾT TOÁN</v>
          </cell>
        </row>
      </sheetData>
      <sheetData sheetId="9527">
        <row r="4">
          <cell r="A4" t="str">
            <v>BẢNG TÍNH TOÁN, ĐO BÓC KHỐI LƯỢNG HOÀN THÀNH ĐƯA VÀO QUYẾT TOÁN</v>
          </cell>
        </row>
      </sheetData>
      <sheetData sheetId="9528">
        <row r="4">
          <cell r="A4" t="str">
            <v>BẢNG TÍNH TOÁN, ĐO BÓC KHỐI LƯỢNG HOÀN THÀNH ĐƯA VÀO QUYẾT TOÁN</v>
          </cell>
        </row>
      </sheetData>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ow r="4">
          <cell r="A4" t="str">
            <v>BẢNG TÍNH TOÁN, ĐO BÓC KHỐI LƯỢNG HOÀN THÀNH ĐƯA VÀO QUYẾT TOÁN</v>
          </cell>
        </row>
      </sheetData>
      <sheetData sheetId="9544">
        <row r="4">
          <cell r="A4" t="str">
            <v>BẢNG TÍNH TOÁN, ĐO BÓC KHỐI LƯỢNG HOÀN THÀNH ĐƯA VÀO QUYẾT TOÁN</v>
          </cell>
        </row>
      </sheetData>
      <sheetData sheetId="9545">
        <row r="4">
          <cell r="A4" t="str">
            <v>BẢNG TÍNH TOÁN, ĐO BÓC KHỐI LƯỢNG HOÀN THÀNH ĐƯA VÀO QUYẾT TOÁN</v>
          </cell>
        </row>
      </sheetData>
      <sheetData sheetId="9546">
        <row r="4">
          <cell r="A4" t="str">
            <v>BẢNG TÍNH TOÁN, ĐO BÓC KHỐI LƯỢNG HOÀN THÀNH ĐƯA VÀO QUYẾT TOÁN</v>
          </cell>
        </row>
      </sheetData>
      <sheetData sheetId="9547">
        <row r="4">
          <cell r="A4" t="str">
            <v>BẢNG TÍNH TOÁN, ĐO BÓC KHỐI LƯỢNG HOÀN THÀNH ĐƯA VÀO QUYẾT TOÁN</v>
          </cell>
        </row>
      </sheetData>
      <sheetData sheetId="9548">
        <row r="4">
          <cell r="A4" t="str">
            <v>BẢNG TÍNH TOÁN, ĐO BÓC KHỐI LƯỢNG HOÀN THÀNH ĐƯA VÀO QUYẾT TOÁN</v>
          </cell>
        </row>
      </sheetData>
      <sheetData sheetId="9549">
        <row r="4">
          <cell r="A4" t="str">
            <v>BẢNG TÍNH TOÁN, ĐO BÓC KHỐI LƯỢNG HOÀN THÀNH ĐƯA VÀO QUYẾT TOÁN</v>
          </cell>
        </row>
      </sheetData>
      <sheetData sheetId="9550" refreshError="1"/>
      <sheetData sheetId="9551" refreshError="1"/>
      <sheetData sheetId="9552" refreshError="1"/>
      <sheetData sheetId="9553" refreshError="1"/>
      <sheetData sheetId="9554" refreshError="1"/>
      <sheetData sheetId="9555" refreshError="1"/>
      <sheetData sheetId="9556" refreshError="1"/>
      <sheetData sheetId="9557">
        <row r="9">
          <cell r="A9" t="str">
            <v>A</v>
          </cell>
        </row>
      </sheetData>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ow r="4">
          <cell r="A4" t="str">
            <v>BẢNG TÍNH TOÁN, ĐO BÓC KHỐI LƯỢNG HOÀN THÀNH ĐƯA VÀO QUYẾT TOÁN</v>
          </cell>
        </row>
      </sheetData>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ow r="4">
          <cell r="A4" t="str">
            <v>BẢNG TÍNH TOÁN, ĐO BÓC KHỐI LƯỢNG HOÀN THÀNH ĐƯA VÀO QUYẾT TOÁN</v>
          </cell>
        </row>
      </sheetData>
      <sheetData sheetId="9586">
        <row r="4">
          <cell r="A4" t="str">
            <v>BẢNG TÍNH TOÁN, ĐO BÓC KHỐI LƯỢNG HOÀN THÀNH ĐƯA VÀO QUYẾT TOÁN</v>
          </cell>
        </row>
      </sheetData>
      <sheetData sheetId="9587">
        <row r="4">
          <cell r="A4" t="str">
            <v>BẢNG TÍNH TOÁN, ĐO BÓC KHỐI LƯỢNG HOÀN THÀNH ĐƯA VÀO QUYẾT TOÁN</v>
          </cell>
        </row>
      </sheetData>
      <sheetData sheetId="9588">
        <row r="4">
          <cell r="A4" t="str">
            <v>BẢNG TÍNH TOÁN, ĐO BÓC KHỐI LƯỢNG HOÀN THÀNH ĐƯA VÀO QUYẾT TOÁN</v>
          </cell>
        </row>
      </sheetData>
      <sheetData sheetId="9589">
        <row r="4">
          <cell r="A4" t="str">
            <v>BẢNG TÍNH TOÁN, ĐO BÓC KHỐI LƯỢNG HOÀN THÀNH ĐƯA VÀO QUYẾT TOÁN</v>
          </cell>
        </row>
      </sheetData>
      <sheetData sheetId="9590">
        <row r="4">
          <cell r="A4" t="str">
            <v>BẢNG TÍNH TOÁN, ĐO BÓC KHỐI LƯỢNG HOÀN THÀNH ĐƯA VÀO QUYẾT TOÁN</v>
          </cell>
        </row>
      </sheetData>
      <sheetData sheetId="9591">
        <row r="4">
          <cell r="A4" t="str">
            <v>BẢNG TÍNH TOÁN, ĐO BÓC KHỐI LƯỢNG HOÀN THÀNH ĐƯA VÀO QUYẾT TOÁN</v>
          </cell>
        </row>
      </sheetData>
      <sheetData sheetId="9592">
        <row r="4">
          <cell r="A4" t="str">
            <v>BẢNG TÍNH TOÁN, ĐO BÓC KHỐI LƯỢNG HOÀN THÀNH ĐƯA VÀO QUYẾT TOÁN</v>
          </cell>
        </row>
      </sheetData>
      <sheetData sheetId="9593">
        <row r="4">
          <cell r="A4" t="str">
            <v>BẢNG TÍNH TOÁN, ĐO BÓC KHỐI LƯỢNG HOÀN THÀNH ĐƯA VÀO QUYẾT TOÁN</v>
          </cell>
        </row>
      </sheetData>
      <sheetData sheetId="9594">
        <row r="4">
          <cell r="A4" t="str">
            <v>BẢNG TÍNH TOÁN, ĐO BÓC KHỐI LƯỢNG HOÀN THÀNH ĐƯA VÀO QUYẾT TOÁN</v>
          </cell>
        </row>
      </sheetData>
      <sheetData sheetId="9595">
        <row r="4">
          <cell r="A4" t="str">
            <v>BẢNG TÍNH TOÁN, ĐO BÓC KHỐI LƯỢNG HOÀN THÀNH ĐƯA VÀO QUYẾT TOÁN</v>
          </cell>
        </row>
      </sheetData>
      <sheetData sheetId="9596">
        <row r="4">
          <cell r="A4" t="str">
            <v>BẢNG TÍNH TOÁN, ĐO BÓC KHỐI LƯỢNG HOÀN THÀNH ĐƯA VÀO QUYẾT TOÁN</v>
          </cell>
        </row>
      </sheetData>
      <sheetData sheetId="9597">
        <row r="4">
          <cell r="A4" t="str">
            <v>BẢNG TÍNH TOÁN, ĐO BÓC KHỐI LƯỢNG HOÀN THÀNH ĐƯA VÀO QUYẾT TOÁN</v>
          </cell>
        </row>
      </sheetData>
      <sheetData sheetId="9598">
        <row r="4">
          <cell r="A4" t="str">
            <v>BẢNG TÍNH TOÁN, ĐO BÓC KHỐI LƯỢNG HOÀN THÀNH ĐƯA VÀO QUYẾT TOÁN</v>
          </cell>
        </row>
      </sheetData>
      <sheetData sheetId="9599">
        <row r="4">
          <cell r="A4" t="str">
            <v>BẢNG TÍNH TOÁN, ĐO BÓC KHỐI LƯỢNG HOÀN THÀNH ĐƯA VÀO QUYẾT TOÁN</v>
          </cell>
        </row>
      </sheetData>
      <sheetData sheetId="9600">
        <row r="4">
          <cell r="A4" t="str">
            <v>BẢNG TÍNH TOÁN, ĐO BÓC KHỐI LƯỢNG HOÀN THÀNH ĐƯA VÀO QUYẾT TOÁN</v>
          </cell>
        </row>
      </sheetData>
      <sheetData sheetId="9601">
        <row r="4">
          <cell r="A4" t="str">
            <v>BẢNG TÍNH TOÁN, ĐO BÓC KHỐI LƯỢNG HOÀN THÀNH ĐƯA VÀO QUYẾT TOÁN</v>
          </cell>
        </row>
      </sheetData>
      <sheetData sheetId="9602">
        <row r="4">
          <cell r="A4" t="str">
            <v>BẢNG TÍNH TOÁN, ĐO BÓC KHỐI LƯỢNG HOÀN THÀNH ĐƯA VÀO QUYẾT TOÁN</v>
          </cell>
        </row>
      </sheetData>
      <sheetData sheetId="9603">
        <row r="4">
          <cell r="A4" t="str">
            <v>BẢNG TÍNH TOÁN, ĐO BÓC KHỐI LƯỢNG HOÀN THÀNH ĐƯA VÀO QUYẾT TOÁN</v>
          </cell>
        </row>
      </sheetData>
      <sheetData sheetId="9604">
        <row r="4">
          <cell r="A4" t="str">
            <v>BẢNG TÍNH TOÁN, ĐO BÓC KHỐI LƯỢNG HOÀN THÀNH ĐƯA VÀO QUYẾT TOÁN</v>
          </cell>
        </row>
      </sheetData>
      <sheetData sheetId="9605">
        <row r="4">
          <cell r="A4" t="str">
            <v>BẢNG TÍNH TOÁN, ĐO BÓC KHỐI LƯỢNG HOÀN THÀNH ĐƯA VÀO QUYẾT TOÁN</v>
          </cell>
        </row>
      </sheetData>
      <sheetData sheetId="9606">
        <row r="4">
          <cell r="A4" t="str">
            <v>BẢNG TÍNH TOÁN, ĐO BÓC KHỐI LƯỢNG HOÀN THÀNH ĐƯA VÀO QUYẾT TOÁN</v>
          </cell>
        </row>
      </sheetData>
      <sheetData sheetId="9607">
        <row r="4">
          <cell r="A4" t="str">
            <v>BẢNG TÍNH TOÁN, ĐO BÓC KHỐI LƯỢNG HOÀN THÀNH ĐƯA VÀO QUYẾT TOÁN</v>
          </cell>
        </row>
      </sheetData>
      <sheetData sheetId="9608">
        <row r="4">
          <cell r="A4" t="str">
            <v>BẢNG TÍNH TOÁN, ĐO BÓC KHỐI LƯỢNG HOÀN THÀNH ĐƯA VÀO QUYẾT TOÁN</v>
          </cell>
        </row>
      </sheetData>
      <sheetData sheetId="9609">
        <row r="4">
          <cell r="A4" t="str">
            <v>BẢNG TÍNH TOÁN, ĐO BÓC KHỐI LƯỢNG HOÀN THÀNH ĐƯA VÀO QUYẾT TOÁN</v>
          </cell>
        </row>
      </sheetData>
      <sheetData sheetId="9610">
        <row r="4">
          <cell r="A4" t="str">
            <v>BẢNG TÍNH TOÁN, ĐO BÓC KHỐI LƯỢNG HOÀN THÀNH ĐƯA VÀO QUYẾT TOÁN</v>
          </cell>
        </row>
      </sheetData>
      <sheetData sheetId="9611" refreshError="1"/>
      <sheetData sheetId="9612" refreshError="1"/>
      <sheetData sheetId="9613" refreshError="1"/>
      <sheetData sheetId="9614" refreshError="1"/>
      <sheetData sheetId="9615" refreshError="1"/>
      <sheetData sheetId="9616"/>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sheetData sheetId="9657"/>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ow r="9">
          <cell r="A9" t="str">
            <v>A</v>
          </cell>
        </row>
      </sheetData>
      <sheetData sheetId="9682">
        <row r="9">
          <cell r="A9" t="str">
            <v>A</v>
          </cell>
        </row>
      </sheetData>
      <sheetData sheetId="9683">
        <row r="4">
          <cell r="A4" t="str">
            <v>BẢNG TÍNH TOÁN, ĐO BÓC KHỐI LƯỢNG HOÀN THÀNH ĐƯA VÀO QUYẾT TOÁN</v>
          </cell>
        </row>
      </sheetData>
      <sheetData sheetId="9684">
        <row r="4">
          <cell r="A4" t="str">
            <v>BẢNG TÍNH TOÁN, ĐO BÓC KHỐI LƯỢNG HOÀN THÀNH ĐƯA VÀO QUYẾT TOÁN</v>
          </cell>
        </row>
      </sheetData>
      <sheetData sheetId="9685">
        <row r="9">
          <cell r="A9" t="str">
            <v>A</v>
          </cell>
        </row>
      </sheetData>
      <sheetData sheetId="9686">
        <row r="4">
          <cell r="A4" t="str">
            <v>BẢNG TÍNH TOÁN, ĐO BÓC KHỐI LƯỢNG HOÀN THÀNH ĐƯA VÀO QUYẾT TOÁN</v>
          </cell>
        </row>
      </sheetData>
      <sheetData sheetId="9687">
        <row r="4">
          <cell r="A4" t="str">
            <v>BẢNG TÍNH TOÁN, ĐO BÓC KHỐI LƯỢNG HOÀN THÀNH ĐƯA VÀO QUYẾT TOÁN</v>
          </cell>
        </row>
      </sheetData>
      <sheetData sheetId="9688">
        <row r="4">
          <cell r="A4" t="str">
            <v>BẢNG TÍNH TOÁN, ĐO BÓC KHỐI LƯỢNG HOÀN THÀNH ĐƯA VÀO QUYẾT TOÁN</v>
          </cell>
        </row>
      </sheetData>
      <sheetData sheetId="9689">
        <row r="4">
          <cell r="A4" t="str">
            <v>BẢNG TÍNH TOÁN, ĐO BÓC KHỐI LƯỢNG HOÀN THÀNH ĐƯA VÀO QUYẾT TOÁN</v>
          </cell>
        </row>
      </sheetData>
      <sheetData sheetId="9690">
        <row r="4">
          <cell r="A4" t="str">
            <v>BẢNG TÍNH TOÁN, ĐO BÓC KHỐI LƯỢNG HOÀN THÀNH ĐƯA VÀO QUYẾT TOÁN</v>
          </cell>
        </row>
      </sheetData>
      <sheetData sheetId="9691">
        <row r="4">
          <cell r="A4" t="str">
            <v>BẢNG TÍNH TOÁN, ĐO BÓC KHỐI LƯỢNG HOÀN THÀNH ĐƯA VÀO QUYẾT TOÁN</v>
          </cell>
        </row>
      </sheetData>
      <sheetData sheetId="9692">
        <row r="4">
          <cell r="A4" t="str">
            <v>BẢNG TÍNH TOÁN, ĐO BÓC KHỐI LƯỢNG HOÀN THÀNH ĐƯA VÀO QUYẾT TOÁN</v>
          </cell>
        </row>
      </sheetData>
      <sheetData sheetId="9693">
        <row r="4">
          <cell r="A4" t="str">
            <v>BẢNG TÍNH TOÁN, ĐO BÓC KHỐI LƯỢNG HOÀN THÀNH ĐƯA VÀO QUYẾT TOÁN</v>
          </cell>
        </row>
      </sheetData>
      <sheetData sheetId="9694">
        <row r="4">
          <cell r="A4" t="str">
            <v>BẢNG TÍNH TOÁN, ĐO BÓC KHỐI LƯỢNG HOÀN THÀNH ĐƯA VÀO QUYẾT TOÁN</v>
          </cell>
        </row>
      </sheetData>
      <sheetData sheetId="9695">
        <row r="4">
          <cell r="A4" t="str">
            <v>BẢNG TÍNH TOÁN, ĐO BÓC KHỐI LƯỢNG HOÀN THÀNH ĐƯA VÀO QUYẾT TOÁN</v>
          </cell>
        </row>
      </sheetData>
      <sheetData sheetId="9696">
        <row r="4">
          <cell r="A4" t="str">
            <v>BẢNG TÍNH TOÁN, ĐO BÓC KHỐI LƯỢNG HOÀN THÀNH ĐƯA VÀO QUYẾT TOÁN</v>
          </cell>
        </row>
      </sheetData>
      <sheetData sheetId="9697">
        <row r="4">
          <cell r="A4" t="str">
            <v>BẢNG TÍNH TOÁN, ĐO BÓC KHỐI LƯỢNG HOÀN THÀNH ĐƯA VÀO QUYẾT TOÁN</v>
          </cell>
        </row>
      </sheetData>
      <sheetData sheetId="9698">
        <row r="4">
          <cell r="A4" t="str">
            <v>BẢNG TÍNH TOÁN, ĐO BÓC KHỐI LƯỢNG HOÀN THÀNH ĐƯA VÀO QUYẾT TOÁN</v>
          </cell>
        </row>
      </sheetData>
      <sheetData sheetId="9699">
        <row r="4">
          <cell r="A4" t="str">
            <v>BẢNG TÍNH TOÁN, ĐO BÓC KHỐI LƯỢNG HOÀN THÀNH ĐƯA VÀO QUYẾT TOÁN</v>
          </cell>
        </row>
      </sheetData>
      <sheetData sheetId="9700">
        <row r="4">
          <cell r="A4" t="str">
            <v>BẢNG TÍNH TOÁN, ĐO BÓC KHỐI LƯỢNG HOÀN THÀNH ĐƯA VÀO QUYẾT TOÁN</v>
          </cell>
        </row>
      </sheetData>
      <sheetData sheetId="9701">
        <row r="4">
          <cell r="A4" t="str">
            <v>BẢNG TÍNH TOÁN, ĐO BÓC KHỐI LƯỢNG HOÀN THÀNH ĐƯA VÀO QUYẾT TOÁN</v>
          </cell>
        </row>
      </sheetData>
      <sheetData sheetId="9702">
        <row r="4">
          <cell r="A4" t="str">
            <v>BẢNG TÍNH TOÁN, ĐO BÓC KHỐI LƯỢNG HOÀN THÀNH ĐƯA VÀO QUYẾT TOÁN</v>
          </cell>
        </row>
      </sheetData>
      <sheetData sheetId="9703">
        <row r="4">
          <cell r="A4" t="str">
            <v>BẢNG TÍNH TOÁN, ĐO BÓC KHỐI LƯỢNG HOÀN THÀNH ĐƯA VÀO QUYẾT TOÁN</v>
          </cell>
        </row>
      </sheetData>
      <sheetData sheetId="9704">
        <row r="4">
          <cell r="A4" t="str">
            <v>BẢNG TÍNH TOÁN, ĐO BÓC KHỐI LƯỢNG HOÀN THÀNH ĐƯA VÀO QUYẾT TOÁN</v>
          </cell>
        </row>
      </sheetData>
      <sheetData sheetId="9705">
        <row r="4">
          <cell r="A4" t="str">
            <v>BẢNG TÍNH TOÁN, ĐO BÓC KHỐI LƯỢNG HOÀN THÀNH ĐƯA VÀO QUYẾT TOÁN</v>
          </cell>
        </row>
      </sheetData>
      <sheetData sheetId="9706">
        <row r="4">
          <cell r="A4" t="str">
            <v>BẢNG TÍNH TOÁN, ĐO BÓC KHỐI LƯỢNG HOÀN THÀNH ĐƯA VÀO QUYẾT TOÁN</v>
          </cell>
        </row>
      </sheetData>
      <sheetData sheetId="9707">
        <row r="4">
          <cell r="A4" t="str">
            <v>BẢNG TÍNH TOÁN, ĐO BÓC KHỐI LƯỢNG HOÀN THÀNH ĐƯA VÀO QUYẾT TOÁN</v>
          </cell>
        </row>
      </sheetData>
      <sheetData sheetId="9708">
        <row r="4">
          <cell r="A4" t="str">
            <v>BẢNG TÍNH TOÁN, ĐO BÓC KHỐI LƯỢNG HOÀN THÀNH ĐƯA VÀO QUYẾT TOÁN</v>
          </cell>
        </row>
      </sheetData>
      <sheetData sheetId="9709">
        <row r="4">
          <cell r="A4" t="str">
            <v>BẢNG TÍNH TOÁN, ĐO BÓC KHỐI LƯỢNG HOÀN THÀNH ĐƯA VÀO QUYẾT TOÁN</v>
          </cell>
        </row>
      </sheetData>
      <sheetData sheetId="9710">
        <row r="4">
          <cell r="A4" t="str">
            <v>BẢNG TÍNH TOÁN, ĐO BÓC KHỐI LƯỢNG HOÀN THÀNH ĐƯA VÀO QUYẾT TOÁN</v>
          </cell>
        </row>
      </sheetData>
      <sheetData sheetId="9711">
        <row r="4">
          <cell r="A4" t="str">
            <v>BẢNG TÍNH TOÁN, ĐO BÓC KHỐI LƯỢNG HOÀN THÀNH ĐƯA VÀO QUYẾT TOÁN</v>
          </cell>
        </row>
      </sheetData>
      <sheetData sheetId="9712">
        <row r="4">
          <cell r="A4" t="str">
            <v>BẢNG TÍNH TOÁN, ĐO BÓC KHỐI LƯỢNG HOÀN THÀNH ĐƯA VÀO QUYẾT TOÁN</v>
          </cell>
        </row>
      </sheetData>
      <sheetData sheetId="9713">
        <row r="4">
          <cell r="A4" t="str">
            <v>BẢNG TÍNH TOÁN, ĐO BÓC KHỐI LƯỢNG HOÀN THÀNH ĐƯA VÀO QUYẾT TOÁN</v>
          </cell>
        </row>
      </sheetData>
      <sheetData sheetId="9714">
        <row r="4">
          <cell r="A4" t="str">
            <v>BẢNG TÍNH TOÁN, ĐO BÓC KHỐI LƯỢNG HOÀN THÀNH ĐƯA VÀO QUYẾT TOÁN</v>
          </cell>
        </row>
      </sheetData>
      <sheetData sheetId="9715">
        <row r="4">
          <cell r="A4" t="str">
            <v>BẢNG TÍNH TOÁN, ĐO BÓC KHỐI LƯỢNG HOÀN THÀNH ĐƯA VÀO QUYẾT TOÁN</v>
          </cell>
        </row>
      </sheetData>
      <sheetData sheetId="9716">
        <row r="4">
          <cell r="A4" t="str">
            <v>BẢNG TÍNH TOÁN, ĐO BÓC KHỐI LƯỢNG HOÀN THÀNH ĐƯA VÀO QUYẾT TOÁN</v>
          </cell>
        </row>
      </sheetData>
      <sheetData sheetId="9717">
        <row r="4">
          <cell r="A4" t="str">
            <v>BẢNG TÍNH TOÁN, ĐO BÓC KHỐI LƯỢNG HOÀN THÀNH ĐƯA VÀO QUYẾT TOÁN</v>
          </cell>
        </row>
      </sheetData>
      <sheetData sheetId="9718">
        <row r="4">
          <cell r="A4" t="str">
            <v>BẢNG TÍNH TOÁN, ĐO BÓC KHỐI LƯỢNG HOÀN THÀNH ĐƯA VÀO QUYẾT TOÁN</v>
          </cell>
        </row>
      </sheetData>
      <sheetData sheetId="9719">
        <row r="4">
          <cell r="A4" t="str">
            <v>BẢNG TÍNH TOÁN, ĐO BÓC KHỐI LƯỢNG HOÀN THÀNH ĐƯA VÀO QUYẾT TOÁN</v>
          </cell>
        </row>
      </sheetData>
      <sheetData sheetId="9720">
        <row r="4">
          <cell r="A4" t="str">
            <v>BẢNG TÍNH TOÁN, ĐO BÓC KHỐI LƯỢNG HOÀN THÀNH ĐƯA VÀO QUYẾT TOÁN</v>
          </cell>
        </row>
      </sheetData>
      <sheetData sheetId="9721">
        <row r="4">
          <cell r="A4" t="str">
            <v>BẢNG TÍNH TOÁN, ĐO BÓC KHỐI LƯỢNG HOÀN THÀNH ĐƯA VÀO QUYẾT TOÁN</v>
          </cell>
        </row>
      </sheetData>
      <sheetData sheetId="9722">
        <row r="4">
          <cell r="A4" t="str">
            <v>BẢNG TÍNH TOÁN, ĐO BÓC KHỐI LƯỢNG HOÀN THÀNH ĐƯA VÀO QUYẾT TOÁN</v>
          </cell>
        </row>
      </sheetData>
      <sheetData sheetId="9723">
        <row r="4">
          <cell r="A4" t="str">
            <v>BẢNG TÍNH TOÁN, ĐO BÓC KHỐI LƯỢNG HOÀN THÀNH ĐƯA VÀO QUYẾT TOÁN</v>
          </cell>
        </row>
      </sheetData>
      <sheetData sheetId="9724">
        <row r="4">
          <cell r="A4" t="str">
            <v>BẢNG TÍNH TOÁN, ĐO BÓC KHỐI LƯỢNG HOÀN THÀNH ĐƯA VÀO QUYẾT TOÁN</v>
          </cell>
        </row>
      </sheetData>
      <sheetData sheetId="9725">
        <row r="4">
          <cell r="A4" t="str">
            <v>BẢNG TÍNH TOÁN, ĐO BÓC KHỐI LƯỢNG HOÀN THÀNH ĐƯA VÀO QUYẾT TOÁN</v>
          </cell>
        </row>
      </sheetData>
      <sheetData sheetId="9726">
        <row r="4">
          <cell r="A4" t="str">
            <v>BẢNG TÍNH TOÁN, ĐO BÓC KHỐI LƯỢNG HOÀN THÀNH ĐƯA VÀO QUYẾT TOÁN</v>
          </cell>
        </row>
      </sheetData>
      <sheetData sheetId="9727">
        <row r="4">
          <cell r="A4" t="str">
            <v>BẢNG TÍNH TOÁN, ĐO BÓC KHỐI LƯỢNG HOÀN THÀNH ĐƯA VÀO QUYẾT TOÁN</v>
          </cell>
        </row>
      </sheetData>
      <sheetData sheetId="9728">
        <row r="4">
          <cell r="A4" t="str">
            <v>BẢNG TÍNH TOÁN, ĐO BÓC KHỐI LƯỢNG HOÀN THÀNH ĐƯA VÀO QUYẾT TOÁN</v>
          </cell>
        </row>
      </sheetData>
      <sheetData sheetId="9729">
        <row r="4">
          <cell r="A4" t="str">
            <v>BẢNG TÍNH TOÁN, ĐO BÓC KHỐI LƯỢNG HOÀN THÀNH ĐƯA VÀO QUYẾT TOÁN</v>
          </cell>
        </row>
      </sheetData>
      <sheetData sheetId="9730">
        <row r="4">
          <cell r="A4" t="str">
            <v>BẢNG TÍNH TOÁN, ĐO BÓC KHỐI LƯỢNG HOÀN THÀNH ĐƯA VÀO QUYẾT TOÁN</v>
          </cell>
        </row>
      </sheetData>
      <sheetData sheetId="9731">
        <row r="4">
          <cell r="A4" t="str">
            <v>BẢNG TÍNH TOÁN, ĐO BÓC KHỐI LƯỢNG HOÀN THÀNH ĐƯA VÀO QUYẾT TOÁN</v>
          </cell>
        </row>
      </sheetData>
      <sheetData sheetId="9732">
        <row r="4">
          <cell r="A4" t="str">
            <v>BẢNG TÍNH TOÁN, ĐO BÓC KHỐI LƯỢNG HOÀN THÀNH ĐƯA VÀO QUYẾT TOÁN</v>
          </cell>
        </row>
      </sheetData>
      <sheetData sheetId="9733">
        <row r="4">
          <cell r="A4" t="str">
            <v>BẢNG TÍNH TOÁN, ĐO BÓC KHỐI LƯỢNG HOÀN THÀNH ĐƯA VÀO QUYẾT TOÁN</v>
          </cell>
        </row>
      </sheetData>
      <sheetData sheetId="9734">
        <row r="4">
          <cell r="A4" t="str">
            <v>BẢNG TÍNH TOÁN, ĐO BÓC KHỐI LƯỢNG HOÀN THÀNH ĐƯA VÀO QUYẾT TOÁN</v>
          </cell>
        </row>
      </sheetData>
      <sheetData sheetId="9735">
        <row r="4">
          <cell r="A4" t="str">
            <v>BẢNG TÍNH TOÁN, ĐO BÓC KHỐI LƯỢNG HOÀN THÀNH ĐƯA VÀO QUYẾT TOÁN</v>
          </cell>
        </row>
      </sheetData>
      <sheetData sheetId="9736" refreshError="1"/>
      <sheetData sheetId="9737">
        <row r="4">
          <cell r="A4" t="str">
            <v>BẢNG TÍNH TOÁN, ĐO BÓC KHỐI LƯỢNG HOÀN THÀNH ĐƯA VÀO QUYẾT TOÁN</v>
          </cell>
        </row>
      </sheetData>
      <sheetData sheetId="9738">
        <row r="4">
          <cell r="A4" t="str">
            <v>BẢNG TÍNH TOÁN, ĐO BÓC KHỐI LƯỢNG HOÀN THÀNH ĐƯA VÀO QUYẾT TOÁN</v>
          </cell>
        </row>
      </sheetData>
      <sheetData sheetId="9739">
        <row r="4">
          <cell r="A4" t="str">
            <v>BẢNG TÍNH TOÁN, ĐO BÓC KHỐI LƯỢNG HOÀN THÀNH ĐƯA VÀO QUYẾT TOÁN</v>
          </cell>
        </row>
      </sheetData>
      <sheetData sheetId="9740">
        <row r="4">
          <cell r="A4" t="str">
            <v>BẢNG TÍNH TOÁN, ĐO BÓC KHỐI LƯỢNG HOÀN THÀNH ĐƯA VÀO QUYẾT TOÁN</v>
          </cell>
        </row>
      </sheetData>
      <sheetData sheetId="9741">
        <row r="4">
          <cell r="A4" t="str">
            <v>BẢNG TÍNH TOÁN, ĐO BÓC KHỐI LƯỢNG HOÀN THÀNH ĐƯA VÀO QUYẾT TOÁN</v>
          </cell>
        </row>
      </sheetData>
      <sheetData sheetId="9742">
        <row r="4">
          <cell r="A4" t="str">
            <v>BẢNG TÍNH TOÁN, ĐO BÓC KHỐI LƯỢNG HOÀN THÀNH ĐƯA VÀO QUYẾT TOÁN</v>
          </cell>
        </row>
      </sheetData>
      <sheetData sheetId="9743">
        <row r="4">
          <cell r="A4" t="str">
            <v>BẢNG TÍNH TOÁN, ĐO BÓC KHỐI LƯỢNG HOÀN THÀNH ĐƯA VÀO QUYẾT TOÁN</v>
          </cell>
        </row>
      </sheetData>
      <sheetData sheetId="9744">
        <row r="4">
          <cell r="A4" t="str">
            <v>BẢNG TÍNH TOÁN, ĐO BÓC KHỐI LƯỢNG HOÀN THÀNH ĐƯA VÀO QUYẾT TOÁN</v>
          </cell>
        </row>
      </sheetData>
      <sheetData sheetId="9745">
        <row r="4">
          <cell r="A4" t="str">
            <v>BẢNG TÍNH TOÁN, ĐO BÓC KHỐI LƯỢNG HOÀN THÀNH ĐƯA VÀO QUYẾT TOÁN</v>
          </cell>
        </row>
      </sheetData>
      <sheetData sheetId="9746">
        <row r="4">
          <cell r="A4" t="str">
            <v>BẢNG TÍNH TOÁN, ĐO BÓC KHỐI LƯỢNG HOÀN THÀNH ĐƯA VÀO QUYẾT TOÁN</v>
          </cell>
        </row>
      </sheetData>
      <sheetData sheetId="9747">
        <row r="4">
          <cell r="A4" t="str">
            <v>BẢNG TÍNH TOÁN, ĐO BÓC KHỐI LƯỢNG HOÀN THÀNH ĐƯA VÀO QUYẾT TOÁN</v>
          </cell>
        </row>
      </sheetData>
      <sheetData sheetId="9748">
        <row r="4">
          <cell r="A4" t="str">
            <v>BẢNG TÍNH TOÁN, ĐO BÓC KHỐI LƯỢNG HOÀN THÀNH ĐƯA VÀO QUYẾT TOÁN</v>
          </cell>
        </row>
      </sheetData>
      <sheetData sheetId="9749">
        <row r="4">
          <cell r="A4" t="str">
            <v>BẢNG TÍNH TOÁN, ĐO BÓC KHỐI LƯỢNG HOÀN THÀNH ĐƯA VÀO QUYẾT TOÁN</v>
          </cell>
        </row>
      </sheetData>
      <sheetData sheetId="9750">
        <row r="4">
          <cell r="A4" t="str">
            <v>BẢNG TÍNH TOÁN, ĐO BÓC KHỐI LƯỢNG HOÀN THÀNH ĐƯA VÀO QUYẾT TOÁN</v>
          </cell>
        </row>
      </sheetData>
      <sheetData sheetId="9751">
        <row r="4">
          <cell r="A4" t="str">
            <v>BẢNG TÍNH TOÁN, ĐO BÓC KHỐI LƯỢNG HOÀN THÀNH ĐƯA VÀO QUYẾT TOÁN</v>
          </cell>
        </row>
      </sheetData>
      <sheetData sheetId="9752">
        <row r="4">
          <cell r="A4" t="str">
            <v>BẢNG TÍNH TOÁN, ĐO BÓC KHỐI LƯỢNG HOÀN THÀNH ĐƯA VÀO QUYẾT TOÁN</v>
          </cell>
        </row>
      </sheetData>
      <sheetData sheetId="9753">
        <row r="4">
          <cell r="A4" t="str">
            <v>BẢNG TÍNH TOÁN, ĐO BÓC KHỐI LƯỢNG HOÀN THÀNH ĐƯA VÀO QUYẾT TOÁN</v>
          </cell>
        </row>
      </sheetData>
      <sheetData sheetId="9754">
        <row r="4">
          <cell r="A4" t="str">
            <v>BẢNG TÍNH TOÁN, ĐO BÓC KHỐI LƯỢNG HOÀN THÀNH ĐƯA VÀO QUYẾT TOÁN</v>
          </cell>
        </row>
      </sheetData>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ow r="4">
          <cell r="A4" t="str">
            <v>BẢNG TÍNH TOÁN, ĐO BÓC KHỐI LƯỢNG HOÀN THÀNH ĐƯA VÀO QUYẾT TOÁN</v>
          </cell>
        </row>
      </sheetData>
      <sheetData sheetId="9765">
        <row r="4">
          <cell r="A4" t="str">
            <v>BẢNG TÍNH TOÁN, ĐO BÓC KHỐI LƯỢNG HOÀN THÀNH ĐƯA VÀO QUYẾT TOÁN</v>
          </cell>
        </row>
      </sheetData>
      <sheetData sheetId="9766" refreshError="1"/>
      <sheetData sheetId="9767" refreshError="1"/>
      <sheetData sheetId="9768" refreshError="1"/>
      <sheetData sheetId="9769">
        <row r="4">
          <cell r="A4" t="str">
            <v>BẢNG TÍNH TOÁN, ĐO BÓC KHỐI LƯỢNG HOÀN THÀNH ĐƯA VÀO QUYẾT TOÁN</v>
          </cell>
        </row>
      </sheetData>
      <sheetData sheetId="9770">
        <row r="4">
          <cell r="A4" t="str">
            <v>BẢNG TÍNH TOÁN, ĐO BÓC KHỐI LƯỢNG HOÀN THÀNH ĐƯA VÀO QUYẾT TOÁN</v>
          </cell>
        </row>
      </sheetData>
      <sheetData sheetId="9771">
        <row r="4">
          <cell r="A4" t="str">
            <v>BẢNG TÍNH TOÁN, ĐO BÓC KHỐI LƯỢNG HOÀN THÀNH ĐƯA VÀO QUYẾT TOÁN</v>
          </cell>
        </row>
      </sheetData>
      <sheetData sheetId="9772">
        <row r="4">
          <cell r="A4" t="str">
            <v>BẢNG TÍNH TOÁN, ĐO BÓC KHỐI LƯỢNG HOÀN THÀNH ĐƯA VÀO QUYẾT TOÁN</v>
          </cell>
        </row>
      </sheetData>
      <sheetData sheetId="9773">
        <row r="4">
          <cell r="A4" t="str">
            <v>BẢNG TÍNH TOÁN, ĐO BÓC KHỐI LƯỢNG HOÀN THÀNH ĐƯA VÀO QUYẾT TOÁN</v>
          </cell>
        </row>
      </sheetData>
      <sheetData sheetId="9774">
        <row r="4">
          <cell r="A4" t="str">
            <v>BẢNG TÍNH TOÁN, ĐO BÓC KHỐI LƯỢNG HOÀN THÀNH ĐƯA VÀO QUYẾT TOÁN</v>
          </cell>
        </row>
      </sheetData>
      <sheetData sheetId="9775">
        <row r="4">
          <cell r="A4" t="str">
            <v>BẢNG TÍNH TOÁN, ĐO BÓC KHỐI LƯỢNG HOÀN THÀNH ĐƯA VÀO QUYẾT TOÁN</v>
          </cell>
        </row>
      </sheetData>
      <sheetData sheetId="9776">
        <row r="4">
          <cell r="A4" t="str">
            <v>BẢNG TÍNH TOÁN, ĐO BÓC KHỐI LƯỢNG HOÀN THÀNH ĐƯA VÀO QUYẾT TOÁN</v>
          </cell>
        </row>
      </sheetData>
      <sheetData sheetId="9777">
        <row r="4">
          <cell r="A4" t="str">
            <v>BẢNG TÍNH TOÁN, ĐO BÓC KHỐI LƯỢNG HOÀN THÀNH ĐƯA VÀO QUYẾT TOÁN</v>
          </cell>
        </row>
      </sheetData>
      <sheetData sheetId="9778">
        <row r="4">
          <cell r="A4" t="str">
            <v>BẢNG TÍNH TOÁN, ĐO BÓC KHỐI LƯỢNG HOÀN THÀNH ĐƯA VÀO QUYẾT TOÁN</v>
          </cell>
        </row>
      </sheetData>
      <sheetData sheetId="9779">
        <row r="4">
          <cell r="A4" t="str">
            <v>BẢNG TÍNH TOÁN, ĐO BÓC KHỐI LƯỢNG HOÀN THÀNH ĐƯA VÀO QUYẾT TOÁN</v>
          </cell>
        </row>
      </sheetData>
      <sheetData sheetId="9780">
        <row r="4">
          <cell r="A4" t="str">
            <v>BẢNG TÍNH TOÁN, ĐO BÓC KHỐI LƯỢNG HOÀN THÀNH ĐƯA VÀO QUYẾT TOÁN</v>
          </cell>
        </row>
      </sheetData>
      <sheetData sheetId="9781">
        <row r="4">
          <cell r="A4" t="str">
            <v>BẢNG TÍNH TOÁN, ĐO BÓC KHỐI LƯỢNG HOÀN THÀNH ĐƯA VÀO QUYẾT TOÁN</v>
          </cell>
        </row>
      </sheetData>
      <sheetData sheetId="9782">
        <row r="4">
          <cell r="A4" t="str">
            <v>BẢNG TÍNH TOÁN, ĐO BÓC KHỐI LƯỢNG HOÀN THÀNH ĐƯA VÀO QUYẾT TOÁN</v>
          </cell>
        </row>
      </sheetData>
      <sheetData sheetId="9783">
        <row r="4">
          <cell r="A4" t="str">
            <v>BẢNG TÍNH TOÁN, ĐO BÓC KHỐI LƯỢNG HOÀN THÀNH ĐƯA VÀO QUYẾT TOÁN</v>
          </cell>
        </row>
      </sheetData>
      <sheetData sheetId="9784">
        <row r="4">
          <cell r="A4" t="str">
            <v>BẢNG TÍNH TOÁN, ĐO BÓC KHỐI LƯỢNG HOÀN THÀNH ĐƯA VÀO QUYẾT TOÁN</v>
          </cell>
        </row>
      </sheetData>
      <sheetData sheetId="9785" refreshError="1"/>
      <sheetData sheetId="9786" refreshError="1"/>
      <sheetData sheetId="9787" refreshError="1"/>
      <sheetData sheetId="9788" refreshError="1"/>
      <sheetData sheetId="9789">
        <row r="4">
          <cell r="A4" t="str">
            <v>BẢNG TÍNH TOÁN, ĐO BÓC KHỐI LƯỢNG HOÀN THÀNH ĐƯA VÀO QUYẾT TOÁN</v>
          </cell>
        </row>
      </sheetData>
      <sheetData sheetId="9790">
        <row r="4">
          <cell r="A4" t="str">
            <v>BẢNG TÍNH TOÁN, ĐO BÓC KHỐI LƯỢNG HOÀN THÀNH ĐƯA VÀO QUYẾT TOÁN</v>
          </cell>
        </row>
      </sheetData>
      <sheetData sheetId="9791">
        <row r="4">
          <cell r="A4" t="str">
            <v>BẢNG TÍNH TOÁN, ĐO BÓC KHỐI LƯỢNG HOÀN THÀNH ĐƯA VÀO QUYẾT TOÁN</v>
          </cell>
        </row>
      </sheetData>
      <sheetData sheetId="9792">
        <row r="4">
          <cell r="A4" t="str">
            <v>BẢNG TÍNH TOÁN, ĐO BÓC KHỐI LƯỢNG HOÀN THÀNH ĐƯA VÀO QUYẾT TOÁN</v>
          </cell>
        </row>
      </sheetData>
      <sheetData sheetId="9793">
        <row r="4">
          <cell r="A4" t="str">
            <v>BẢNG TÍNH TOÁN, ĐO BÓC KHỐI LƯỢNG HOÀN THÀNH ĐƯA VÀO QUYẾT TOÁN</v>
          </cell>
        </row>
      </sheetData>
      <sheetData sheetId="9794" refreshError="1"/>
      <sheetData sheetId="9795">
        <row r="4">
          <cell r="A4" t="str">
            <v>BẢNG TÍNH TOÁN, ĐO BÓC KHỐI LƯỢNG HOÀN THÀNH ĐƯA VÀO QUYẾT TOÁN</v>
          </cell>
        </row>
      </sheetData>
      <sheetData sheetId="9796">
        <row r="4">
          <cell r="A4" t="str">
            <v>BẢNG TÍNH TOÁN, ĐO BÓC KHỐI LƯỢNG HOÀN THÀNH ĐƯA VÀO QUYẾT TOÁN</v>
          </cell>
        </row>
      </sheetData>
      <sheetData sheetId="9797">
        <row r="4">
          <cell r="A4" t="str">
            <v>BẢNG TÍNH TOÁN, ĐO BÓC KHỐI LƯỢNG HOÀN THÀNH ĐƯA VÀO QUYẾT TOÁN</v>
          </cell>
        </row>
      </sheetData>
      <sheetData sheetId="9798">
        <row r="4">
          <cell r="A4" t="str">
            <v>BẢNG TÍNH TOÁN, ĐO BÓC KHỐI LƯỢNG HOÀN THÀNH ĐƯA VÀO QUYẾT TOÁN</v>
          </cell>
        </row>
      </sheetData>
      <sheetData sheetId="9799">
        <row r="4">
          <cell r="A4" t="str">
            <v>BẢNG TÍNH TOÁN, ĐO BÓC KHỐI LƯỢNG HOÀN THÀNH ĐƯA VÀO QUYẾT TOÁN</v>
          </cell>
        </row>
      </sheetData>
      <sheetData sheetId="9800">
        <row r="4">
          <cell r="A4" t="str">
            <v>BẢNG TÍNH TOÁN, ĐO BÓC KHỐI LƯỢNG HOÀN THÀNH ĐƯA VÀO QUYẾT TOÁN</v>
          </cell>
        </row>
      </sheetData>
      <sheetData sheetId="9801">
        <row r="4">
          <cell r="A4" t="str">
            <v>BẢNG TÍNH TOÁN, ĐO BÓC KHỐI LƯỢNG HOÀN THÀNH ĐƯA VÀO QUYẾT TOÁN</v>
          </cell>
        </row>
      </sheetData>
      <sheetData sheetId="9802">
        <row r="4">
          <cell r="A4" t="str">
            <v>BẢNG TÍNH TOÁN, ĐO BÓC KHỐI LƯỢNG HOÀN THÀNH ĐƯA VÀO QUYẾT TOÁN</v>
          </cell>
        </row>
      </sheetData>
      <sheetData sheetId="9803">
        <row r="4">
          <cell r="A4" t="str">
            <v>BẢNG TÍNH TOÁN, ĐO BÓC KHỐI LƯỢNG HOÀN THÀNH ĐƯA VÀO QUYẾT TOÁN</v>
          </cell>
        </row>
      </sheetData>
      <sheetData sheetId="9804">
        <row r="4">
          <cell r="A4" t="str">
            <v>BẢNG TÍNH TOÁN, ĐO BÓC KHỐI LƯỢNG HOÀN THÀNH ĐƯA VÀO QUYẾT TOÁN</v>
          </cell>
        </row>
      </sheetData>
      <sheetData sheetId="9805">
        <row r="4">
          <cell r="A4" t="str">
            <v>BẢNG TÍNH TOÁN, ĐO BÓC KHỐI LƯỢNG HOÀN THÀNH ĐƯA VÀO QUYẾT TOÁN</v>
          </cell>
        </row>
      </sheetData>
      <sheetData sheetId="9806">
        <row r="4">
          <cell r="A4" t="str">
            <v>BẢNG TÍNH TOÁN, ĐO BÓC KHỐI LƯỢNG HOÀN THÀNH ĐƯA VÀO QUYẾT TOÁN</v>
          </cell>
        </row>
      </sheetData>
      <sheetData sheetId="9807">
        <row r="4">
          <cell r="A4" t="str">
            <v>BẢNG TÍNH TOÁN, ĐO BÓC KHỐI LƯỢNG HOÀN THÀNH ĐƯA VÀO QUYẾT TOÁN</v>
          </cell>
        </row>
      </sheetData>
      <sheetData sheetId="9808">
        <row r="4">
          <cell r="A4" t="str">
            <v>BẢNG TÍNH TOÁN, ĐO BÓC KHỐI LƯỢNG HOÀN THÀNH ĐƯA VÀO QUYẾT TOÁN</v>
          </cell>
        </row>
      </sheetData>
      <sheetData sheetId="9809">
        <row r="4">
          <cell r="A4" t="str">
            <v>BẢNG TÍNH TOÁN, ĐO BÓC KHỐI LƯỢNG HOÀN THÀNH ĐƯA VÀO QUYẾT TOÁN</v>
          </cell>
        </row>
      </sheetData>
      <sheetData sheetId="9810">
        <row r="4">
          <cell r="A4" t="str">
            <v>BẢNG TÍNH TOÁN, ĐO BÓC KHỐI LƯỢNG HOÀN THÀNH ĐƯA VÀO QUYẾT TOÁN</v>
          </cell>
        </row>
      </sheetData>
      <sheetData sheetId="9811">
        <row r="4">
          <cell r="A4" t="str">
            <v>BẢNG TÍNH TOÁN, ĐO BÓC KHỐI LƯỢNG HOÀN THÀNH ĐƯA VÀO QUYẾT TOÁN</v>
          </cell>
        </row>
      </sheetData>
      <sheetData sheetId="9812">
        <row r="4">
          <cell r="A4" t="str">
            <v>BẢNG TÍNH TOÁN, ĐO BÓC KHỐI LƯỢNG HOÀN THÀNH ĐƯA VÀO QUYẾT TOÁN</v>
          </cell>
        </row>
      </sheetData>
      <sheetData sheetId="9813">
        <row r="4">
          <cell r="A4" t="str">
            <v>BẢNG TÍNH TOÁN, ĐO BÓC KHỐI LƯỢNG HOÀN THÀNH ĐƯA VÀO QUYẾT TOÁN</v>
          </cell>
        </row>
      </sheetData>
      <sheetData sheetId="9814">
        <row r="4">
          <cell r="A4" t="str">
            <v>BẢNG TÍNH TOÁN, ĐO BÓC KHỐI LƯỢNG HOÀN THÀNH ĐƯA VÀO QUYẾT TOÁN</v>
          </cell>
        </row>
      </sheetData>
      <sheetData sheetId="9815">
        <row r="4">
          <cell r="A4" t="str">
            <v>BẢNG TÍNH TOÁN, ĐO BÓC KHỐI LƯỢNG HOÀN THÀNH ĐƯA VÀO QUYẾT TOÁN</v>
          </cell>
        </row>
      </sheetData>
      <sheetData sheetId="9816">
        <row r="4">
          <cell r="A4" t="str">
            <v>BẢNG TÍNH TOÁN, ĐO BÓC KHỐI LƯỢNG HOÀN THÀNH ĐƯA VÀO QUYẾT TOÁN</v>
          </cell>
        </row>
      </sheetData>
      <sheetData sheetId="9817">
        <row r="4">
          <cell r="A4" t="str">
            <v>BẢNG TÍNH TOÁN, ĐO BÓC KHỐI LƯỢNG HOÀN THÀNH ĐƯA VÀO QUYẾT TOÁN</v>
          </cell>
        </row>
      </sheetData>
      <sheetData sheetId="9818">
        <row r="4">
          <cell r="A4" t="str">
            <v>BẢNG TÍNH TOÁN, ĐO BÓC KHỐI LƯỢNG HOÀN THÀNH ĐƯA VÀO QUYẾT TOÁN</v>
          </cell>
        </row>
      </sheetData>
      <sheetData sheetId="9819">
        <row r="4">
          <cell r="A4" t="str">
            <v>BẢNG TÍNH TOÁN, ĐO BÓC KHỐI LƯỢNG HOÀN THÀNH ĐƯA VÀO QUYẾT TOÁN</v>
          </cell>
        </row>
      </sheetData>
      <sheetData sheetId="9820">
        <row r="4">
          <cell r="A4" t="str">
            <v>BẢNG TÍNH TOÁN, ĐO BÓC KHỐI LƯỢNG HOÀN THÀNH ĐƯA VÀO QUYẾT TOÁN</v>
          </cell>
        </row>
      </sheetData>
      <sheetData sheetId="9821">
        <row r="4">
          <cell r="A4" t="str">
            <v>BẢNG TÍNH TOÁN, ĐO BÓC KHỐI LƯỢNG HOÀN THÀNH ĐƯA VÀO QUYẾT TOÁN</v>
          </cell>
        </row>
      </sheetData>
      <sheetData sheetId="9822">
        <row r="4">
          <cell r="A4" t="str">
            <v>BẢNG TÍNH TOÁN, ĐO BÓC KHỐI LƯỢNG HOÀN THÀNH ĐƯA VÀO QUYẾT TOÁN</v>
          </cell>
        </row>
      </sheetData>
      <sheetData sheetId="9823">
        <row r="4">
          <cell r="A4" t="str">
            <v>BẢNG TÍNH TOÁN, ĐO BÓC KHỐI LƯỢNG HOÀN THÀNH ĐƯA VÀO QUYẾT TOÁN</v>
          </cell>
        </row>
      </sheetData>
      <sheetData sheetId="9824">
        <row r="4">
          <cell r="A4" t="str">
            <v>BẢNG TÍNH TOÁN, ĐO BÓC KHỐI LƯỢNG HOÀN THÀNH ĐƯA VÀO QUYẾT TOÁN</v>
          </cell>
        </row>
      </sheetData>
      <sheetData sheetId="9825">
        <row r="4">
          <cell r="A4" t="str">
            <v>BẢNG TÍNH TOÁN, ĐO BÓC KHỐI LƯỢNG HOÀN THÀNH ĐƯA VÀO QUYẾT TOÁN</v>
          </cell>
        </row>
      </sheetData>
      <sheetData sheetId="9826">
        <row r="4">
          <cell r="A4" t="str">
            <v>BẢNG TÍNH TOÁN, ĐO BÓC KHỐI LƯỢNG HOÀN THÀNH ĐƯA VÀO QUYẾT TOÁN</v>
          </cell>
        </row>
      </sheetData>
      <sheetData sheetId="9827">
        <row r="4">
          <cell r="A4" t="str">
            <v>BẢNG TÍNH TOÁN, ĐO BÓC KHỐI LƯỢNG HOÀN THÀNH ĐƯA VÀO QUYẾT TOÁN</v>
          </cell>
        </row>
      </sheetData>
      <sheetData sheetId="9828">
        <row r="4">
          <cell r="A4" t="str">
            <v>BẢNG TÍNH TOÁN, ĐO BÓC KHỐI LƯỢNG HOÀN THÀNH ĐƯA VÀO QUYẾT TOÁN</v>
          </cell>
        </row>
      </sheetData>
      <sheetData sheetId="9829">
        <row r="4">
          <cell r="A4" t="str">
            <v>BẢNG TÍNH TOÁN, ĐO BÓC KHỐI LƯỢNG HOÀN THÀNH ĐƯA VÀO QUYẾT TOÁN</v>
          </cell>
        </row>
      </sheetData>
      <sheetData sheetId="9830">
        <row r="4">
          <cell r="A4" t="str">
            <v>BẢNG TÍNH TOÁN, ĐO BÓC KHỐI LƯỢNG HOÀN THÀNH ĐƯA VÀO QUYẾT TOÁN</v>
          </cell>
        </row>
      </sheetData>
      <sheetData sheetId="9831">
        <row r="4">
          <cell r="A4" t="str">
            <v>BẢNG TÍNH TOÁN, ĐO BÓC KHỐI LƯỢNG HOÀN THÀNH ĐƯA VÀO QUYẾT TOÁN</v>
          </cell>
        </row>
      </sheetData>
      <sheetData sheetId="9832">
        <row r="4">
          <cell r="A4" t="str">
            <v>BẢNG TÍNH TOÁN, ĐO BÓC KHỐI LƯỢNG HOÀN THÀNH ĐƯA VÀO QUYẾT TOÁN</v>
          </cell>
        </row>
      </sheetData>
      <sheetData sheetId="9833">
        <row r="4">
          <cell r="A4" t="str">
            <v>BẢNG TÍNH TOÁN, ĐO BÓC KHỐI LƯỢNG HOÀN THÀNH ĐƯA VÀO QUYẾT TOÁN</v>
          </cell>
        </row>
      </sheetData>
      <sheetData sheetId="9834">
        <row r="4">
          <cell r="A4" t="str">
            <v>BẢNG TÍNH TOÁN, ĐO BÓC KHỐI LƯỢNG HOÀN THÀNH ĐƯA VÀO QUYẾT TOÁN</v>
          </cell>
        </row>
      </sheetData>
      <sheetData sheetId="9835">
        <row r="4">
          <cell r="A4" t="str">
            <v>BẢNG TÍNH TOÁN, ĐO BÓC KHỐI LƯỢNG HOÀN THÀNH ĐƯA VÀO QUYẾT TOÁN</v>
          </cell>
        </row>
      </sheetData>
      <sheetData sheetId="9836">
        <row r="4">
          <cell r="A4" t="str">
            <v>BẢNG TÍNH TOÁN, ĐO BÓC KHỐI LƯỢNG HOÀN THÀNH ĐƯA VÀO QUYẾT TOÁN</v>
          </cell>
        </row>
      </sheetData>
      <sheetData sheetId="9837">
        <row r="4">
          <cell r="A4" t="str">
            <v>BẢNG TÍNH TOÁN, ĐO BÓC KHỐI LƯỢNG HOÀN THÀNH ĐƯA VÀO QUYẾT TOÁN</v>
          </cell>
        </row>
      </sheetData>
      <sheetData sheetId="9838">
        <row r="4">
          <cell r="A4" t="str">
            <v>BẢNG TÍNH TOÁN, ĐO BÓC KHỐI LƯỢNG HOÀN THÀNH ĐƯA VÀO QUYẾT TOÁN</v>
          </cell>
        </row>
      </sheetData>
      <sheetData sheetId="9839">
        <row r="4">
          <cell r="A4" t="str">
            <v>BẢNG TÍNH TOÁN, ĐO BÓC KHỐI LƯỢNG HOÀN THÀNH ĐƯA VÀO QUYẾT TOÁN</v>
          </cell>
        </row>
      </sheetData>
      <sheetData sheetId="9840">
        <row r="4">
          <cell r="A4" t="str">
            <v>BẢNG TÍNH TOÁN, ĐO BÓC KHỐI LƯỢNG HOÀN THÀNH ĐƯA VÀO QUYẾT TOÁN</v>
          </cell>
        </row>
      </sheetData>
      <sheetData sheetId="9841">
        <row r="4">
          <cell r="A4" t="str">
            <v>BẢNG TÍNH TOÁN, ĐO BÓC KHỐI LƯỢNG HOÀN THÀNH ĐƯA VÀO QUYẾT TOÁN</v>
          </cell>
        </row>
      </sheetData>
      <sheetData sheetId="9842">
        <row r="4">
          <cell r="A4" t="str">
            <v>BẢNG TÍNH TOÁN, ĐO BÓC KHỐI LƯỢNG HOÀN THÀNH ĐƯA VÀO QUYẾT TOÁN</v>
          </cell>
        </row>
      </sheetData>
      <sheetData sheetId="9843">
        <row r="4">
          <cell r="A4" t="str">
            <v>BẢNG TÍNH TOÁN, ĐO BÓC KHỐI LƯỢNG HOÀN THÀNH ĐƯA VÀO QUYẾT TOÁN</v>
          </cell>
        </row>
      </sheetData>
      <sheetData sheetId="9844">
        <row r="4">
          <cell r="A4" t="str">
            <v>BẢNG TÍNH TOÁN, ĐO BÓC KHỐI LƯỢNG HOÀN THÀNH ĐƯA VÀO QUYẾT TOÁN</v>
          </cell>
        </row>
      </sheetData>
      <sheetData sheetId="9845">
        <row r="4">
          <cell r="A4" t="str">
            <v>BẢNG TÍNH TOÁN, ĐO BÓC KHỐI LƯỢNG HOÀN THÀNH ĐƯA VÀO QUYẾT TOÁN</v>
          </cell>
        </row>
      </sheetData>
      <sheetData sheetId="9846">
        <row r="4">
          <cell r="A4" t="str">
            <v>BẢNG TÍNH TOÁN, ĐO BÓC KHỐI LƯỢNG HOÀN THÀNH ĐƯA VÀO QUYẾT TOÁN</v>
          </cell>
        </row>
      </sheetData>
      <sheetData sheetId="9847">
        <row r="4">
          <cell r="A4" t="str">
            <v>BẢNG TÍNH TOÁN, ĐO BÓC KHỐI LƯỢNG HOÀN THÀNH ĐƯA VÀO QUYẾT TOÁN</v>
          </cell>
        </row>
      </sheetData>
      <sheetData sheetId="9848">
        <row r="4">
          <cell r="A4" t="str">
            <v>BẢNG TÍNH TOÁN, ĐO BÓC KHỐI LƯỢNG HOÀN THÀNH ĐƯA VÀO QUYẾT TOÁN</v>
          </cell>
        </row>
      </sheetData>
      <sheetData sheetId="9849">
        <row r="4">
          <cell r="A4" t="str">
            <v>BẢNG TÍNH TOÁN, ĐO BÓC KHỐI LƯỢNG HOÀN THÀNH ĐƯA VÀO QUYẾT TOÁN</v>
          </cell>
        </row>
      </sheetData>
      <sheetData sheetId="9850">
        <row r="4">
          <cell r="A4" t="str">
            <v>BẢNG TÍNH TOÁN, ĐO BÓC KHỐI LƯỢNG HOÀN THÀNH ĐƯA VÀO QUYẾT TOÁN</v>
          </cell>
        </row>
      </sheetData>
      <sheetData sheetId="9851">
        <row r="4">
          <cell r="A4" t="str">
            <v>BẢNG TÍNH TOÁN, ĐO BÓC KHỐI LƯỢNG HOÀN THÀNH ĐƯA VÀO QUYẾT TOÁN</v>
          </cell>
        </row>
      </sheetData>
      <sheetData sheetId="9852">
        <row r="4">
          <cell r="A4" t="str">
            <v>BẢNG TÍNH TOÁN, ĐO BÓC KHỐI LƯỢNG HOÀN THÀNH ĐƯA VÀO QUYẾT TOÁN</v>
          </cell>
        </row>
      </sheetData>
      <sheetData sheetId="9853">
        <row r="4">
          <cell r="A4" t="str">
            <v>BẢNG TÍNH TOÁN, ĐO BÓC KHỐI LƯỢNG HOÀN THÀNH ĐƯA VÀO QUYẾT TOÁN</v>
          </cell>
        </row>
      </sheetData>
      <sheetData sheetId="9854">
        <row r="4">
          <cell r="A4" t="str">
            <v>BẢNG TÍNH TOÁN, ĐO BÓC KHỐI LƯỢNG HOÀN THÀNH ĐƯA VÀO QUYẾT TOÁN</v>
          </cell>
        </row>
      </sheetData>
      <sheetData sheetId="9855">
        <row r="4">
          <cell r="A4" t="str">
            <v>BẢNG TÍNH TOÁN, ĐO BÓC KHỐI LƯỢNG HOÀN THÀNH ĐƯA VÀO QUYẾT TOÁN</v>
          </cell>
        </row>
      </sheetData>
      <sheetData sheetId="9856">
        <row r="4">
          <cell r="A4" t="str">
            <v>BẢNG TÍNH TOÁN, ĐO BÓC KHỐI LƯỢNG HOÀN THÀNH ĐƯA VÀO QUYẾT TOÁN</v>
          </cell>
        </row>
      </sheetData>
      <sheetData sheetId="9857">
        <row r="4">
          <cell r="A4" t="str">
            <v>BẢNG TÍNH TOÁN, ĐO BÓC KHỐI LƯỢNG HOÀN THÀNH ĐƯA VÀO QUYẾT TOÁN</v>
          </cell>
        </row>
      </sheetData>
      <sheetData sheetId="9858">
        <row r="4">
          <cell r="A4" t="str">
            <v>BẢNG TÍNH TOÁN, ĐO BÓC KHỐI LƯỢNG HOÀN THÀNH ĐƯA VÀO QUYẾT TOÁN</v>
          </cell>
        </row>
      </sheetData>
      <sheetData sheetId="9859">
        <row r="4">
          <cell r="A4" t="str">
            <v>BẢNG TÍNH TOÁN, ĐO BÓC KHỐI LƯỢNG HOÀN THÀNH ĐƯA VÀO QUYẾT TOÁN</v>
          </cell>
        </row>
      </sheetData>
      <sheetData sheetId="9860">
        <row r="4">
          <cell r="A4" t="str">
            <v>BẢNG TÍNH TOÁN, ĐO BÓC KHỐI LƯỢNG HOÀN THÀNH ĐƯA VÀO QUYẾT TOÁN</v>
          </cell>
        </row>
      </sheetData>
      <sheetData sheetId="9861">
        <row r="4">
          <cell r="A4" t="str">
            <v>BẢNG TÍNH TOÁN, ĐO BÓC KHỐI LƯỢNG HOÀN THÀNH ĐƯA VÀO QUYẾT TOÁN</v>
          </cell>
        </row>
      </sheetData>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ow r="9">
          <cell r="A9" t="str">
            <v>A</v>
          </cell>
        </row>
      </sheetData>
      <sheetData sheetId="9947" refreshError="1"/>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ow r="9">
          <cell r="A9" t="str">
            <v>A</v>
          </cell>
        </row>
      </sheetData>
      <sheetData sheetId="10581">
        <row r="4">
          <cell r="A4" t="str">
            <v>BẢNG TÍNH TOÁN, ĐO BÓC KHỐI LƯỢNG HOÀN THÀNH ĐƯA VÀO QUYẾT TOÁN</v>
          </cell>
        </row>
      </sheetData>
      <sheetData sheetId="10582">
        <row r="4">
          <cell r="A4" t="str">
            <v>BẢNG TÍNH TOÁN, ĐO BÓC KHỐI LƯỢNG HOÀN THÀNH ĐƯA VÀO QUYẾT TOÁN</v>
          </cell>
        </row>
      </sheetData>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ow r="4">
          <cell r="A4" t="str">
            <v>BẢNG TÍNH TOÁN, ĐO BÓC KHỐI LƯỢNG HOÀN THÀNH ĐƯA VÀO QUYẾT TOÁN</v>
          </cell>
        </row>
      </sheetData>
      <sheetData sheetId="10668">
        <row r="4">
          <cell r="A4" t="str">
            <v>BẢNG TÍNH TOÁN, ĐO BÓC KHỐI LƯỢNG HOÀN THÀNH ĐƯA VÀO QUYẾT TOÁN</v>
          </cell>
        </row>
      </sheetData>
      <sheetData sheetId="10669">
        <row r="4">
          <cell r="A4" t="str">
            <v>BẢNG TÍNH TOÁN, ĐO BÓC KHỐI LƯỢNG HOÀN THÀNH ĐƯA VÀO QUYẾT TOÁN</v>
          </cell>
        </row>
      </sheetData>
      <sheetData sheetId="10670">
        <row r="4">
          <cell r="A4" t="str">
            <v>BẢNG TÍNH TOÁN, ĐO BÓC KHỐI LƯỢNG HOÀN THÀNH ĐƯA VÀO QUYẾT TOÁN</v>
          </cell>
        </row>
      </sheetData>
      <sheetData sheetId="10671">
        <row r="4">
          <cell r="A4" t="str">
            <v>BẢNG TÍNH TOÁN, ĐO BÓC KHỐI LƯỢNG HOÀN THÀNH ĐƯA VÀO QUYẾT TOÁN</v>
          </cell>
        </row>
      </sheetData>
      <sheetData sheetId="10672">
        <row r="4">
          <cell r="A4" t="str">
            <v>BẢNG TÍNH TOÁN, ĐO BÓC KHỐI LƯỢNG HOÀN THÀNH ĐƯA VÀO QUYẾT TOÁN</v>
          </cell>
        </row>
      </sheetData>
      <sheetData sheetId="10673">
        <row r="4">
          <cell r="A4" t="str">
            <v>BẢNG TÍNH TOÁN, ĐO BÓC KHỐI LƯỢNG HOÀN THÀNH ĐƯA VÀO QUYẾT TOÁN</v>
          </cell>
        </row>
      </sheetData>
      <sheetData sheetId="10674">
        <row r="4">
          <cell r="A4" t="str">
            <v>BẢNG TÍNH TOÁN, ĐO BÓC KHỐI LƯỢNG HOÀN THÀNH ĐƯA VÀO QUYẾT TOÁN</v>
          </cell>
        </row>
      </sheetData>
      <sheetData sheetId="10675">
        <row r="4">
          <cell r="A4" t="str">
            <v>BẢNG TÍNH TOÁN, ĐO BÓC KHỐI LƯỢNG HOÀN THÀNH ĐƯA VÀO QUYẾT TOÁN</v>
          </cell>
        </row>
      </sheetData>
      <sheetData sheetId="10676">
        <row r="4">
          <cell r="A4" t="str">
            <v>BẢNG TÍNH TOÁN, ĐO BÓC KHỐI LƯỢNG HOÀN THÀNH ĐƯA VÀO QUYẾT TOÁN</v>
          </cell>
        </row>
      </sheetData>
      <sheetData sheetId="10677">
        <row r="4">
          <cell r="A4" t="str">
            <v>BẢNG TÍNH TOÁN, ĐO BÓC KHỐI LƯỢNG HOÀN THÀNH ĐƯA VÀO QUYẾT TOÁN</v>
          </cell>
        </row>
      </sheetData>
      <sheetData sheetId="10678">
        <row r="4">
          <cell r="A4" t="str">
            <v>BẢNG TÍNH TOÁN, ĐO BÓC KHỐI LƯỢNG HOÀN THÀNH ĐƯA VÀO QUYẾT TOÁN</v>
          </cell>
        </row>
      </sheetData>
      <sheetData sheetId="10679">
        <row r="4">
          <cell r="A4" t="str">
            <v>BẢNG TÍNH TOÁN, ĐO BÓC KHỐI LƯỢNG HOÀN THÀNH ĐƯA VÀO QUYẾT TOÁN</v>
          </cell>
        </row>
      </sheetData>
      <sheetData sheetId="10680">
        <row r="4">
          <cell r="A4" t="str">
            <v>BẢNG TÍNH TOÁN, ĐO BÓC KHỐI LƯỢNG HOÀN THÀNH ĐƯA VÀO QUYẾT TOÁN</v>
          </cell>
        </row>
      </sheetData>
      <sheetData sheetId="10681">
        <row r="4">
          <cell r="A4" t="str">
            <v>BẢNG TÍNH TOÁN, ĐO BÓC KHỐI LƯỢNG HOÀN THÀNH ĐƯA VÀO QUYẾT TOÁN</v>
          </cell>
        </row>
      </sheetData>
      <sheetData sheetId="10682">
        <row r="4">
          <cell r="A4" t="str">
            <v>BẢNG TÍNH TOÁN, ĐO BÓC KHỐI LƯỢNG HOÀN THÀNH ĐƯA VÀO QUYẾT TOÁN</v>
          </cell>
        </row>
      </sheetData>
      <sheetData sheetId="10683">
        <row r="4">
          <cell r="A4" t="str">
            <v>BẢNG TÍNH TOÁN, ĐO BÓC KHỐI LƯỢNG HOÀN THÀNH ĐƯA VÀO QUYẾT TOÁN</v>
          </cell>
        </row>
      </sheetData>
      <sheetData sheetId="10684">
        <row r="4">
          <cell r="A4" t="str">
            <v>BẢNG TÍNH TOÁN, ĐO BÓC KHỐI LƯỢNG HOÀN THÀNH ĐƯA VÀO QUYẾT TOÁN</v>
          </cell>
        </row>
      </sheetData>
      <sheetData sheetId="10685">
        <row r="4">
          <cell r="A4" t="str">
            <v>BẢNG TÍNH TOÁN, ĐO BÓC KHỐI LƯỢNG HOÀN THÀNH ĐƯA VÀO QUYẾT TOÁN</v>
          </cell>
        </row>
      </sheetData>
      <sheetData sheetId="10686">
        <row r="4">
          <cell r="A4" t="str">
            <v>BẢNG TÍNH TOÁN, ĐO BÓC KHỐI LƯỢNG HOÀN THÀNH ĐƯA VÀO QUYẾT TOÁN</v>
          </cell>
        </row>
      </sheetData>
      <sheetData sheetId="10687">
        <row r="4">
          <cell r="A4" t="str">
            <v>BẢNG TÍNH TOÁN, ĐO BÓC KHỐI LƯỢNG HOÀN THÀNH ĐƯA VÀO QUYẾT TOÁN</v>
          </cell>
        </row>
      </sheetData>
      <sheetData sheetId="10688">
        <row r="4">
          <cell r="A4" t="str">
            <v>BẢNG TÍNH TOÁN, ĐO BÓC KHỐI LƯỢNG HOÀN THÀNH ĐƯA VÀO QUYẾT TOÁN</v>
          </cell>
        </row>
      </sheetData>
      <sheetData sheetId="10689">
        <row r="4">
          <cell r="A4" t="str">
            <v>BẢNG TÍNH TOÁN, ĐO BÓC KHỐI LƯỢNG HOÀN THÀNH ĐƯA VÀO QUYẾT TOÁN</v>
          </cell>
        </row>
      </sheetData>
      <sheetData sheetId="10690">
        <row r="4">
          <cell r="A4" t="str">
            <v>BẢNG TÍNH TOÁN, ĐO BÓC KHỐI LƯỢNG HOÀN THÀNH ĐƯA VÀO QUYẾT TOÁN</v>
          </cell>
        </row>
      </sheetData>
      <sheetData sheetId="10691">
        <row r="4">
          <cell r="A4" t="str">
            <v>BẢNG TÍNH TOÁN, ĐO BÓC KHỐI LƯỢNG HOÀN THÀNH ĐƯA VÀO QUYẾT TOÁN</v>
          </cell>
        </row>
      </sheetData>
      <sheetData sheetId="10692">
        <row r="4">
          <cell r="A4" t="str">
            <v>BẢNG TÍNH TOÁN, ĐO BÓC KHỐI LƯỢNG HOÀN THÀNH ĐƯA VÀO QUYẾT TOÁN</v>
          </cell>
        </row>
      </sheetData>
      <sheetData sheetId="10693">
        <row r="4">
          <cell r="A4" t="str">
            <v>BẢNG TÍNH TOÁN, ĐO BÓC KHỐI LƯỢNG HOÀN THÀNH ĐƯA VÀO QUYẾT TOÁN</v>
          </cell>
        </row>
      </sheetData>
      <sheetData sheetId="10694">
        <row r="4">
          <cell r="A4" t="str">
            <v>BẢNG TÍNH TOÁN, ĐO BÓC KHỐI LƯỢNG HOÀN THÀNH ĐƯA VÀO QUYẾT TOÁN</v>
          </cell>
        </row>
      </sheetData>
      <sheetData sheetId="10695">
        <row r="4">
          <cell r="A4" t="str">
            <v>BẢNG TÍNH TOÁN, ĐO BÓC KHỐI LƯỢNG HOÀN THÀNH ĐƯA VÀO QUYẾT TOÁN</v>
          </cell>
        </row>
      </sheetData>
      <sheetData sheetId="10696">
        <row r="4">
          <cell r="A4" t="str">
            <v>BẢNG TÍNH TOÁN, ĐO BÓC KHỐI LƯỢNG HOÀN THÀNH ĐƯA VÀO QUYẾT TOÁN</v>
          </cell>
        </row>
      </sheetData>
      <sheetData sheetId="10697">
        <row r="4">
          <cell r="A4" t="str">
            <v>BẢNG TÍNH TOÁN, ĐO BÓC KHỐI LƯỢNG HOÀN THÀNH ĐƯA VÀO QUYẾT TOÁN</v>
          </cell>
        </row>
      </sheetData>
      <sheetData sheetId="10698">
        <row r="4">
          <cell r="A4" t="str">
            <v>BẢNG TÍNH TOÁN, ĐO BÓC KHỐI LƯỢNG HOÀN THÀNH ĐƯA VÀO QUYẾT TOÁN</v>
          </cell>
        </row>
      </sheetData>
      <sheetData sheetId="10699">
        <row r="4">
          <cell r="A4" t="str">
            <v>BẢNG TÍNH TOÁN, ĐO BÓC KHỐI LƯỢNG HOÀN THÀNH ĐƯA VÀO QUYẾT TOÁN</v>
          </cell>
        </row>
      </sheetData>
      <sheetData sheetId="10700">
        <row r="4">
          <cell r="A4" t="str">
            <v>BẢNG TÍNH TOÁN, ĐO BÓC KHỐI LƯỢNG HOÀN THÀNH ĐƯA VÀO QUYẾT TOÁN</v>
          </cell>
        </row>
      </sheetData>
      <sheetData sheetId="10701">
        <row r="4">
          <cell r="A4" t="str">
            <v>BẢNG TÍNH TOÁN, ĐO BÓC KHỐI LƯỢNG HOÀN THÀNH ĐƯA VÀO QUYẾT TOÁN</v>
          </cell>
        </row>
      </sheetData>
      <sheetData sheetId="10702">
        <row r="4">
          <cell r="A4" t="str">
            <v>BẢNG TÍNH TOÁN, ĐO BÓC KHỐI LƯỢNG HOÀN THÀNH ĐƯA VÀO QUYẾT TOÁN</v>
          </cell>
        </row>
      </sheetData>
      <sheetData sheetId="10703">
        <row r="4">
          <cell r="A4" t="str">
            <v>BẢNG TÍNH TOÁN, ĐO BÓC KHỐI LƯỢNG HOÀN THÀNH ĐƯA VÀO QUYẾT TOÁN</v>
          </cell>
        </row>
      </sheetData>
      <sheetData sheetId="10704">
        <row r="4">
          <cell r="A4" t="str">
            <v>BẢNG TÍNH TOÁN, ĐO BÓC KHỐI LƯỢNG HOÀN THÀNH ĐƯA VÀO QUYẾT TOÁN</v>
          </cell>
        </row>
      </sheetData>
      <sheetData sheetId="10705">
        <row r="4">
          <cell r="A4" t="str">
            <v>BẢNG TÍNH TOÁN, ĐO BÓC KHỐI LƯỢNG HOÀN THÀNH ĐƯA VÀO QUYẾT TOÁN</v>
          </cell>
        </row>
      </sheetData>
      <sheetData sheetId="10706">
        <row r="4">
          <cell r="A4" t="str">
            <v>BẢNG TÍNH TOÁN, ĐO BÓC KHỐI LƯỢNG HOÀN THÀNH ĐƯA VÀO QUYẾT TOÁN</v>
          </cell>
        </row>
      </sheetData>
      <sheetData sheetId="10707">
        <row r="4">
          <cell r="A4" t="str">
            <v>BẢNG TÍNH TOÁN, ĐO BÓC KHỐI LƯỢNG HOÀN THÀNH ĐƯA VÀO QUYẾT TOÁN</v>
          </cell>
        </row>
      </sheetData>
      <sheetData sheetId="10708">
        <row r="4">
          <cell r="A4" t="str">
            <v>BẢNG TÍNH TOÁN, ĐO BÓC KHỐI LƯỢNG HOÀN THÀNH ĐƯA VÀO QUYẾT TOÁN</v>
          </cell>
        </row>
      </sheetData>
      <sheetData sheetId="10709">
        <row r="4">
          <cell r="A4" t="str">
            <v>BẢNG TÍNH TOÁN, ĐO BÓC KHỐI LƯỢNG HOÀN THÀNH ĐƯA VÀO QUYẾT TOÁN</v>
          </cell>
        </row>
      </sheetData>
      <sheetData sheetId="10710">
        <row r="4">
          <cell r="A4" t="str">
            <v>BẢNG TÍNH TOÁN, ĐO BÓC KHỐI LƯỢNG HOÀN THÀNH ĐƯA VÀO QUYẾT TOÁN</v>
          </cell>
        </row>
      </sheetData>
      <sheetData sheetId="10711">
        <row r="4">
          <cell r="A4" t="str">
            <v>BẢNG TÍNH TOÁN, ĐO BÓC KHỐI LƯỢNG HOÀN THÀNH ĐƯA VÀO QUYẾT TOÁN</v>
          </cell>
        </row>
      </sheetData>
      <sheetData sheetId="10712">
        <row r="4">
          <cell r="A4" t="str">
            <v>BẢNG TÍNH TOÁN, ĐO BÓC KHỐI LƯỢNG HOÀN THÀNH ĐƯA VÀO QUYẾT TOÁN</v>
          </cell>
        </row>
      </sheetData>
      <sheetData sheetId="10713">
        <row r="4">
          <cell r="A4" t="str">
            <v>BẢNG TÍNH TOÁN, ĐO BÓC KHỐI LƯỢNG HOÀN THÀNH ĐƯA VÀO QUYẾT TOÁN</v>
          </cell>
        </row>
      </sheetData>
      <sheetData sheetId="10714">
        <row r="4">
          <cell r="A4" t="str">
            <v>BẢNG TÍNH TOÁN, ĐO BÓC KHỐI LƯỢNG HOÀN THÀNH ĐƯA VÀO QUYẾT TOÁN</v>
          </cell>
        </row>
      </sheetData>
      <sheetData sheetId="10715">
        <row r="4">
          <cell r="A4" t="str">
            <v>BẢNG TÍNH TOÁN, ĐO BÓC KHỐI LƯỢNG HOÀN THÀNH ĐƯA VÀO QUYẾT TOÁN</v>
          </cell>
        </row>
      </sheetData>
      <sheetData sheetId="10716">
        <row r="4">
          <cell r="A4" t="str">
            <v>BẢNG TÍNH TOÁN, ĐO BÓC KHỐI LƯỢNG HOÀN THÀNH ĐƯA VÀO QUYẾT TOÁN</v>
          </cell>
        </row>
      </sheetData>
      <sheetData sheetId="10717">
        <row r="4">
          <cell r="A4" t="str">
            <v>BẢNG TÍNH TOÁN, ĐO BÓC KHỐI LƯỢNG HOÀN THÀNH ĐƯA VÀO QUYẾT TOÁN</v>
          </cell>
        </row>
      </sheetData>
      <sheetData sheetId="10718">
        <row r="4">
          <cell r="A4" t="str">
            <v>BẢNG TÍNH TOÁN, ĐO BÓC KHỐI LƯỢNG HOÀN THÀNH ĐƯA VÀO QUYẾT TOÁN</v>
          </cell>
        </row>
      </sheetData>
      <sheetData sheetId="10719">
        <row r="4">
          <cell r="A4" t="str">
            <v>BẢNG TÍNH TOÁN, ĐO BÓC KHỐI LƯỢNG HOÀN THÀNH ĐƯA VÀO QUYẾT TOÁN</v>
          </cell>
        </row>
      </sheetData>
      <sheetData sheetId="10720">
        <row r="4">
          <cell r="A4" t="str">
            <v>BẢNG TÍNH TOÁN, ĐO BÓC KHỐI LƯỢNG HOÀN THÀNH ĐƯA VÀO QUYẾT TOÁN</v>
          </cell>
        </row>
      </sheetData>
      <sheetData sheetId="10721">
        <row r="4">
          <cell r="A4" t="str">
            <v>BẢNG TÍNH TOÁN, ĐO BÓC KHỐI LƯỢNG HOÀN THÀNH ĐƯA VÀO QUYẾT TOÁN</v>
          </cell>
        </row>
      </sheetData>
      <sheetData sheetId="10722">
        <row r="4">
          <cell r="A4" t="str">
            <v>BẢNG TÍNH TOÁN, ĐO BÓC KHỐI LƯỢNG HOÀN THÀNH ĐƯA VÀO QUYẾT TOÁN</v>
          </cell>
        </row>
      </sheetData>
      <sheetData sheetId="10723">
        <row r="4">
          <cell r="A4" t="str">
            <v>BẢNG TÍNH TOÁN, ĐO BÓC KHỐI LƯỢNG HOÀN THÀNH ĐƯA VÀO QUYẾT TOÁN</v>
          </cell>
        </row>
      </sheetData>
      <sheetData sheetId="10724">
        <row r="4">
          <cell r="A4" t="str">
            <v>BẢNG TÍNH TOÁN, ĐO BÓC KHỐI LƯỢNG HOÀN THÀNH ĐƯA VÀO QUYẾT TOÁN</v>
          </cell>
        </row>
      </sheetData>
      <sheetData sheetId="10725">
        <row r="4">
          <cell r="A4" t="str">
            <v>BẢNG TÍNH TOÁN, ĐO BÓC KHỐI LƯỢNG HOÀN THÀNH ĐƯA VÀO QUYẾT TOÁN</v>
          </cell>
        </row>
      </sheetData>
      <sheetData sheetId="10726">
        <row r="4">
          <cell r="A4" t="str">
            <v>BẢNG TÍNH TOÁN, ĐO BÓC KHỐI LƯỢNG HOÀN THÀNH ĐƯA VÀO QUYẾT TOÁN</v>
          </cell>
        </row>
      </sheetData>
      <sheetData sheetId="10727">
        <row r="4">
          <cell r="A4" t="str">
            <v>BẢNG TÍNH TOÁN, ĐO BÓC KHỐI LƯỢNG HOÀN THÀNH ĐƯA VÀO QUYẾT TOÁN</v>
          </cell>
        </row>
      </sheetData>
      <sheetData sheetId="10728">
        <row r="4">
          <cell r="A4" t="str">
            <v>BẢNG TÍNH TOÁN, ĐO BÓC KHỐI LƯỢNG HOÀN THÀNH ĐƯA VÀO QUYẾT TOÁN</v>
          </cell>
        </row>
      </sheetData>
      <sheetData sheetId="10729">
        <row r="4">
          <cell r="A4" t="str">
            <v>BẢNG TÍNH TOÁN, ĐO BÓC KHỐI LƯỢNG HOÀN THÀNH ĐƯA VÀO QUYẾT TOÁN</v>
          </cell>
        </row>
      </sheetData>
      <sheetData sheetId="10730">
        <row r="4">
          <cell r="A4" t="str">
            <v>BẢNG TÍNH TOÁN, ĐO BÓC KHỐI LƯỢNG HOÀN THÀNH ĐƯA VÀO QUYẾT TOÁN</v>
          </cell>
        </row>
      </sheetData>
      <sheetData sheetId="10731">
        <row r="4">
          <cell r="A4" t="str">
            <v>BẢNG TÍNH TOÁN, ĐO BÓC KHỐI LƯỢNG HOÀN THÀNH ĐƯA VÀO QUYẾT TOÁN</v>
          </cell>
        </row>
      </sheetData>
      <sheetData sheetId="10732">
        <row r="4">
          <cell r="A4" t="str">
            <v>BẢNG TÍNH TOÁN, ĐO BÓC KHỐI LƯỢNG HOÀN THÀNH ĐƯA VÀO QUYẾT TOÁN</v>
          </cell>
        </row>
      </sheetData>
      <sheetData sheetId="10733">
        <row r="4">
          <cell r="A4" t="str">
            <v>BẢNG TÍNH TOÁN, ĐO BÓC KHỐI LƯỢNG HOÀN THÀNH ĐƯA VÀO QUYẾT TOÁN</v>
          </cell>
        </row>
      </sheetData>
      <sheetData sheetId="10734">
        <row r="4">
          <cell r="A4" t="str">
            <v>BẢNG TÍNH TOÁN, ĐO BÓC KHỐI LƯỢNG HOÀN THÀNH ĐƯA VÀO QUYẾT TOÁN</v>
          </cell>
        </row>
      </sheetData>
      <sheetData sheetId="10735">
        <row r="4">
          <cell r="A4" t="str">
            <v>BẢNG TÍNH TOÁN, ĐO BÓC KHỐI LƯỢNG HOÀN THÀNH ĐƯA VÀO QUYẾT TOÁN</v>
          </cell>
        </row>
      </sheetData>
      <sheetData sheetId="10736">
        <row r="4">
          <cell r="A4" t="str">
            <v>BẢNG TÍNH TOÁN, ĐO BÓC KHỐI LƯỢNG HOÀN THÀNH ĐƯA VÀO QUYẾT TOÁN</v>
          </cell>
        </row>
      </sheetData>
      <sheetData sheetId="10737">
        <row r="4">
          <cell r="A4" t="str">
            <v>BẢNG TÍNH TOÁN, ĐO BÓC KHỐI LƯỢNG HOÀN THÀNH ĐƯA VÀO QUYẾT TOÁN</v>
          </cell>
        </row>
      </sheetData>
      <sheetData sheetId="10738">
        <row r="4">
          <cell r="A4" t="str">
            <v>BẢNG TÍNH TOÁN, ĐO BÓC KHỐI LƯỢNG HOÀN THÀNH ĐƯA VÀO QUYẾT TOÁN</v>
          </cell>
        </row>
      </sheetData>
      <sheetData sheetId="10739">
        <row r="4">
          <cell r="A4" t="str">
            <v>BẢNG TÍNH TOÁN, ĐO BÓC KHỐI LƯỢNG HOÀN THÀNH ĐƯA VÀO QUYẾT TOÁN</v>
          </cell>
        </row>
      </sheetData>
      <sheetData sheetId="10740">
        <row r="4">
          <cell r="A4" t="str">
            <v>BẢNG TÍNH TOÁN, ĐO BÓC KHỐI LƯỢNG HOÀN THÀNH ĐƯA VÀO QUYẾT TOÁN</v>
          </cell>
        </row>
      </sheetData>
      <sheetData sheetId="10741">
        <row r="4">
          <cell r="A4" t="str">
            <v>BẢNG TÍNH TOÁN, ĐO BÓC KHỐI LƯỢNG HOÀN THÀNH ĐƯA VÀO QUYẾT TOÁN</v>
          </cell>
        </row>
      </sheetData>
      <sheetData sheetId="10742">
        <row r="4">
          <cell r="A4" t="str">
            <v>BẢNG TÍNH TOÁN, ĐO BÓC KHỐI LƯỢNG HOÀN THÀNH ĐƯA VÀO QUYẾT TOÁN</v>
          </cell>
        </row>
      </sheetData>
      <sheetData sheetId="10743">
        <row r="4">
          <cell r="A4" t="str">
            <v>BẢNG TÍNH TOÁN, ĐO BÓC KHỐI LƯỢNG HOÀN THÀNH ĐƯA VÀO QUYẾT TOÁN</v>
          </cell>
        </row>
      </sheetData>
      <sheetData sheetId="10744">
        <row r="4">
          <cell r="A4" t="str">
            <v>BẢNG TÍNH TOÁN, ĐO BÓC KHỐI LƯỢNG HOÀN THÀNH ĐƯA VÀO QUYẾT TOÁN</v>
          </cell>
        </row>
      </sheetData>
      <sheetData sheetId="10745">
        <row r="4">
          <cell r="A4" t="str">
            <v>BẢNG TÍNH TOÁN, ĐO BÓC KHỐI LƯỢNG HOÀN THÀNH ĐƯA VÀO QUYẾT TOÁN</v>
          </cell>
        </row>
      </sheetData>
      <sheetData sheetId="10746">
        <row r="4">
          <cell r="A4" t="str">
            <v>BẢNG TÍNH TOÁN, ĐO BÓC KHỐI LƯỢNG HOÀN THÀNH ĐƯA VÀO QUYẾT TOÁN</v>
          </cell>
        </row>
      </sheetData>
      <sheetData sheetId="10747">
        <row r="4">
          <cell r="A4" t="str">
            <v>BẢNG TÍNH TOÁN, ĐO BÓC KHỐI LƯỢNG HOÀN THÀNH ĐƯA VÀO QUYẾT TOÁN</v>
          </cell>
        </row>
      </sheetData>
      <sheetData sheetId="10748">
        <row r="4">
          <cell r="A4" t="str">
            <v>BẢNG TÍNH TOÁN, ĐO BÓC KHỐI LƯỢNG HOÀN THÀNH ĐƯA VÀO QUYẾT TOÁN</v>
          </cell>
        </row>
      </sheetData>
      <sheetData sheetId="10749">
        <row r="4">
          <cell r="A4" t="str">
            <v>BẢNG TÍNH TOÁN, ĐO BÓC KHỐI LƯỢNG HOÀN THÀNH ĐƯA VÀO QUYẾT TOÁN</v>
          </cell>
        </row>
      </sheetData>
      <sheetData sheetId="10750">
        <row r="4">
          <cell r="A4" t="str">
            <v>BẢNG TÍNH TOÁN, ĐO BÓC KHỐI LƯỢNG HOÀN THÀNH ĐƯA VÀO QUYẾT TOÁN</v>
          </cell>
        </row>
      </sheetData>
      <sheetData sheetId="10751">
        <row r="4">
          <cell r="A4" t="str">
            <v>BẢNG TÍNH TOÁN, ĐO BÓC KHỐI LƯỢNG HOÀN THÀNH ĐƯA VÀO QUYẾT TOÁN</v>
          </cell>
        </row>
      </sheetData>
      <sheetData sheetId="10752">
        <row r="4">
          <cell r="A4" t="str">
            <v>BẢNG TÍNH TOÁN, ĐO BÓC KHỐI LƯỢNG HOÀN THÀNH ĐƯA VÀO QUYẾT TOÁN</v>
          </cell>
        </row>
      </sheetData>
      <sheetData sheetId="10753">
        <row r="4">
          <cell r="A4" t="str">
            <v>BẢNG TÍNH TOÁN, ĐO BÓC KHỐI LƯỢNG HOÀN THÀNH ĐƯA VÀO QUYẾT TOÁN</v>
          </cell>
        </row>
      </sheetData>
      <sheetData sheetId="10754">
        <row r="4">
          <cell r="A4" t="str">
            <v>BẢNG TÍNH TOÁN, ĐO BÓC KHỐI LƯỢNG HOÀN THÀNH ĐƯA VÀO QUYẾT TOÁN</v>
          </cell>
        </row>
      </sheetData>
      <sheetData sheetId="10755">
        <row r="4">
          <cell r="A4" t="str">
            <v>BẢNG TÍNH TOÁN, ĐO BÓC KHỐI LƯỢNG HOÀN THÀNH ĐƯA VÀO QUYẾT TOÁN</v>
          </cell>
        </row>
      </sheetData>
      <sheetData sheetId="10756">
        <row r="4">
          <cell r="A4" t="str">
            <v>BẢNG TÍNH TOÁN, ĐO BÓC KHỐI LƯỢNG HOÀN THÀNH ĐƯA VÀO QUYẾT TOÁN</v>
          </cell>
        </row>
      </sheetData>
      <sheetData sheetId="10757">
        <row r="4">
          <cell r="A4" t="str">
            <v>BẢNG TÍNH TOÁN, ĐO BÓC KHỐI LƯỢNG HOÀN THÀNH ĐƯA VÀO QUYẾT TOÁN</v>
          </cell>
        </row>
      </sheetData>
      <sheetData sheetId="10758">
        <row r="4">
          <cell r="A4" t="str">
            <v>BẢNG TÍNH TOÁN, ĐO BÓC KHỐI LƯỢNG HOÀN THÀNH ĐƯA VÀO QUYẾT TOÁN</v>
          </cell>
        </row>
      </sheetData>
      <sheetData sheetId="10759">
        <row r="4">
          <cell r="A4" t="str">
            <v>BẢNG TÍNH TOÁN, ĐO BÓC KHỐI LƯỢNG HOÀN THÀNH ĐƯA VÀO QUYẾT TOÁN</v>
          </cell>
        </row>
      </sheetData>
      <sheetData sheetId="10760">
        <row r="4">
          <cell r="A4" t="str">
            <v>BẢNG TÍNH TOÁN, ĐO BÓC KHỐI LƯỢNG HOÀN THÀNH ĐƯA VÀO QUYẾT TOÁN</v>
          </cell>
        </row>
      </sheetData>
      <sheetData sheetId="10761">
        <row r="4">
          <cell r="A4" t="str">
            <v>BẢNG TÍNH TOÁN, ĐO BÓC KHỐI LƯỢNG HOÀN THÀNH ĐƯA VÀO QUYẾT TOÁN</v>
          </cell>
        </row>
      </sheetData>
      <sheetData sheetId="10762">
        <row r="4">
          <cell r="A4" t="str">
            <v>BẢNG TÍNH TOÁN, ĐO BÓC KHỐI LƯỢNG HOÀN THÀNH ĐƯA VÀO QUYẾT TOÁN</v>
          </cell>
        </row>
      </sheetData>
      <sheetData sheetId="10763">
        <row r="4">
          <cell r="A4" t="str">
            <v>BẢNG TÍNH TOÁN, ĐO BÓC KHỐI LƯỢNG HOÀN THÀNH ĐƯA VÀO QUYẾT TOÁN</v>
          </cell>
        </row>
      </sheetData>
      <sheetData sheetId="10764">
        <row r="4">
          <cell r="A4" t="str">
            <v>BẢNG TÍNH TOÁN, ĐO BÓC KHỐI LƯỢNG HOÀN THÀNH ĐƯA VÀO QUYẾT TOÁN</v>
          </cell>
        </row>
      </sheetData>
      <sheetData sheetId="10765">
        <row r="4">
          <cell r="A4" t="str">
            <v>BẢNG TÍNH TOÁN, ĐO BÓC KHỐI LƯỢNG HOÀN THÀNH ĐƯA VÀO QUYẾT TOÁN</v>
          </cell>
        </row>
      </sheetData>
      <sheetData sheetId="10766">
        <row r="4">
          <cell r="A4" t="str">
            <v>BẢNG TÍNH TOÁN, ĐO BÓC KHỐI LƯỢNG HOÀN THÀNH ĐƯA VÀO QUYẾT TOÁN</v>
          </cell>
        </row>
      </sheetData>
      <sheetData sheetId="10767">
        <row r="4">
          <cell r="A4" t="str">
            <v>BẢNG TÍNH TOÁN, ĐO BÓC KHỐI LƯỢNG HOÀN THÀNH ĐƯA VÀO QUYẾT TOÁN</v>
          </cell>
        </row>
      </sheetData>
      <sheetData sheetId="10768">
        <row r="4">
          <cell r="A4" t="str">
            <v>BẢNG TÍNH TOÁN, ĐO BÓC KHỐI LƯỢNG HOÀN THÀNH ĐƯA VÀO QUYẾT TOÁN</v>
          </cell>
        </row>
      </sheetData>
      <sheetData sheetId="10769">
        <row r="4">
          <cell r="A4" t="str">
            <v>BẢNG TÍNH TOÁN, ĐO BÓC KHỐI LƯỢNG HOÀN THÀNH ĐƯA VÀO QUYẾT TOÁN</v>
          </cell>
        </row>
      </sheetData>
      <sheetData sheetId="10770">
        <row r="4">
          <cell r="A4" t="str">
            <v>BẢNG TÍNH TOÁN, ĐO BÓC KHỐI LƯỢNG HOÀN THÀNH ĐƯA VÀO QUYẾT TOÁN</v>
          </cell>
        </row>
      </sheetData>
      <sheetData sheetId="10771">
        <row r="4">
          <cell r="A4" t="str">
            <v>BẢNG TÍNH TOÁN, ĐO BÓC KHỐI LƯỢNG HOÀN THÀNH ĐƯA VÀO QUYẾT TOÁN</v>
          </cell>
        </row>
      </sheetData>
      <sheetData sheetId="10772">
        <row r="4">
          <cell r="A4" t="str">
            <v>BẢNG TÍNH TOÁN, ĐO BÓC KHỐI LƯỢNG HOÀN THÀNH ĐƯA VÀO QUYẾT TOÁN</v>
          </cell>
        </row>
      </sheetData>
      <sheetData sheetId="10773">
        <row r="4">
          <cell r="A4" t="str">
            <v>BẢNG TÍNH TOÁN, ĐO BÓC KHỐI LƯỢNG HOÀN THÀNH ĐƯA VÀO QUYẾT TOÁN</v>
          </cell>
        </row>
      </sheetData>
      <sheetData sheetId="10774">
        <row r="4">
          <cell r="A4" t="str">
            <v>BẢNG TÍNH TOÁN, ĐO BÓC KHỐI LƯỢNG HOÀN THÀNH ĐƯA VÀO QUYẾT TOÁN</v>
          </cell>
        </row>
      </sheetData>
      <sheetData sheetId="10775">
        <row r="4">
          <cell r="A4" t="str">
            <v>BẢNG TÍNH TOÁN, ĐO BÓC KHỐI LƯỢNG HOÀN THÀNH ĐƯA VÀO QUYẾT TOÁN</v>
          </cell>
        </row>
      </sheetData>
      <sheetData sheetId="10776">
        <row r="4">
          <cell r="A4" t="str">
            <v>BẢNG TÍNH TOÁN, ĐO BÓC KHỐI LƯỢNG HOÀN THÀNH ĐƯA VÀO QUYẾT TOÁN</v>
          </cell>
        </row>
      </sheetData>
      <sheetData sheetId="10777">
        <row r="4">
          <cell r="A4" t="str">
            <v>BẢNG TÍNH TOÁN, ĐO BÓC KHỐI LƯỢNG HOÀN THÀNH ĐƯA VÀO QUYẾT TOÁN</v>
          </cell>
        </row>
      </sheetData>
      <sheetData sheetId="10778">
        <row r="4">
          <cell r="A4" t="str">
            <v>BẢNG TÍNH TOÁN, ĐO BÓC KHỐI LƯỢNG HOÀN THÀNH ĐƯA VÀO QUYẾT TOÁN</v>
          </cell>
        </row>
      </sheetData>
      <sheetData sheetId="10779">
        <row r="4">
          <cell r="A4" t="str">
            <v>BẢNG TÍNH TOÁN, ĐO BÓC KHỐI LƯỢNG HOÀN THÀNH ĐƯA VÀO QUYẾT TOÁN</v>
          </cell>
        </row>
      </sheetData>
      <sheetData sheetId="10780">
        <row r="4">
          <cell r="A4" t="str">
            <v>BẢNG TÍNH TOÁN, ĐO BÓC KHỐI LƯỢNG HOÀN THÀNH ĐƯA VÀO QUYẾT TOÁN</v>
          </cell>
        </row>
      </sheetData>
      <sheetData sheetId="10781">
        <row r="4">
          <cell r="A4" t="str">
            <v>BẢNG TÍNH TOÁN, ĐO BÓC KHỐI LƯỢNG HOÀN THÀNH ĐƯA VÀO QUYẾT TOÁN</v>
          </cell>
        </row>
      </sheetData>
      <sheetData sheetId="10782">
        <row r="4">
          <cell r="A4" t="str">
            <v>BẢNG TÍNH TOÁN, ĐO BÓC KHỐI LƯỢNG HOÀN THÀNH ĐƯA VÀO QUYẾT TOÁN</v>
          </cell>
        </row>
      </sheetData>
      <sheetData sheetId="10783">
        <row r="4">
          <cell r="A4" t="str">
            <v>BẢNG TÍNH TOÁN, ĐO BÓC KHỐI LƯỢNG HOÀN THÀNH ĐƯA VÀO QUYẾT TOÁN</v>
          </cell>
        </row>
      </sheetData>
      <sheetData sheetId="10784">
        <row r="4">
          <cell r="A4" t="str">
            <v>BẢNG TÍNH TOÁN, ĐO BÓC KHỐI LƯỢNG HOÀN THÀNH ĐƯA VÀO QUYẾT TOÁN</v>
          </cell>
        </row>
      </sheetData>
      <sheetData sheetId="10785">
        <row r="4">
          <cell r="A4" t="str">
            <v>BẢNG TÍNH TOÁN, ĐO BÓC KHỐI LƯỢNG HOÀN THÀNH ĐƯA VÀO QUYẾT TOÁN</v>
          </cell>
        </row>
      </sheetData>
      <sheetData sheetId="10786">
        <row r="4">
          <cell r="A4" t="str">
            <v>BẢNG TÍNH TOÁN, ĐO BÓC KHỐI LƯỢNG HOÀN THÀNH ĐƯA VÀO QUYẾT TOÁN</v>
          </cell>
        </row>
      </sheetData>
      <sheetData sheetId="10787">
        <row r="4">
          <cell r="A4" t="str">
            <v>BẢNG TÍNH TOÁN, ĐO BÓC KHỐI LƯỢNG HOÀN THÀNH ĐƯA VÀO QUYẾT TOÁN</v>
          </cell>
        </row>
      </sheetData>
      <sheetData sheetId="10788">
        <row r="4">
          <cell r="A4" t="str">
            <v>BẢNG TÍNH TOÁN, ĐO BÓC KHỐI LƯỢNG HOÀN THÀNH ĐƯA VÀO QUYẾT TOÁN</v>
          </cell>
        </row>
      </sheetData>
      <sheetData sheetId="10789">
        <row r="4">
          <cell r="A4" t="str">
            <v>BẢNG TÍNH TOÁN, ĐO BÓC KHỐI LƯỢNG HOÀN THÀNH ĐƯA VÀO QUYẾT TOÁN</v>
          </cell>
        </row>
      </sheetData>
      <sheetData sheetId="10790">
        <row r="4">
          <cell r="A4" t="str">
            <v>BẢNG TÍNH TOÁN, ĐO BÓC KHỐI LƯỢNG HOÀN THÀNH ĐƯA VÀO QUYẾT TOÁN</v>
          </cell>
        </row>
      </sheetData>
      <sheetData sheetId="10791">
        <row r="4">
          <cell r="A4" t="str">
            <v>BẢNG TÍNH TOÁN, ĐO BÓC KHỐI LƯỢNG HOÀN THÀNH ĐƯA VÀO QUYẾT TOÁN</v>
          </cell>
        </row>
      </sheetData>
      <sheetData sheetId="10792">
        <row r="4">
          <cell r="A4" t="str">
            <v>BẢNG TÍNH TOÁN, ĐO BÓC KHỐI LƯỢNG HOÀN THÀNH ĐƯA VÀO QUYẾT TOÁN</v>
          </cell>
        </row>
      </sheetData>
      <sheetData sheetId="10793">
        <row r="4">
          <cell r="A4" t="str">
            <v>BẢNG TÍNH TOÁN, ĐO BÓC KHỐI LƯỢNG HOÀN THÀNH ĐƯA VÀO QUYẾT TOÁN</v>
          </cell>
        </row>
      </sheetData>
      <sheetData sheetId="10794">
        <row r="4">
          <cell r="A4" t="str">
            <v>BẢNG TÍNH TOÁN, ĐO BÓC KHỐI LƯỢNG HOÀN THÀNH ĐƯA VÀO QUYẾT TOÁN</v>
          </cell>
        </row>
      </sheetData>
      <sheetData sheetId="10795">
        <row r="4">
          <cell r="A4" t="str">
            <v>BẢNG TÍNH TOÁN, ĐO BÓC KHỐI LƯỢNG HOÀN THÀNH ĐƯA VÀO QUYẾT TOÁN</v>
          </cell>
        </row>
      </sheetData>
      <sheetData sheetId="10796">
        <row r="4">
          <cell r="A4" t="str">
            <v>BẢNG TÍNH TOÁN, ĐO BÓC KHỐI LƯỢNG HOÀN THÀNH ĐƯA VÀO QUYẾT TOÁN</v>
          </cell>
        </row>
      </sheetData>
      <sheetData sheetId="10797">
        <row r="4">
          <cell r="A4" t="str">
            <v>BẢNG TÍNH TOÁN, ĐO BÓC KHỐI LƯỢNG HOÀN THÀNH ĐƯA VÀO QUYẾT TOÁN</v>
          </cell>
        </row>
      </sheetData>
      <sheetData sheetId="10798">
        <row r="4">
          <cell r="A4" t="str">
            <v>BẢNG TÍNH TOÁN, ĐO BÓC KHỐI LƯỢNG HOÀN THÀNH ĐƯA VÀO QUYẾT TOÁN</v>
          </cell>
        </row>
      </sheetData>
      <sheetData sheetId="10799">
        <row r="4">
          <cell r="A4" t="str">
            <v>BẢNG TÍNH TOÁN, ĐO BÓC KHỐI LƯỢNG HOÀN THÀNH ĐƯA VÀO QUYẾT TOÁN</v>
          </cell>
        </row>
      </sheetData>
      <sheetData sheetId="10800">
        <row r="4">
          <cell r="A4" t="str">
            <v>BẢNG TÍNH TOÁN, ĐO BÓC KHỐI LƯỢNG HOÀN THÀNH ĐƯA VÀO QUYẾT TOÁN</v>
          </cell>
        </row>
      </sheetData>
      <sheetData sheetId="10801">
        <row r="4">
          <cell r="A4" t="str">
            <v>BẢNG TÍNH TOÁN, ĐO BÓC KHỐI LƯỢNG HOÀN THÀNH ĐƯA VÀO QUYẾT TOÁN</v>
          </cell>
        </row>
      </sheetData>
      <sheetData sheetId="10802">
        <row r="4">
          <cell r="A4" t="str">
            <v>BẢNG TÍNH TOÁN, ĐO BÓC KHỐI LƯỢNG HOÀN THÀNH ĐƯA VÀO QUYẾT TOÁN</v>
          </cell>
        </row>
      </sheetData>
      <sheetData sheetId="10803">
        <row r="4">
          <cell r="A4" t="str">
            <v>BẢNG TÍNH TOÁN, ĐO BÓC KHỐI LƯỢNG HOÀN THÀNH ĐƯA VÀO QUYẾT TOÁN</v>
          </cell>
        </row>
      </sheetData>
      <sheetData sheetId="10804">
        <row r="4">
          <cell r="A4" t="str">
            <v>BẢNG TÍNH TOÁN, ĐO BÓC KHỐI LƯỢNG HOÀN THÀNH ĐƯA VÀO QUYẾT TOÁN</v>
          </cell>
        </row>
      </sheetData>
      <sheetData sheetId="10805">
        <row r="4">
          <cell r="A4" t="str">
            <v>BẢNG TÍNH TOÁN, ĐO BÓC KHỐI LƯỢNG HOÀN THÀNH ĐƯA VÀO QUYẾT TOÁN</v>
          </cell>
        </row>
      </sheetData>
      <sheetData sheetId="10806">
        <row r="4">
          <cell r="A4" t="str">
            <v>BẢNG TÍNH TOÁN, ĐO BÓC KHỐI LƯỢNG HOÀN THÀNH ĐƯA VÀO QUYẾT TOÁN</v>
          </cell>
        </row>
      </sheetData>
      <sheetData sheetId="10807">
        <row r="4">
          <cell r="A4" t="str">
            <v>BẢNG TÍNH TOÁN, ĐO BÓC KHỐI LƯỢNG HOÀN THÀNH ĐƯA VÀO QUYẾT TOÁN</v>
          </cell>
        </row>
      </sheetData>
      <sheetData sheetId="10808">
        <row r="4">
          <cell r="A4" t="str">
            <v>BẢNG TÍNH TOÁN, ĐO BÓC KHỐI LƯỢNG HOÀN THÀNH ĐƯA VÀO QUYẾT TOÁN</v>
          </cell>
        </row>
      </sheetData>
      <sheetData sheetId="10809">
        <row r="4">
          <cell r="A4" t="str">
            <v>BẢNG TÍNH TOÁN, ĐO BÓC KHỐI LƯỢNG HOÀN THÀNH ĐƯA VÀO QUYẾT TOÁN</v>
          </cell>
        </row>
      </sheetData>
      <sheetData sheetId="10810">
        <row r="4">
          <cell r="A4" t="str">
            <v>BẢNG TÍNH TOÁN, ĐO BÓC KHỐI LƯỢNG HOÀN THÀNH ĐƯA VÀO QUYẾT TOÁN</v>
          </cell>
        </row>
      </sheetData>
      <sheetData sheetId="10811">
        <row r="4">
          <cell r="A4" t="str">
            <v>BẢNG TÍNH TOÁN, ĐO BÓC KHỐI LƯỢNG HOÀN THÀNH ĐƯA VÀO QUYẾT TOÁN</v>
          </cell>
        </row>
      </sheetData>
      <sheetData sheetId="10812">
        <row r="4">
          <cell r="A4" t="str">
            <v>BẢNG TÍNH TOÁN, ĐO BÓC KHỐI LƯỢNG HOÀN THÀNH ĐƯA VÀO QUYẾT TOÁN</v>
          </cell>
        </row>
      </sheetData>
      <sheetData sheetId="10813">
        <row r="4">
          <cell r="A4" t="str">
            <v>BẢNG TÍNH TOÁN, ĐO BÓC KHỐI LƯỢNG HOÀN THÀNH ĐƯA VÀO QUYẾT TOÁN</v>
          </cell>
        </row>
      </sheetData>
      <sheetData sheetId="10814">
        <row r="4">
          <cell r="A4" t="str">
            <v>BẢNG TÍNH TOÁN, ĐO BÓC KHỐI LƯỢNG HOÀN THÀNH ĐƯA VÀO QUYẾT TOÁN</v>
          </cell>
        </row>
      </sheetData>
      <sheetData sheetId="10815">
        <row r="4">
          <cell r="A4" t="str">
            <v>BẢNG TÍNH TOÁN, ĐO BÓC KHỐI LƯỢNG HOÀN THÀNH ĐƯA VÀO QUYẾT TOÁN</v>
          </cell>
        </row>
      </sheetData>
      <sheetData sheetId="10816">
        <row r="4">
          <cell r="A4" t="str">
            <v>BẢNG TÍNH TOÁN, ĐO BÓC KHỐI LƯỢNG HOÀN THÀNH ĐƯA VÀO QUYẾT TOÁN</v>
          </cell>
        </row>
      </sheetData>
      <sheetData sheetId="10817">
        <row r="4">
          <cell r="A4" t="str">
            <v>BẢNG TÍNH TOÁN, ĐO BÓC KHỐI LƯỢNG HOÀN THÀNH ĐƯA VÀO QUYẾT TOÁN</v>
          </cell>
        </row>
      </sheetData>
      <sheetData sheetId="10818">
        <row r="4">
          <cell r="A4" t="str">
            <v>BẢNG TÍNH TOÁN, ĐO BÓC KHỐI LƯỢNG HOÀN THÀNH ĐƯA VÀO QUYẾT TOÁN</v>
          </cell>
        </row>
      </sheetData>
      <sheetData sheetId="10819">
        <row r="4">
          <cell r="A4" t="str">
            <v>BẢNG TÍNH TOÁN, ĐO BÓC KHỐI LƯỢNG HOÀN THÀNH ĐƯA VÀO QUYẾT TOÁN</v>
          </cell>
        </row>
      </sheetData>
      <sheetData sheetId="10820">
        <row r="4">
          <cell r="A4" t="str">
            <v>BẢNG TÍNH TOÁN, ĐO BÓC KHỐI LƯỢNG HOÀN THÀNH ĐƯA VÀO QUYẾT TOÁN</v>
          </cell>
        </row>
      </sheetData>
      <sheetData sheetId="10821">
        <row r="4">
          <cell r="A4" t="str">
            <v>BẢNG TÍNH TOÁN, ĐO BÓC KHỐI LƯỢNG HOÀN THÀNH ĐƯA VÀO QUYẾT TOÁN</v>
          </cell>
        </row>
      </sheetData>
      <sheetData sheetId="10822">
        <row r="4">
          <cell r="A4" t="str">
            <v>BẢNG TÍNH TOÁN, ĐO BÓC KHỐI LƯỢNG HOÀN THÀNH ĐƯA VÀO QUYẾT TOÁN</v>
          </cell>
        </row>
      </sheetData>
      <sheetData sheetId="10823">
        <row r="4">
          <cell r="A4" t="str">
            <v>BẢNG TÍNH TOÁN, ĐO BÓC KHỐI LƯỢNG HOÀN THÀNH ĐƯA VÀO QUYẾT TOÁN</v>
          </cell>
        </row>
      </sheetData>
      <sheetData sheetId="10824">
        <row r="4">
          <cell r="A4" t="str">
            <v>BẢNG TÍNH TOÁN, ĐO BÓC KHỐI LƯỢNG HOÀN THÀNH ĐƯA VÀO QUYẾT TOÁN</v>
          </cell>
        </row>
      </sheetData>
      <sheetData sheetId="10825">
        <row r="4">
          <cell r="A4" t="str">
            <v>BẢNG TÍNH TOÁN, ĐO BÓC KHỐI LƯỢNG HOÀN THÀNH ĐƯA VÀO QUYẾT TOÁN</v>
          </cell>
        </row>
      </sheetData>
      <sheetData sheetId="10826">
        <row r="4">
          <cell r="A4" t="str">
            <v>BẢNG TÍNH TOÁN, ĐO BÓC KHỐI LƯỢNG HOÀN THÀNH ĐƯA VÀO QUYẾT TOÁN</v>
          </cell>
        </row>
      </sheetData>
      <sheetData sheetId="10827">
        <row r="4">
          <cell r="A4" t="str">
            <v>BẢNG TÍNH TOÁN, ĐO BÓC KHỐI LƯỢNG HOÀN THÀNH ĐƯA VÀO QUYẾT TOÁN</v>
          </cell>
        </row>
      </sheetData>
      <sheetData sheetId="10828">
        <row r="4">
          <cell r="A4" t="str">
            <v>BẢNG TÍNH TOÁN, ĐO BÓC KHỐI LƯỢNG HOÀN THÀNH ĐƯA VÀO QUYẾT TOÁN</v>
          </cell>
        </row>
      </sheetData>
      <sheetData sheetId="10829">
        <row r="4">
          <cell r="A4" t="str">
            <v>BẢNG TÍNH TOÁN, ĐO BÓC KHỐI LƯỢNG HOÀN THÀNH ĐƯA VÀO QUYẾT TOÁN</v>
          </cell>
        </row>
      </sheetData>
      <sheetData sheetId="10830">
        <row r="4">
          <cell r="A4" t="str">
            <v>BẢNG TÍNH TOÁN, ĐO BÓC KHỐI LƯỢNG HOÀN THÀNH ĐƯA VÀO QUYẾT TOÁN</v>
          </cell>
        </row>
      </sheetData>
      <sheetData sheetId="10831">
        <row r="4">
          <cell r="A4" t="str">
            <v>BẢNG TÍNH TOÁN, ĐO BÓC KHỐI LƯỢNG HOÀN THÀNH ĐƯA VÀO QUYẾT TOÁN</v>
          </cell>
        </row>
      </sheetData>
      <sheetData sheetId="10832">
        <row r="4">
          <cell r="A4" t="str">
            <v>BẢNG TÍNH TOÁN, ĐO BÓC KHỐI LƯỢNG HOÀN THÀNH ĐƯA VÀO QUYẾT TOÁN</v>
          </cell>
        </row>
      </sheetData>
      <sheetData sheetId="10833">
        <row r="4">
          <cell r="A4" t="str">
            <v>BẢNG TÍNH TOÁN, ĐO BÓC KHỐI LƯỢNG HOÀN THÀNH ĐƯA VÀO QUYẾT TOÁN</v>
          </cell>
        </row>
      </sheetData>
      <sheetData sheetId="10834">
        <row r="4">
          <cell r="A4" t="str">
            <v>BẢNG TÍNH TOÁN, ĐO BÓC KHỐI LƯỢNG HOÀN THÀNH ĐƯA VÀO QUYẾT TOÁN</v>
          </cell>
        </row>
      </sheetData>
      <sheetData sheetId="10835">
        <row r="4">
          <cell r="A4" t="str">
            <v>BẢNG TÍNH TOÁN, ĐO BÓC KHỐI LƯỢNG HOÀN THÀNH ĐƯA VÀO QUYẾT TOÁN</v>
          </cell>
        </row>
      </sheetData>
      <sheetData sheetId="10836">
        <row r="4">
          <cell r="A4" t="str">
            <v>BẢNG TÍNH TOÁN, ĐO BÓC KHỐI LƯỢNG HOÀN THÀNH ĐƯA VÀO QUYẾT TOÁN</v>
          </cell>
        </row>
      </sheetData>
      <sheetData sheetId="10837">
        <row r="4">
          <cell r="A4" t="str">
            <v>BẢNG TÍNH TOÁN, ĐO BÓC KHỐI LƯỢNG HOÀN THÀNH ĐƯA VÀO QUYẾT TOÁN</v>
          </cell>
        </row>
      </sheetData>
      <sheetData sheetId="10838">
        <row r="4">
          <cell r="A4" t="str">
            <v>BẢNG TÍNH TOÁN, ĐO BÓC KHỐI LƯỢNG HOÀN THÀNH ĐƯA VÀO QUYẾT TOÁN</v>
          </cell>
        </row>
      </sheetData>
      <sheetData sheetId="10839">
        <row r="4">
          <cell r="A4" t="str">
            <v>BẢNG TÍNH TOÁN, ĐO BÓC KHỐI LƯỢNG HOÀN THÀNH ĐƯA VÀO QUYẾT TOÁN</v>
          </cell>
        </row>
      </sheetData>
      <sheetData sheetId="10840">
        <row r="4">
          <cell r="A4" t="str">
            <v>BẢNG TÍNH TOÁN, ĐO BÓC KHỐI LƯỢNG HOÀN THÀNH ĐƯA VÀO QUYẾT TOÁN</v>
          </cell>
        </row>
      </sheetData>
      <sheetData sheetId="10841">
        <row r="4">
          <cell r="A4" t="str">
            <v>BẢNG TÍNH TOÁN, ĐO BÓC KHỐI LƯỢNG HOÀN THÀNH ĐƯA VÀO QUYẾT TOÁN</v>
          </cell>
        </row>
      </sheetData>
      <sheetData sheetId="10842">
        <row r="4">
          <cell r="A4" t="str">
            <v>BẢNG TÍNH TOÁN, ĐO BÓC KHỐI LƯỢNG HOÀN THÀNH ĐƯA VÀO QUYẾT TOÁN</v>
          </cell>
        </row>
      </sheetData>
      <sheetData sheetId="10843">
        <row r="4">
          <cell r="A4" t="str">
            <v>BẢNG TÍNH TOÁN, ĐO BÓC KHỐI LƯỢNG HOÀN THÀNH ĐƯA VÀO QUYẾT TOÁN</v>
          </cell>
        </row>
      </sheetData>
      <sheetData sheetId="10844">
        <row r="4">
          <cell r="A4" t="str">
            <v>BẢNG TÍNH TOÁN, ĐO BÓC KHỐI LƯỢNG HOÀN THÀNH ĐƯA VÀO QUYẾT TOÁN</v>
          </cell>
        </row>
      </sheetData>
      <sheetData sheetId="10845">
        <row r="4">
          <cell r="A4" t="str">
            <v>BẢNG TÍNH TOÁN, ĐO BÓC KHỐI LƯỢNG HOÀN THÀNH ĐƯA VÀO QUYẾT TOÁN</v>
          </cell>
        </row>
      </sheetData>
      <sheetData sheetId="10846">
        <row r="4">
          <cell r="A4" t="str">
            <v>BẢNG TÍNH TOÁN, ĐO BÓC KHỐI LƯỢNG HOÀN THÀNH ĐƯA VÀO QUYẾT TOÁN</v>
          </cell>
        </row>
      </sheetData>
      <sheetData sheetId="10847">
        <row r="4">
          <cell r="A4" t="str">
            <v>BẢNG TÍNH TOÁN, ĐO BÓC KHỐI LƯỢNG HOÀN THÀNH ĐƯA VÀO QUYẾT TOÁN</v>
          </cell>
        </row>
      </sheetData>
      <sheetData sheetId="10848">
        <row r="4">
          <cell r="A4" t="str">
            <v>BẢNG TÍNH TOÁN, ĐO BÓC KHỐI LƯỢNG HOÀN THÀNH ĐƯA VÀO QUYẾT TOÁN</v>
          </cell>
        </row>
      </sheetData>
      <sheetData sheetId="10849">
        <row r="4">
          <cell r="A4" t="str">
            <v>BẢNG TÍNH TOÁN, ĐO BÓC KHỐI LƯỢNG HOÀN THÀNH ĐƯA VÀO QUYẾT TOÁN</v>
          </cell>
        </row>
      </sheetData>
      <sheetData sheetId="10850">
        <row r="4">
          <cell r="A4" t="str">
            <v>BẢNG TÍNH TOÁN, ĐO BÓC KHỐI LƯỢNG HOÀN THÀNH ĐƯA VÀO QUYẾT TOÁN</v>
          </cell>
        </row>
      </sheetData>
      <sheetData sheetId="10851">
        <row r="4">
          <cell r="A4" t="str">
            <v>BẢNG TÍNH TOÁN, ĐO BÓC KHỐI LƯỢNG HOÀN THÀNH ĐƯA VÀO QUYẾT TOÁN</v>
          </cell>
        </row>
      </sheetData>
      <sheetData sheetId="10852">
        <row r="4">
          <cell r="A4" t="str">
            <v>BẢNG TÍNH TOÁN, ĐO BÓC KHỐI LƯỢNG HOÀN THÀNH ĐƯA VÀO QUYẾT TOÁN</v>
          </cell>
        </row>
      </sheetData>
      <sheetData sheetId="10853">
        <row r="4">
          <cell r="A4" t="str">
            <v>BẢNG TÍNH TOÁN, ĐO BÓC KHỐI LƯỢNG HOÀN THÀNH ĐƯA VÀO QUYẾT TOÁN</v>
          </cell>
        </row>
      </sheetData>
      <sheetData sheetId="10854">
        <row r="4">
          <cell r="A4" t="str">
            <v>BẢNG TÍNH TOÁN, ĐO BÓC KHỐI LƯỢNG HOÀN THÀNH ĐƯA VÀO QUYẾT TOÁN</v>
          </cell>
        </row>
      </sheetData>
      <sheetData sheetId="10855">
        <row r="4">
          <cell r="A4" t="str">
            <v>BẢNG TÍNH TOÁN, ĐO BÓC KHỐI LƯỢNG HOÀN THÀNH ĐƯA VÀO QUYẾT TOÁN</v>
          </cell>
        </row>
      </sheetData>
      <sheetData sheetId="10856">
        <row r="4">
          <cell r="A4" t="str">
            <v>BẢNG TÍNH TOÁN, ĐO BÓC KHỐI LƯỢNG HOÀN THÀNH ĐƯA VÀO QUYẾT TOÁN</v>
          </cell>
        </row>
      </sheetData>
      <sheetData sheetId="10857">
        <row r="4">
          <cell r="A4" t="str">
            <v>BẢNG TÍNH TOÁN, ĐO BÓC KHỐI LƯỢNG HOÀN THÀNH ĐƯA VÀO QUYẾT TOÁN</v>
          </cell>
        </row>
      </sheetData>
      <sheetData sheetId="10858">
        <row r="4">
          <cell r="A4" t="str">
            <v>BẢNG TÍNH TOÁN, ĐO BÓC KHỐI LƯỢNG HOÀN THÀNH ĐƯA VÀO QUYẾT TOÁN</v>
          </cell>
        </row>
      </sheetData>
      <sheetData sheetId="10859">
        <row r="4">
          <cell r="A4" t="str">
            <v>BẢNG TÍNH TOÁN, ĐO BÓC KHỐI LƯỢNG HOÀN THÀNH ĐƯA VÀO QUYẾT TOÁN</v>
          </cell>
        </row>
      </sheetData>
      <sheetData sheetId="10860">
        <row r="4">
          <cell r="A4" t="str">
            <v>BẢNG TÍNH TOÁN, ĐO BÓC KHỐI LƯỢNG HOÀN THÀNH ĐƯA VÀO QUYẾT TOÁN</v>
          </cell>
        </row>
      </sheetData>
      <sheetData sheetId="10861">
        <row r="4">
          <cell r="A4" t="str">
            <v>BẢNG TÍNH TOÁN, ĐO BÓC KHỐI LƯỢNG HOÀN THÀNH ĐƯA VÀO QUYẾT TOÁN</v>
          </cell>
        </row>
      </sheetData>
      <sheetData sheetId="10862">
        <row r="4">
          <cell r="A4" t="str">
            <v>BẢNG TÍNH TOÁN, ĐO BÓC KHỐI LƯỢNG HOÀN THÀNH ĐƯA VÀO QUYẾT TOÁN</v>
          </cell>
        </row>
      </sheetData>
      <sheetData sheetId="10863">
        <row r="4">
          <cell r="A4" t="str">
            <v>BẢNG TÍNH TOÁN, ĐO BÓC KHỐI LƯỢNG HOÀN THÀNH ĐƯA VÀO QUYẾT TOÁN</v>
          </cell>
        </row>
      </sheetData>
      <sheetData sheetId="10864">
        <row r="4">
          <cell r="A4" t="str">
            <v>BẢNG TÍNH TOÁN, ĐO BÓC KHỐI LƯỢNG HOÀN THÀNH ĐƯA VÀO QUYẾT TOÁN</v>
          </cell>
        </row>
      </sheetData>
      <sheetData sheetId="10865">
        <row r="4">
          <cell r="A4" t="str">
            <v>BẢNG TÍNH TOÁN, ĐO BÓC KHỐI LƯỢNG HOÀN THÀNH ĐƯA VÀO QUYẾT TOÁN</v>
          </cell>
        </row>
      </sheetData>
      <sheetData sheetId="10866">
        <row r="4">
          <cell r="A4" t="str">
            <v>BẢNG TÍNH TOÁN, ĐO BÓC KHỐI LƯỢNG HOÀN THÀNH ĐƯA VÀO QUYẾT TOÁN</v>
          </cell>
        </row>
      </sheetData>
      <sheetData sheetId="10867">
        <row r="4">
          <cell r="A4" t="str">
            <v>BẢNG TÍNH TOÁN, ĐO BÓC KHỐI LƯỢNG HOÀN THÀNH ĐƯA VÀO QUYẾT TOÁN</v>
          </cell>
        </row>
      </sheetData>
      <sheetData sheetId="10868">
        <row r="4">
          <cell r="A4" t="str">
            <v>BẢNG TÍNH TOÁN, ĐO BÓC KHỐI LƯỢNG HOÀN THÀNH ĐƯA VÀO QUYẾT TOÁN</v>
          </cell>
        </row>
      </sheetData>
      <sheetData sheetId="10869">
        <row r="4">
          <cell r="A4" t="str">
            <v>BẢNG TÍNH TOÁN, ĐO BÓC KHỐI LƯỢNG HOÀN THÀNH ĐƯA VÀO QUYẾT TOÁN</v>
          </cell>
        </row>
      </sheetData>
      <sheetData sheetId="10870">
        <row r="4">
          <cell r="A4" t="str">
            <v>BẢNG TÍNH TOÁN, ĐO BÓC KHỐI LƯỢNG HOÀN THÀNH ĐƯA VÀO QUYẾT TOÁN</v>
          </cell>
        </row>
      </sheetData>
      <sheetData sheetId="10871">
        <row r="4">
          <cell r="A4" t="str">
            <v>BẢNG TÍNH TOÁN, ĐO BÓC KHỐI LƯỢNG HOÀN THÀNH ĐƯA VÀO QUYẾT TOÁN</v>
          </cell>
        </row>
      </sheetData>
      <sheetData sheetId="10872">
        <row r="4">
          <cell r="A4" t="str">
            <v>BẢNG TÍNH TOÁN, ĐO BÓC KHỐI LƯỢNG HOÀN THÀNH ĐƯA VÀO QUYẾT TOÁN</v>
          </cell>
        </row>
      </sheetData>
      <sheetData sheetId="10873">
        <row r="4">
          <cell r="A4" t="str">
            <v>BẢNG TÍNH TOÁN, ĐO BÓC KHỐI LƯỢNG HOÀN THÀNH ĐƯA VÀO QUYẾT TOÁN</v>
          </cell>
        </row>
      </sheetData>
      <sheetData sheetId="10874">
        <row r="4">
          <cell r="A4" t="str">
            <v>BẢNG TÍNH TOÁN, ĐO BÓC KHỐI LƯỢNG HOÀN THÀNH ĐƯA VÀO QUYẾT TOÁN</v>
          </cell>
        </row>
      </sheetData>
      <sheetData sheetId="10875">
        <row r="4">
          <cell r="A4" t="str">
            <v>BẢNG TÍNH TOÁN, ĐO BÓC KHỐI LƯỢNG HOÀN THÀNH ĐƯA VÀO QUYẾT TOÁN</v>
          </cell>
        </row>
      </sheetData>
      <sheetData sheetId="10876">
        <row r="4">
          <cell r="A4" t="str">
            <v>BẢNG TÍNH TOÁN, ĐO BÓC KHỐI LƯỢNG HOÀN THÀNH ĐƯA VÀO QUYẾT TOÁN</v>
          </cell>
        </row>
      </sheetData>
      <sheetData sheetId="10877">
        <row r="4">
          <cell r="A4" t="str">
            <v>BẢNG TÍNH TOÁN, ĐO BÓC KHỐI LƯỢNG HOÀN THÀNH ĐƯA VÀO QUYẾT TOÁN</v>
          </cell>
        </row>
      </sheetData>
      <sheetData sheetId="10878">
        <row r="4">
          <cell r="A4" t="str">
            <v>BẢNG TÍNH TOÁN, ĐO BÓC KHỐI LƯỢNG HOÀN THÀNH ĐƯA VÀO QUYẾT TOÁN</v>
          </cell>
        </row>
      </sheetData>
      <sheetData sheetId="10879">
        <row r="4">
          <cell r="A4" t="str">
            <v>BẢNG TÍNH TOÁN, ĐO BÓC KHỐI LƯỢNG HOÀN THÀNH ĐƯA VÀO QUYẾT TOÁN</v>
          </cell>
        </row>
      </sheetData>
      <sheetData sheetId="10880">
        <row r="4">
          <cell r="A4" t="str">
            <v>BẢNG TÍNH TOÁN, ĐO BÓC KHỐI LƯỢNG HOÀN THÀNH ĐƯA VÀO QUYẾT TOÁN</v>
          </cell>
        </row>
      </sheetData>
      <sheetData sheetId="10881">
        <row r="4">
          <cell r="A4" t="str">
            <v>BẢNG TÍNH TOÁN, ĐO BÓC KHỐI LƯỢNG HOÀN THÀNH ĐƯA VÀO QUYẾT TOÁN</v>
          </cell>
        </row>
      </sheetData>
      <sheetData sheetId="10882">
        <row r="4">
          <cell r="A4" t="str">
            <v>BẢNG TÍNH TOÁN, ĐO BÓC KHỐI LƯỢNG HOÀN THÀNH ĐƯA VÀO QUYẾT TOÁN</v>
          </cell>
        </row>
      </sheetData>
      <sheetData sheetId="10883">
        <row r="4">
          <cell r="A4" t="str">
            <v>BẢNG TÍNH TOÁN, ĐO BÓC KHỐI LƯỢNG HOÀN THÀNH ĐƯA VÀO QUYẾT TOÁN</v>
          </cell>
        </row>
      </sheetData>
      <sheetData sheetId="10884">
        <row r="4">
          <cell r="A4" t="str">
            <v>BẢNG TÍNH TOÁN, ĐO BÓC KHỐI LƯỢNG HOÀN THÀNH ĐƯA VÀO QUYẾT TOÁN</v>
          </cell>
        </row>
      </sheetData>
      <sheetData sheetId="10885">
        <row r="4">
          <cell r="A4" t="str">
            <v>BẢNG TÍNH TOÁN, ĐO BÓC KHỐI LƯỢNG HOÀN THÀNH ĐƯA VÀO QUYẾT TOÁN</v>
          </cell>
        </row>
      </sheetData>
      <sheetData sheetId="10886">
        <row r="4">
          <cell r="A4" t="str">
            <v>BẢNG TÍNH TOÁN, ĐO BÓC KHỐI LƯỢNG HOÀN THÀNH ĐƯA VÀO QUYẾT TOÁN</v>
          </cell>
        </row>
      </sheetData>
      <sheetData sheetId="10887">
        <row r="4">
          <cell r="A4" t="str">
            <v>BẢNG TÍNH TOÁN, ĐO BÓC KHỐI LƯỢNG HOÀN THÀNH ĐƯA VÀO QUYẾT TOÁN</v>
          </cell>
        </row>
      </sheetData>
      <sheetData sheetId="10888">
        <row r="4">
          <cell r="A4" t="str">
            <v>BẢNG TÍNH TOÁN, ĐO BÓC KHỐI LƯỢNG HOÀN THÀNH ĐƯA VÀO QUYẾT TOÁN</v>
          </cell>
        </row>
      </sheetData>
      <sheetData sheetId="10889">
        <row r="4">
          <cell r="A4" t="str">
            <v>BẢNG TÍNH TOÁN, ĐO BÓC KHỐI LƯỢNG HOÀN THÀNH ĐƯA VÀO QUYẾT TOÁN</v>
          </cell>
        </row>
      </sheetData>
      <sheetData sheetId="10890">
        <row r="4">
          <cell r="A4" t="str">
            <v>BẢNG TÍNH TOÁN, ĐO BÓC KHỐI LƯỢNG HOÀN THÀNH ĐƯA VÀO QUYẾT TOÁN</v>
          </cell>
        </row>
      </sheetData>
      <sheetData sheetId="10891">
        <row r="9">
          <cell r="A9" t="str">
            <v>A</v>
          </cell>
        </row>
      </sheetData>
      <sheetData sheetId="10892">
        <row r="4">
          <cell r="A4" t="str">
            <v>BẢNG TÍNH TOÁN, ĐO BÓC KHỐI LƯỢNG HOÀN THÀNH ĐƯA VÀO QUYẾT TOÁN</v>
          </cell>
        </row>
      </sheetData>
      <sheetData sheetId="10893">
        <row r="4">
          <cell r="A4" t="str">
            <v>BẢNG TÍNH TOÁN, ĐO BÓC KHỐI LƯỢNG HOÀN THÀNH ĐƯA VÀO QUYẾT TOÁN</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ow r="9">
          <cell r="A9" t="str">
            <v>A</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ow r="9">
          <cell r="A9" t="str">
            <v>A</v>
          </cell>
        </row>
      </sheetData>
      <sheetData sheetId="11031">
        <row r="9">
          <cell r="A9" t="str">
            <v>A</v>
          </cell>
        </row>
      </sheetData>
      <sheetData sheetId="11032">
        <row r="9">
          <cell r="A9" t="str">
            <v>A</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efreshError="1"/>
      <sheetData sheetId="11231" refreshError="1"/>
      <sheetData sheetId="11232">
        <row r="9">
          <cell r="A9" t="str">
            <v>A</v>
          </cell>
        </row>
      </sheetData>
      <sheetData sheetId="11233" refreshError="1"/>
      <sheetData sheetId="11234" refreshError="1"/>
      <sheetData sheetId="11235" refreshError="1"/>
      <sheetData sheetId="11236" refreshError="1"/>
      <sheetData sheetId="11237" refreshError="1"/>
      <sheetData sheetId="11238" refreshError="1"/>
      <sheetData sheetId="11239">
        <row r="4">
          <cell r="A4" t="str">
            <v>BẢNG TÍNH TOÁN, ĐO BÓC KHỐI LƯỢNG HOÀN THÀNH ĐƯA VÀO QUYẾT TOÁN</v>
          </cell>
        </row>
      </sheetData>
      <sheetData sheetId="11240">
        <row r="4">
          <cell r="A4" t="str">
            <v>BẢNG TÍNH TOÁN, ĐO BÓC KHỐI LƯỢNG HOÀN THÀNH ĐƯA VÀO QUYẾT TOÁN</v>
          </cell>
        </row>
      </sheetData>
      <sheetData sheetId="11241">
        <row r="4">
          <cell r="A4" t="str">
            <v>BẢNG TÍNH TOÁN, ĐO BÓC KHỐI LƯỢNG HOÀN THÀNH ĐƯA VÀO QUYẾT TOÁN</v>
          </cell>
        </row>
      </sheetData>
      <sheetData sheetId="11242">
        <row r="4">
          <cell r="A4" t="str">
            <v>BẢNG TÍNH TOÁN, ĐO BÓC KHỐI LƯỢNG HOÀN THÀNH ĐƯA VÀO QUYẾT TOÁN</v>
          </cell>
        </row>
      </sheetData>
      <sheetData sheetId="11243">
        <row r="4">
          <cell r="A4" t="str">
            <v>BẢNG TÍNH TOÁN, ĐO BÓC KHỐI LƯỢNG HOÀN THÀNH ĐƯA VÀO QUYẾT TOÁN</v>
          </cell>
        </row>
      </sheetData>
      <sheetData sheetId="11244">
        <row r="4">
          <cell r="A4" t="str">
            <v>BẢNG TÍNH TOÁN, ĐO BÓC KHỐI LƯỢNG HOÀN THÀNH ĐƯA VÀO QUYẾT TOÁN</v>
          </cell>
        </row>
      </sheetData>
      <sheetData sheetId="11245">
        <row r="4">
          <cell r="A4" t="str">
            <v>BẢNG TÍNH TOÁN, ĐO BÓC KHỐI LƯỢNG HOÀN THÀNH ĐƯA VÀO QUYẾT TOÁN</v>
          </cell>
        </row>
      </sheetData>
      <sheetData sheetId="11246">
        <row r="9">
          <cell r="A9" t="str">
            <v>A</v>
          </cell>
        </row>
      </sheetData>
      <sheetData sheetId="11247">
        <row r="4">
          <cell r="A4" t="str">
            <v>BẢNG TÍNH TOÁN, ĐO BÓC KHỐI LƯỢNG HOÀN THÀNH ĐƯA VÀO QUYẾT TOÁN</v>
          </cell>
        </row>
      </sheetData>
      <sheetData sheetId="11248">
        <row r="4">
          <cell r="A4" t="str">
            <v>BẢNG TÍNH TOÁN, ĐO BÓC KHỐI LƯỢNG HOÀN THÀNH ĐƯA VÀO QUYẾT TOÁN</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ow r="9">
          <cell r="A9" t="str">
            <v>A</v>
          </cell>
        </row>
      </sheetData>
      <sheetData sheetId="11255">
        <row r="9">
          <cell r="A9" t="str">
            <v>A</v>
          </cell>
        </row>
      </sheetData>
      <sheetData sheetId="11256">
        <row r="9">
          <cell r="A9" t="str">
            <v>A</v>
          </cell>
        </row>
      </sheetData>
      <sheetData sheetId="11257">
        <row r="4">
          <cell r="A4" t="str">
            <v>BẢNG TÍNH TOÁN, ĐO BÓC KHỐI LƯỢNG HOÀN THÀNH ĐƯA VÀO QUYẾT TOÁN</v>
          </cell>
        </row>
      </sheetData>
      <sheetData sheetId="11258">
        <row r="4">
          <cell r="A4" t="str">
            <v>BẢNG TÍNH TOÁN, ĐO BÓC KHỐI LƯỢNG HOÀN THÀNH ĐƯA VÀO QUYẾT TOÁN</v>
          </cell>
        </row>
      </sheetData>
      <sheetData sheetId="11259">
        <row r="9">
          <cell r="A9" t="str">
            <v>A</v>
          </cell>
        </row>
      </sheetData>
      <sheetData sheetId="11260">
        <row r="9">
          <cell r="A9" t="str">
            <v>A</v>
          </cell>
        </row>
      </sheetData>
      <sheetData sheetId="11261">
        <row r="9">
          <cell r="A9" t="str">
            <v>A</v>
          </cell>
        </row>
      </sheetData>
      <sheetData sheetId="11262">
        <row r="4">
          <cell r="A4" t="str">
            <v>BẢNG TÍNH TOÁN, ĐO BÓC KHỐI LƯỢNG HOÀN THÀNH ĐƯA VÀO QUYẾT TOÁN</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4">
          <cell r="A4" t="str">
            <v>BẢNG TÍNH TOÁN, ĐO BÓC KHỐI LƯỢNG HOÀN THÀNH ĐƯA VÀO QUYẾT TOÁN</v>
          </cell>
        </row>
      </sheetData>
      <sheetData sheetId="11277">
        <row r="9">
          <cell r="A9" t="str">
            <v>A</v>
          </cell>
        </row>
      </sheetData>
      <sheetData sheetId="11278">
        <row r="4">
          <cell r="A4" t="str">
            <v>BẢNG TÍNH TOÁN, ĐO BÓC KHỐI LƯỢNG HOÀN THÀNH ĐƯA VÀO QUYẾT TOÁN</v>
          </cell>
        </row>
      </sheetData>
      <sheetData sheetId="11279">
        <row r="4">
          <cell r="A4" t="str">
            <v>BẢNG TÍNH TOÁN, ĐO BÓC KHỐI LƯỢNG HOÀN THÀNH ĐƯA VÀO QUYẾT TOÁN</v>
          </cell>
        </row>
      </sheetData>
      <sheetData sheetId="11280">
        <row r="4">
          <cell r="A4" t="str">
            <v>BẢNG TÍNH TOÁN, ĐO BÓC KHỐI LƯỢNG HOÀN THÀNH ĐƯA VÀO QUYẾT TOÁN</v>
          </cell>
        </row>
      </sheetData>
      <sheetData sheetId="11281">
        <row r="4">
          <cell r="A4" t="str">
            <v>BẢNG TÍNH TOÁN, ĐO BÓC KHỐI LƯỢNG HOÀN THÀNH ĐƯA VÀO QUYẾT TOÁN</v>
          </cell>
        </row>
      </sheetData>
      <sheetData sheetId="11282">
        <row r="4">
          <cell r="A4" t="str">
            <v>BẢNG TÍNH TOÁN, ĐO BÓC KHỐI LƯỢNG HOÀN THÀNH ĐƯA VÀO QUYẾT TOÁN</v>
          </cell>
        </row>
      </sheetData>
      <sheetData sheetId="11283">
        <row r="4">
          <cell r="A4" t="str">
            <v>BẢNG TÍNH TOÁN, ĐO BÓC KHỐI LƯỢNG HOÀN THÀNH ĐƯA VÀO QUYẾT TOÁN</v>
          </cell>
        </row>
      </sheetData>
      <sheetData sheetId="11284">
        <row r="4">
          <cell r="A4" t="str">
            <v>BẢNG TÍNH TOÁN, ĐO BÓC KHỐI LƯỢNG HOÀN THÀNH ĐƯA VÀO QUYẾT TOÁN</v>
          </cell>
        </row>
      </sheetData>
      <sheetData sheetId="11285">
        <row r="4">
          <cell r="A4" t="str">
            <v>BẢNG TÍNH TOÁN, ĐO BÓC KHỐI LƯỢNG HOÀN THÀNH ĐƯA VÀO QUYẾT TOÁN</v>
          </cell>
        </row>
      </sheetData>
      <sheetData sheetId="11286">
        <row r="4">
          <cell r="A4" t="str">
            <v>BẢNG TÍNH TOÁN, ĐO BÓC KHỐI LƯỢNG HOÀN THÀNH ĐƯA VÀO QUYẾT TOÁN</v>
          </cell>
        </row>
      </sheetData>
      <sheetData sheetId="11287">
        <row r="4">
          <cell r="A4" t="str">
            <v>BẢNG TÍNH TOÁN, ĐO BÓC KHỐI LƯỢNG HOÀN THÀNH ĐƯA VÀO QUYẾT TOÁN</v>
          </cell>
        </row>
      </sheetData>
      <sheetData sheetId="11288">
        <row r="4">
          <cell r="A4" t="str">
            <v>BẢNG TÍNH TOÁN, ĐO BÓC KHỐI LƯỢNG HOÀN THÀNH ĐƯA VÀO QUYẾT TOÁN</v>
          </cell>
        </row>
      </sheetData>
      <sheetData sheetId="11289">
        <row r="4">
          <cell r="A4" t="str">
            <v>BẢNG TÍNH TOÁN, ĐO BÓC KHỐI LƯỢNG HOÀN THÀNH ĐƯA VÀO QUYẾT TOÁN</v>
          </cell>
        </row>
      </sheetData>
      <sheetData sheetId="11290">
        <row r="4">
          <cell r="A4" t="str">
            <v>BẢNG TÍNH TOÁN, ĐO BÓC KHỐI LƯỢNG HOÀN THÀNH ĐƯA VÀO QUYẾT TOÁN</v>
          </cell>
        </row>
      </sheetData>
      <sheetData sheetId="11291">
        <row r="4">
          <cell r="A4" t="str">
            <v>BẢNG TÍNH TOÁN, ĐO BÓC KHỐI LƯỢNG HOÀN THÀNH ĐƯA VÀO QUYẾT TOÁN</v>
          </cell>
        </row>
      </sheetData>
      <sheetData sheetId="11292">
        <row r="4">
          <cell r="A4" t="str">
            <v>BẢNG TÍNH TOÁN, ĐO BÓC KHỐI LƯỢNG HOÀN THÀNH ĐƯA VÀO QUYẾT TOÁN</v>
          </cell>
        </row>
      </sheetData>
      <sheetData sheetId="11293">
        <row r="4">
          <cell r="A4" t="str">
            <v>BẢNG TÍNH TOÁN, ĐO BÓC KHỐI LƯỢNG HOÀN THÀNH ĐƯA VÀO QUYẾT TOÁN</v>
          </cell>
        </row>
      </sheetData>
      <sheetData sheetId="11294">
        <row r="4">
          <cell r="A4" t="str">
            <v>BẢNG TÍNH TOÁN, ĐO BÓC KHỐI LƯỢNG HOÀN THÀNH ĐƯA VÀO QUYẾT TOÁN</v>
          </cell>
        </row>
      </sheetData>
      <sheetData sheetId="11295">
        <row r="4">
          <cell r="A4" t="str">
            <v>BẢNG TÍNH TOÁN, ĐO BÓC KHỐI LƯỢNG HOÀN THÀNH ĐƯA VÀO QUYẾT TOÁN</v>
          </cell>
        </row>
      </sheetData>
      <sheetData sheetId="11296">
        <row r="4">
          <cell r="A4" t="str">
            <v>BẢNG TÍNH TOÁN, ĐO BÓC KHỐI LƯỢNG HOÀN THÀNH ĐƯA VÀO QUYẾT TOÁN</v>
          </cell>
        </row>
      </sheetData>
      <sheetData sheetId="11297">
        <row r="4">
          <cell r="A4" t="str">
            <v>BẢNG TÍNH TOÁN, ĐO BÓC KHỐI LƯỢNG HOÀN THÀNH ĐƯA VÀO QUYẾT TOÁN</v>
          </cell>
        </row>
      </sheetData>
      <sheetData sheetId="11298">
        <row r="4">
          <cell r="A4" t="str">
            <v>BẢNG TÍNH TOÁN, ĐO BÓC KHỐI LƯỢNG HOÀN THÀNH ĐƯA VÀO QUYẾT TOÁN</v>
          </cell>
        </row>
      </sheetData>
      <sheetData sheetId="11299">
        <row r="4">
          <cell r="A4" t="str">
            <v>BẢNG TÍNH TOÁN, ĐO BÓC KHỐI LƯỢNG HOÀN THÀNH ĐƯA VÀO QUYẾT TOÁN</v>
          </cell>
        </row>
      </sheetData>
      <sheetData sheetId="11300">
        <row r="4">
          <cell r="A4" t="str">
            <v>BẢNG TÍNH TOÁN, ĐO BÓC KHỐI LƯỢNG HOÀN THÀNH ĐƯA VÀO QUYẾT TOÁN</v>
          </cell>
        </row>
      </sheetData>
      <sheetData sheetId="11301">
        <row r="4">
          <cell r="A4" t="str">
            <v>BẢNG TÍNH TOÁN, ĐO BÓC KHỐI LƯỢNG HOÀN THÀNH ĐƯA VÀO QUYẾT TOÁN</v>
          </cell>
        </row>
      </sheetData>
      <sheetData sheetId="11302">
        <row r="4">
          <cell r="A4" t="str">
            <v>BẢNG TÍNH TOÁN, ĐO BÓC KHỐI LƯỢNG HOÀN THÀNH ĐƯA VÀO QUYẾT TOÁN</v>
          </cell>
        </row>
      </sheetData>
      <sheetData sheetId="11303">
        <row r="4">
          <cell r="A4" t="str">
            <v>BẢNG TÍNH TOÁN, ĐO BÓC KHỐI LƯỢNG HOÀN THÀNH ĐƯA VÀO QUYẾT TOÁN</v>
          </cell>
        </row>
      </sheetData>
      <sheetData sheetId="11304">
        <row r="4">
          <cell r="A4" t="str">
            <v>BẢNG TÍNH TOÁN, ĐO BÓC KHỐI LƯỢNG HOÀN THÀNH ĐƯA VÀO QUYẾT TOÁN</v>
          </cell>
        </row>
      </sheetData>
      <sheetData sheetId="11305">
        <row r="4">
          <cell r="A4" t="str">
            <v>BẢNG TÍNH TOÁN, ĐO BÓC KHỐI LƯỢNG HOÀN THÀNH ĐƯA VÀO QUYẾT TOÁN</v>
          </cell>
        </row>
      </sheetData>
      <sheetData sheetId="11306">
        <row r="4">
          <cell r="A4" t="str">
            <v>BẢNG TÍNH TOÁN, ĐO BÓC KHỐI LƯỢNG HOÀN THÀNH ĐƯA VÀO QUYẾT TOÁN</v>
          </cell>
        </row>
      </sheetData>
      <sheetData sheetId="11307">
        <row r="4">
          <cell r="A4" t="str">
            <v>BẢNG TÍNH TOÁN, ĐO BÓC KHỐI LƯỢNG HOÀN THÀNH ĐƯA VÀO QUYẾT TOÁN</v>
          </cell>
        </row>
      </sheetData>
      <sheetData sheetId="11308">
        <row r="4">
          <cell r="A4" t="str">
            <v>BẢNG TÍNH TOÁN, ĐO BÓC KHỐI LƯỢNG HOÀN THÀNH ĐƯA VÀO QUYẾT TOÁN</v>
          </cell>
        </row>
      </sheetData>
      <sheetData sheetId="11309">
        <row r="4">
          <cell r="A4" t="str">
            <v>BẢNG TÍNH TOÁN, ĐO BÓC KHỐI LƯỢNG HOÀN THÀNH ĐƯA VÀO QUYẾT TOÁN</v>
          </cell>
        </row>
      </sheetData>
      <sheetData sheetId="11310">
        <row r="4">
          <cell r="A4" t="str">
            <v>BẢNG TÍNH TOÁN, ĐO BÓC KHỐI LƯỢNG HOÀN THÀNH ĐƯA VÀO QUYẾT TOÁN</v>
          </cell>
        </row>
      </sheetData>
      <sheetData sheetId="11311">
        <row r="4">
          <cell r="A4" t="str">
            <v>BẢNG TÍNH TOÁN, ĐO BÓC KHỐI LƯỢNG HOÀN THÀNH ĐƯA VÀO QUYẾT TOÁN</v>
          </cell>
        </row>
      </sheetData>
      <sheetData sheetId="11312" refreshError="1"/>
      <sheetData sheetId="11313">
        <row r="4">
          <cell r="A4" t="str">
            <v>BẢNG TÍNH TOÁN, ĐO BÓC KHỐI LƯỢNG HOÀN THÀNH ĐƯA VÀO QUYẾT TOÁN</v>
          </cell>
        </row>
      </sheetData>
      <sheetData sheetId="11314">
        <row r="4">
          <cell r="A4" t="str">
            <v>BẢNG TÍNH TOÁN, ĐO BÓC KHỐI LƯỢNG HOÀN THÀNH ĐƯA VÀO QUYẾT TOÁN</v>
          </cell>
        </row>
      </sheetData>
      <sheetData sheetId="11315">
        <row r="4">
          <cell r="A4" t="str">
            <v>BẢNG TÍNH TOÁN, ĐO BÓC KHỐI LƯỢNG HOÀN THÀNH ĐƯA VÀO QUYẾT TOÁN</v>
          </cell>
        </row>
      </sheetData>
      <sheetData sheetId="11316">
        <row r="4">
          <cell r="A4" t="str">
            <v>BẢNG TÍNH TOÁN, ĐO BÓC KHỐI LƯỢNG HOÀN THÀNH ĐƯA VÀO QUYẾT TOÁN</v>
          </cell>
        </row>
      </sheetData>
      <sheetData sheetId="11317">
        <row r="4">
          <cell r="A4" t="str">
            <v>BẢNG TÍNH TOÁN, ĐO BÓC KHỐI LƯỢNG HOÀN THÀNH ĐƯA VÀO QUYẾT TOÁN</v>
          </cell>
        </row>
      </sheetData>
      <sheetData sheetId="11318">
        <row r="4">
          <cell r="A4" t="str">
            <v>BẢNG TÍNH TOÁN, ĐO BÓC KHỐI LƯỢNG HOÀN THÀNH ĐƯA VÀO QUYẾT TOÁN</v>
          </cell>
        </row>
      </sheetData>
      <sheetData sheetId="11319">
        <row r="9">
          <cell r="A9" t="str">
            <v>A</v>
          </cell>
        </row>
      </sheetData>
      <sheetData sheetId="11320">
        <row r="4">
          <cell r="A4" t="str">
            <v>BẢNG TÍNH TOÁN, ĐO BÓC KHỐI LƯỢNG HOÀN THÀNH ĐƯA VÀO QUYẾT TOÁN</v>
          </cell>
        </row>
      </sheetData>
      <sheetData sheetId="11321">
        <row r="4">
          <cell r="A4" t="str">
            <v>BẢNG TÍNH TOÁN, ĐO BÓC KHỐI LƯỢNG HOÀN THÀNH ĐƯA VÀO QUYẾT TOÁN</v>
          </cell>
        </row>
      </sheetData>
      <sheetData sheetId="11322">
        <row r="9">
          <cell r="A9" t="str">
            <v>A</v>
          </cell>
        </row>
      </sheetData>
      <sheetData sheetId="11323">
        <row r="4">
          <cell r="A4" t="str">
            <v>BẢNG TÍNH TOÁN, ĐO BÓC KHỐI LƯỢNG HOÀN THÀNH ĐƯA VÀO QUYẾT TOÁN</v>
          </cell>
        </row>
      </sheetData>
      <sheetData sheetId="11324">
        <row r="9">
          <cell r="A9" t="str">
            <v>A</v>
          </cell>
        </row>
      </sheetData>
      <sheetData sheetId="11325">
        <row r="4">
          <cell r="A4" t="str">
            <v>BẢNG TÍNH TOÁN, ĐO BÓC KHỐI LƯỢNG HOÀN THÀNH ĐƯA VÀO QUYẾT TOÁN</v>
          </cell>
        </row>
      </sheetData>
      <sheetData sheetId="11326">
        <row r="4">
          <cell r="A4" t="str">
            <v>BẢNG TÍNH TOÁN, ĐO BÓC KHỐI LƯỢNG HOÀN THÀNH ĐƯA VÀO QUYẾT TOÁN</v>
          </cell>
        </row>
      </sheetData>
      <sheetData sheetId="11327">
        <row r="4">
          <cell r="A4" t="str">
            <v>BẢNG TÍNH TOÁN, ĐO BÓC KHỐI LƯỢNG HOÀN THÀNH ĐƯA VÀO QUYẾT TOÁN</v>
          </cell>
        </row>
      </sheetData>
      <sheetData sheetId="11328">
        <row r="4">
          <cell r="A4" t="str">
            <v>BẢNG TÍNH TOÁN, ĐO BÓC KHỐI LƯỢNG HOÀN THÀNH ĐƯA VÀO QUYẾT TOÁN</v>
          </cell>
        </row>
      </sheetData>
      <sheetData sheetId="11329">
        <row r="4">
          <cell r="A4" t="str">
            <v>BẢNG TÍNH TOÁN, ĐO BÓC KHỐI LƯỢNG HOÀN THÀNH ĐƯA VÀO QUYẾT TOÁN</v>
          </cell>
        </row>
      </sheetData>
      <sheetData sheetId="11330">
        <row r="4">
          <cell r="A4" t="str">
            <v>BẢNG TÍNH TOÁN, ĐO BÓC KHỐI LƯỢNG HOÀN THÀNH ĐƯA VÀO QUYẾT TOÁN</v>
          </cell>
        </row>
      </sheetData>
      <sheetData sheetId="11331">
        <row r="4">
          <cell r="A4" t="str">
            <v>BẢNG TÍNH TOÁN, ĐO BÓC KHỐI LƯỢNG HOÀN THÀNH ĐƯA VÀO QUYẾT TOÁN</v>
          </cell>
        </row>
      </sheetData>
      <sheetData sheetId="11332">
        <row r="4">
          <cell r="A4" t="str">
            <v>BẢNG TÍNH TOÁN, ĐO BÓC KHỐI LƯỢNG HOÀN THÀNH ĐƯA VÀO QUYẾT TOÁN</v>
          </cell>
        </row>
      </sheetData>
      <sheetData sheetId="11333">
        <row r="4">
          <cell r="A4" t="str">
            <v>BẢNG TÍNH TOÁN, ĐO BÓC KHỐI LƯỢNG HOÀN THÀNH ĐƯA VÀO QUYẾT TOÁN</v>
          </cell>
        </row>
      </sheetData>
      <sheetData sheetId="11334">
        <row r="4">
          <cell r="A4" t="str">
            <v>BẢNG TÍNH TOÁN, ĐO BÓC KHỐI LƯỢNG HOÀN THÀNH ĐƯA VÀO QUYẾT TOÁN</v>
          </cell>
        </row>
      </sheetData>
      <sheetData sheetId="11335">
        <row r="4">
          <cell r="A4" t="str">
            <v>BẢNG TÍNH TOÁN, ĐO BÓC KHỐI LƯỢNG HOÀN THÀNH ĐƯA VÀO QUYẾT TOÁN</v>
          </cell>
        </row>
      </sheetData>
      <sheetData sheetId="11336">
        <row r="4">
          <cell r="A4" t="str">
            <v>BẢNG TÍNH TOÁN, ĐO BÓC KHỐI LƯỢNG HOÀN THÀNH ĐƯA VÀO QUYẾT TOÁN</v>
          </cell>
        </row>
      </sheetData>
      <sheetData sheetId="11337">
        <row r="4">
          <cell r="A4" t="str">
            <v>BẢNG TÍNH TOÁN, ĐO BÓC KHỐI LƯỢNG HOÀN THÀNH ĐƯA VÀO QUYẾT TOÁN</v>
          </cell>
        </row>
      </sheetData>
      <sheetData sheetId="11338">
        <row r="4">
          <cell r="A4" t="str">
            <v>BẢNG TÍNH TOÁN, ĐO BÓC KHỐI LƯỢNG HOÀN THÀNH ĐƯA VÀO QUYẾT TOÁN</v>
          </cell>
        </row>
      </sheetData>
      <sheetData sheetId="11339">
        <row r="4">
          <cell r="A4" t="str">
            <v>BẢNG TÍNH TOÁN, ĐO BÓC KHỐI LƯỢNG HOÀN THÀNH ĐƯA VÀO QUYẾT TOÁN</v>
          </cell>
        </row>
      </sheetData>
      <sheetData sheetId="11340">
        <row r="4">
          <cell r="A4" t="str">
            <v>BẢNG TÍNH TOÁN, ĐO BÓC KHỐI LƯỢNG HOÀN THÀNH ĐƯA VÀO QUYẾT TOÁN</v>
          </cell>
        </row>
      </sheetData>
      <sheetData sheetId="11341">
        <row r="4">
          <cell r="A4" t="str">
            <v>BẢNG TÍNH TOÁN, ĐO BÓC KHỐI LƯỢNG HOÀN THÀNH ĐƯA VÀO QUYẾT TOÁN</v>
          </cell>
        </row>
      </sheetData>
      <sheetData sheetId="11342">
        <row r="4">
          <cell r="A4" t="str">
            <v>BẢNG TÍNH TOÁN, ĐO BÓC KHỐI LƯỢNG HOÀN THÀNH ĐƯA VÀO QUYẾT TOÁN</v>
          </cell>
        </row>
      </sheetData>
      <sheetData sheetId="11343">
        <row r="4">
          <cell r="A4" t="str">
            <v>BẢNG TÍNH TOÁN, ĐO BÓC KHỐI LƯỢNG HOÀN THÀNH ĐƯA VÀO QUYẾT TOÁN</v>
          </cell>
        </row>
      </sheetData>
      <sheetData sheetId="11344">
        <row r="4">
          <cell r="A4" t="str">
            <v>BẢNG TÍNH TOÁN, ĐO BÓC KHỐI LƯỢNG HOÀN THÀNH ĐƯA VÀO QUYẾT TOÁN</v>
          </cell>
        </row>
      </sheetData>
      <sheetData sheetId="11345">
        <row r="4">
          <cell r="A4" t="str">
            <v>BẢNG TÍNH TOÁN, ĐO BÓC KHỐI LƯỢNG HOÀN THÀNH ĐƯA VÀO QUYẾT TOÁN</v>
          </cell>
        </row>
      </sheetData>
      <sheetData sheetId="11346">
        <row r="4">
          <cell r="A4" t="str">
            <v>BẢNG TÍNH TOÁN, ĐO BÓC KHỐI LƯỢNG HOÀN THÀNH ĐƯA VÀO QUYẾT TOÁN</v>
          </cell>
        </row>
      </sheetData>
      <sheetData sheetId="11347">
        <row r="4">
          <cell r="A4" t="str">
            <v>BẢNG TÍNH TOÁN, ĐO BÓC KHỐI LƯỢNG HOÀN THÀNH ĐƯA VÀO QUYẾT TOÁN</v>
          </cell>
        </row>
      </sheetData>
      <sheetData sheetId="11348">
        <row r="4">
          <cell r="A4" t="str">
            <v>BẢNG TÍNH TOÁN, ĐO BÓC KHỐI LƯỢNG HOÀN THÀNH ĐƯA VÀO QUYẾT TOÁN</v>
          </cell>
        </row>
      </sheetData>
      <sheetData sheetId="11349">
        <row r="4">
          <cell r="A4" t="str">
            <v>BẢNG TÍNH TOÁN, ĐO BÓC KHỐI LƯỢNG HOÀN THÀNH ĐƯA VÀO QUYẾT TOÁN</v>
          </cell>
        </row>
      </sheetData>
      <sheetData sheetId="11350">
        <row r="9">
          <cell r="A9" t="str">
            <v>A</v>
          </cell>
        </row>
      </sheetData>
      <sheetData sheetId="11351">
        <row r="9">
          <cell r="A9" t="str">
            <v>A</v>
          </cell>
        </row>
      </sheetData>
      <sheetData sheetId="11352">
        <row r="4">
          <cell r="A4" t="str">
            <v>BẢNG TÍNH TOÁN, ĐO BÓC KHỐI LƯỢNG HOÀN THÀNH ĐƯA VÀO QUYẾT TOÁN</v>
          </cell>
        </row>
      </sheetData>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ow r="9">
          <cell r="A9" t="str">
            <v>A</v>
          </cell>
        </row>
      </sheetData>
      <sheetData sheetId="11371">
        <row r="4">
          <cell r="A4" t="str">
            <v>BẢNG TÍNH TOÁN, ĐO BÓC KHỐI LƯỢNG HOÀN THÀNH ĐƯA VÀO QUYẾT TOÁN</v>
          </cell>
        </row>
      </sheetData>
      <sheetData sheetId="11372">
        <row r="4">
          <cell r="A4" t="str">
            <v>BẢNG TÍNH TOÁN, ĐO BÓC KHỐI LƯỢNG HOÀN THÀNH ĐƯA VÀO QUYẾT TOÁN</v>
          </cell>
        </row>
      </sheetData>
      <sheetData sheetId="11373">
        <row r="4">
          <cell r="A4" t="str">
            <v>BẢNG TÍNH TOÁN, ĐO BÓC KHỐI LƯỢNG HOÀN THÀNH ĐƯA VÀO QUYẾT TOÁN</v>
          </cell>
        </row>
      </sheetData>
      <sheetData sheetId="11374">
        <row r="4">
          <cell r="A4" t="str">
            <v>BẢNG TÍNH TOÁN, ĐO BÓC KHỐI LƯỢNG HOÀN THÀNH ĐƯA VÀO QUYẾT TOÁN</v>
          </cell>
        </row>
      </sheetData>
      <sheetData sheetId="11375">
        <row r="4">
          <cell r="A4" t="str">
            <v>BẢNG TÍNH TOÁN, ĐO BÓC KHỐI LƯỢNG HOÀN THÀNH ĐƯA VÀO QUYẾT TOÁN</v>
          </cell>
        </row>
      </sheetData>
      <sheetData sheetId="11376">
        <row r="4">
          <cell r="A4" t="str">
            <v>BẢNG TÍNH TOÁN, ĐO BÓC KHỐI LƯỢNG HOÀN THÀNH ĐƯA VÀO QUYẾT TOÁN</v>
          </cell>
        </row>
      </sheetData>
      <sheetData sheetId="11377">
        <row r="4">
          <cell r="A4" t="str">
            <v>BẢNG TÍNH TOÁN, ĐO BÓC KHỐI LƯỢNG HOÀN THÀNH ĐƯA VÀO QUYẾT TOÁN</v>
          </cell>
        </row>
      </sheetData>
      <sheetData sheetId="11378">
        <row r="4">
          <cell r="A4" t="str">
            <v>BẢNG TÍNH TOÁN, ĐO BÓC KHỐI LƯỢNG HOÀN THÀNH ĐƯA VÀO QUYẾT TOÁN</v>
          </cell>
        </row>
      </sheetData>
      <sheetData sheetId="11379">
        <row r="4">
          <cell r="A4" t="str">
            <v>BẢNG TÍNH TOÁN, ĐO BÓC KHỐI LƯỢNG HOÀN THÀNH ĐƯA VÀO QUYẾT TOÁN</v>
          </cell>
        </row>
      </sheetData>
      <sheetData sheetId="11380">
        <row r="4">
          <cell r="A4" t="str">
            <v>BẢNG TÍNH TOÁN, ĐO BÓC KHỐI LƯỢNG HOÀN THÀNH ĐƯA VÀO QUYẾT TOÁN</v>
          </cell>
        </row>
      </sheetData>
      <sheetData sheetId="11381">
        <row r="4">
          <cell r="A4" t="str">
            <v>BẢNG TÍNH TOÁN, ĐO BÓC KHỐI LƯỢNG HOÀN THÀNH ĐƯA VÀO QUYẾT TOÁN</v>
          </cell>
        </row>
      </sheetData>
      <sheetData sheetId="11382">
        <row r="4">
          <cell r="A4" t="str">
            <v>BẢNG TÍNH TOÁN, ĐO BÓC KHỐI LƯỢNG HOÀN THÀNH ĐƯA VÀO QUYẾT TOÁN</v>
          </cell>
        </row>
      </sheetData>
      <sheetData sheetId="11383">
        <row r="4">
          <cell r="A4" t="str">
            <v>BẢNG TÍNH TOÁN, ĐO BÓC KHỐI LƯỢNG HOÀN THÀNH ĐƯA VÀO QUYẾT TOÁN</v>
          </cell>
        </row>
      </sheetData>
      <sheetData sheetId="11384">
        <row r="4">
          <cell r="A4" t="str">
            <v>BẢNG TÍNH TOÁN, ĐO BÓC KHỐI LƯỢNG HOÀN THÀNH ĐƯA VÀO QUYẾT TOÁN</v>
          </cell>
        </row>
      </sheetData>
      <sheetData sheetId="11385">
        <row r="4">
          <cell r="A4" t="str">
            <v>BẢNG TÍNH TOÁN, ĐO BÓC KHỐI LƯỢNG HOÀN THÀNH ĐƯA VÀO QUYẾT TOÁN</v>
          </cell>
        </row>
      </sheetData>
      <sheetData sheetId="11386">
        <row r="4">
          <cell r="A4" t="str">
            <v>BẢNG TÍNH TOÁN, ĐO BÓC KHỐI LƯỢNG HOÀN THÀNH ĐƯA VÀO QUYẾT TOÁN</v>
          </cell>
        </row>
      </sheetData>
      <sheetData sheetId="11387">
        <row r="4">
          <cell r="A4" t="str">
            <v>BẢNG TÍNH TOÁN, ĐO BÓC KHỐI LƯỢNG HOÀN THÀNH ĐƯA VÀO QUYẾT TOÁN</v>
          </cell>
        </row>
      </sheetData>
      <sheetData sheetId="11388">
        <row r="4">
          <cell r="A4" t="str">
            <v>BẢNG TÍNH TOÁN, ĐO BÓC KHỐI LƯỢNG HOÀN THÀNH ĐƯA VÀO QUYẾT TOÁN</v>
          </cell>
        </row>
      </sheetData>
      <sheetData sheetId="11389">
        <row r="4">
          <cell r="A4" t="str">
            <v>BẢNG TÍNH TOÁN, ĐO BÓC KHỐI LƯỢNG HOÀN THÀNH ĐƯA VÀO QUYẾT TOÁN</v>
          </cell>
        </row>
      </sheetData>
      <sheetData sheetId="11390">
        <row r="4">
          <cell r="A4" t="str">
            <v>BẢNG TÍNH TOÁN, ĐO BÓC KHỐI LƯỢNG HOÀN THÀNH ĐƯA VÀO QUYẾT TOÁN</v>
          </cell>
        </row>
      </sheetData>
      <sheetData sheetId="11391">
        <row r="4">
          <cell r="A4" t="str">
            <v>BẢNG TÍNH TOÁN, ĐO BÓC KHỐI LƯỢNG HOÀN THÀNH ĐƯA VÀO QUYẾT TOÁN</v>
          </cell>
        </row>
      </sheetData>
      <sheetData sheetId="11392">
        <row r="4">
          <cell r="A4" t="str">
            <v>BẢNG TÍNH TOÁN, ĐO BÓC KHỐI LƯỢNG HOÀN THÀNH ĐƯA VÀO QUYẾT TOÁN</v>
          </cell>
        </row>
      </sheetData>
      <sheetData sheetId="11393">
        <row r="4">
          <cell r="A4" t="str">
            <v>BẢNG TÍNH TOÁN, ĐO BÓC KHỐI LƯỢNG HOÀN THÀNH ĐƯA VÀO QUYẾT TOÁN</v>
          </cell>
        </row>
      </sheetData>
      <sheetData sheetId="11394">
        <row r="4">
          <cell r="A4" t="str">
            <v>BẢNG TÍNH TOÁN, ĐO BÓC KHỐI LƯỢNG HOÀN THÀNH ĐƯA VÀO QUYẾT TOÁN</v>
          </cell>
        </row>
      </sheetData>
      <sheetData sheetId="11395">
        <row r="4">
          <cell r="A4" t="str">
            <v>BẢNG TÍNH TOÁN, ĐO BÓC KHỐI LƯỢNG HOÀN THÀNH ĐƯA VÀO QUYẾT TOÁN</v>
          </cell>
        </row>
      </sheetData>
      <sheetData sheetId="11396">
        <row r="4">
          <cell r="A4" t="str">
            <v>BẢNG TÍNH TOÁN, ĐO BÓC KHỐI LƯỢNG HOÀN THÀNH ĐƯA VÀO QUYẾT TOÁN</v>
          </cell>
        </row>
      </sheetData>
      <sheetData sheetId="11397">
        <row r="4">
          <cell r="A4" t="str">
            <v>BẢNG TÍNH TOÁN, ĐO BÓC KHỐI LƯỢNG HOÀN THÀNH ĐƯA VÀO QUYẾT TOÁN</v>
          </cell>
        </row>
      </sheetData>
      <sheetData sheetId="11398">
        <row r="4">
          <cell r="A4" t="str">
            <v>BẢNG TÍNH TOÁN, ĐO BÓC KHỐI LƯỢNG HOÀN THÀNH ĐƯA VÀO QUYẾT TOÁN</v>
          </cell>
        </row>
      </sheetData>
      <sheetData sheetId="11399">
        <row r="4">
          <cell r="A4" t="str">
            <v>BẢNG TÍNH TOÁN, ĐO BÓC KHỐI LƯỢNG HOÀN THÀNH ĐƯA VÀO QUYẾT TOÁN</v>
          </cell>
        </row>
      </sheetData>
      <sheetData sheetId="11400">
        <row r="4">
          <cell r="A4" t="str">
            <v>BẢNG TÍNH TOÁN, ĐO BÓC KHỐI LƯỢNG HOÀN THÀNH ĐƯA VÀO QUYẾT TOÁN</v>
          </cell>
        </row>
      </sheetData>
      <sheetData sheetId="11401">
        <row r="4">
          <cell r="A4" t="str">
            <v>BẢNG TÍNH TOÁN, ĐO BÓC KHỐI LƯỢNG HOÀN THÀNH ĐƯA VÀO QUYẾT TOÁN</v>
          </cell>
        </row>
      </sheetData>
      <sheetData sheetId="11402">
        <row r="4">
          <cell r="A4" t="str">
            <v>BẢNG TÍNH TOÁN, ĐO BÓC KHỐI LƯỢNG HOÀN THÀNH ĐƯA VÀO QUYẾT TOÁN</v>
          </cell>
        </row>
      </sheetData>
      <sheetData sheetId="11403">
        <row r="4">
          <cell r="A4" t="str">
            <v>BẢNG TÍNH TOÁN, ĐO BÓC KHỐI LƯỢNG HOÀN THÀNH ĐƯA VÀO QUYẾT TOÁN</v>
          </cell>
        </row>
      </sheetData>
      <sheetData sheetId="11404">
        <row r="4">
          <cell r="A4" t="str">
            <v>BẢNG TÍNH TOÁN, ĐO BÓC KHỐI LƯỢNG HOÀN THÀNH ĐƯA VÀO QUYẾT TOÁN</v>
          </cell>
        </row>
      </sheetData>
      <sheetData sheetId="11405">
        <row r="4">
          <cell r="A4" t="str">
            <v>BẢNG TÍNH TOÁN, ĐO BÓC KHỐI LƯỢNG HOÀN THÀNH ĐƯA VÀO QUYẾT TOÁN</v>
          </cell>
        </row>
      </sheetData>
      <sheetData sheetId="11406">
        <row r="4">
          <cell r="A4" t="str">
            <v>BẢNG TÍNH TOÁN, ĐO BÓC KHỐI LƯỢNG HOÀN THÀNH ĐƯA VÀO QUYẾT TOÁN</v>
          </cell>
        </row>
      </sheetData>
      <sheetData sheetId="11407">
        <row r="4">
          <cell r="A4" t="str">
            <v>BẢNG TÍNH TOÁN, ĐO BÓC KHỐI LƯỢNG HOÀN THÀNH ĐƯA VÀO QUYẾT TOÁN</v>
          </cell>
        </row>
      </sheetData>
      <sheetData sheetId="11408">
        <row r="4">
          <cell r="A4" t="str">
            <v>BẢNG TÍNH TOÁN, ĐO BÓC KHỐI LƯỢNG HOÀN THÀNH ĐƯA VÀO QUYẾT TOÁN</v>
          </cell>
        </row>
      </sheetData>
      <sheetData sheetId="11409">
        <row r="4">
          <cell r="A4" t="str">
            <v>BẢNG TÍNH TOÁN, ĐO BÓC KHỐI LƯỢNG HOÀN THÀNH ĐƯA VÀO QUYẾT TOÁN</v>
          </cell>
        </row>
      </sheetData>
      <sheetData sheetId="11410">
        <row r="4">
          <cell r="A4" t="str">
            <v>BẢNG TÍNH TOÁN, ĐO BÓC KHỐI LƯỢNG HOÀN THÀNH ĐƯA VÀO QUYẾT TOÁN</v>
          </cell>
        </row>
      </sheetData>
      <sheetData sheetId="11411">
        <row r="4">
          <cell r="A4" t="str">
            <v>BẢNG TÍNH TOÁN, ĐO BÓC KHỐI LƯỢNG HOÀN THÀNH ĐƯA VÀO QUYẾT TOÁN</v>
          </cell>
        </row>
      </sheetData>
      <sheetData sheetId="11412">
        <row r="4">
          <cell r="A4" t="str">
            <v>BẢNG TÍNH TOÁN, ĐO BÓC KHỐI LƯỢNG HOÀN THÀNH ĐƯA VÀO QUYẾT TOÁN</v>
          </cell>
        </row>
      </sheetData>
      <sheetData sheetId="11413">
        <row r="4">
          <cell r="A4" t="str">
            <v>BẢNG TÍNH TOÁN, ĐO BÓC KHỐI LƯỢNG HOÀN THÀNH ĐƯA VÀO QUYẾT TOÁN</v>
          </cell>
        </row>
      </sheetData>
      <sheetData sheetId="11414">
        <row r="4">
          <cell r="A4" t="str">
            <v>BẢNG TÍNH TOÁN, ĐO BÓC KHỐI LƯỢNG HOÀN THÀNH ĐƯA VÀO QUYẾT TOÁN</v>
          </cell>
        </row>
      </sheetData>
      <sheetData sheetId="11415">
        <row r="4">
          <cell r="A4" t="str">
            <v>BẢNG TÍNH TOÁN, ĐO BÓC KHỐI LƯỢNG HOÀN THÀNH ĐƯA VÀO QUYẾT TOÁN</v>
          </cell>
        </row>
      </sheetData>
      <sheetData sheetId="11416">
        <row r="4">
          <cell r="A4" t="str">
            <v>BẢNG TÍNH TOÁN, ĐO BÓC KHỐI LƯỢNG HOÀN THÀNH ĐƯA VÀO QUYẾT TOÁN</v>
          </cell>
        </row>
      </sheetData>
      <sheetData sheetId="11417">
        <row r="4">
          <cell r="A4" t="str">
            <v>BẢNG TÍNH TOÁN, ĐO BÓC KHỐI LƯỢNG HOÀN THÀNH ĐƯA VÀO QUYẾT TOÁN</v>
          </cell>
        </row>
      </sheetData>
      <sheetData sheetId="11418">
        <row r="4">
          <cell r="A4" t="str">
            <v>BẢNG TÍNH TOÁN, ĐO BÓC KHỐI LƯỢNG HOÀN THÀNH ĐƯA VÀO QUYẾT TOÁN</v>
          </cell>
        </row>
      </sheetData>
      <sheetData sheetId="11419">
        <row r="4">
          <cell r="A4" t="str">
            <v>BẢNG TÍNH TOÁN, ĐO BÓC KHỐI LƯỢNG HOÀN THÀNH ĐƯA VÀO QUYẾT TOÁN</v>
          </cell>
        </row>
      </sheetData>
      <sheetData sheetId="11420">
        <row r="4">
          <cell r="A4" t="str">
            <v>BẢNG TÍNH TOÁN, ĐO BÓC KHỐI LƯỢNG HOÀN THÀNH ĐƯA VÀO QUYẾT TOÁN</v>
          </cell>
        </row>
      </sheetData>
      <sheetData sheetId="11421">
        <row r="4">
          <cell r="A4" t="str">
            <v>BẢNG TÍNH TOÁN, ĐO BÓC KHỐI LƯỢNG HOÀN THÀNH ĐƯA VÀO QUYẾT TOÁN</v>
          </cell>
        </row>
      </sheetData>
      <sheetData sheetId="11422">
        <row r="4">
          <cell r="A4" t="str">
            <v>BẢNG TÍNH TOÁN, ĐO BÓC KHỐI LƯỢNG HOÀN THÀNH ĐƯA VÀO QUYẾT TOÁN</v>
          </cell>
        </row>
      </sheetData>
      <sheetData sheetId="11423">
        <row r="4">
          <cell r="A4" t="str">
            <v>BẢNG TÍNH TOÁN, ĐO BÓC KHỐI LƯỢNG HOÀN THÀNH ĐƯA VÀO QUYẾT TOÁN</v>
          </cell>
        </row>
      </sheetData>
      <sheetData sheetId="11424">
        <row r="4">
          <cell r="A4" t="str">
            <v>BẢNG TÍNH TOÁN, ĐO BÓC KHỐI LƯỢNG HOÀN THÀNH ĐƯA VÀO QUYẾT TOÁN</v>
          </cell>
        </row>
      </sheetData>
      <sheetData sheetId="11425">
        <row r="4">
          <cell r="A4" t="str">
            <v>BẢNG TÍNH TOÁN, ĐO BÓC KHỐI LƯỢNG HOÀN THÀNH ĐƯA VÀO QUYẾT TOÁN</v>
          </cell>
        </row>
      </sheetData>
      <sheetData sheetId="11426">
        <row r="4">
          <cell r="A4" t="str">
            <v>BẢNG TÍNH TOÁN, ĐO BÓC KHỐI LƯỢNG HOÀN THÀNH ĐƯA VÀO QUYẾT TOÁN</v>
          </cell>
        </row>
      </sheetData>
      <sheetData sheetId="11427">
        <row r="4">
          <cell r="A4" t="str">
            <v>BẢNG TÍNH TOÁN, ĐO BÓC KHỐI LƯỢNG HOÀN THÀNH ĐƯA VÀO QUYẾT TOÁN</v>
          </cell>
        </row>
      </sheetData>
      <sheetData sheetId="11428">
        <row r="4">
          <cell r="A4" t="str">
            <v>BẢNG TÍNH TOÁN, ĐO BÓC KHỐI LƯỢNG HOÀN THÀNH ĐƯA VÀO QUYẾT TOÁN</v>
          </cell>
        </row>
      </sheetData>
      <sheetData sheetId="11429">
        <row r="4">
          <cell r="A4" t="str">
            <v>BẢNG TÍNH TOÁN, ĐO BÓC KHỐI LƯỢNG HOÀN THÀNH ĐƯA VÀO QUYẾT TOÁN</v>
          </cell>
        </row>
      </sheetData>
      <sheetData sheetId="11430">
        <row r="4">
          <cell r="A4" t="str">
            <v>BẢNG TÍNH TOÁN, ĐO BÓC KHỐI LƯỢNG HOÀN THÀNH ĐƯA VÀO QUYẾT TOÁN</v>
          </cell>
        </row>
      </sheetData>
      <sheetData sheetId="11431">
        <row r="4">
          <cell r="A4" t="str">
            <v>BẢNG TÍNH TOÁN, ĐO BÓC KHỐI LƯỢNG HOÀN THÀNH ĐƯA VÀO QUYẾT TOÁN</v>
          </cell>
        </row>
      </sheetData>
      <sheetData sheetId="11432">
        <row r="4">
          <cell r="A4" t="str">
            <v>BẢNG TÍNH TOÁN, ĐO BÓC KHỐI LƯỢNG HOÀN THÀNH ĐƯA VÀO QUYẾT TOÁN</v>
          </cell>
        </row>
      </sheetData>
      <sheetData sheetId="11433">
        <row r="4">
          <cell r="A4" t="str">
            <v>BẢNG TÍNH TOÁN, ĐO BÓC KHỐI LƯỢNG HOÀN THÀNH ĐƯA VÀO QUYẾT TOÁN</v>
          </cell>
        </row>
      </sheetData>
      <sheetData sheetId="11434">
        <row r="4">
          <cell r="A4" t="str">
            <v>BẢNG TÍNH TOÁN, ĐO BÓC KHỐI LƯỢNG HOÀN THÀNH ĐƯA VÀO QUYẾT TOÁN</v>
          </cell>
        </row>
      </sheetData>
      <sheetData sheetId="11435">
        <row r="4">
          <cell r="A4" t="str">
            <v>BẢNG TÍNH TOÁN, ĐO BÓC KHỐI LƯỢNG HOÀN THÀNH ĐƯA VÀO QUYẾT TOÁN</v>
          </cell>
        </row>
      </sheetData>
      <sheetData sheetId="11436">
        <row r="4">
          <cell r="A4" t="str">
            <v>BẢNG TÍNH TOÁN, ĐO BÓC KHỐI LƯỢNG HOÀN THÀNH ĐƯA VÀO QUYẾT TOÁN</v>
          </cell>
        </row>
      </sheetData>
      <sheetData sheetId="11437">
        <row r="4">
          <cell r="A4" t="str">
            <v>BẢNG TÍNH TOÁN, ĐO BÓC KHỐI LƯỢNG HOÀN THÀNH ĐƯA VÀO QUYẾT TOÁN</v>
          </cell>
        </row>
      </sheetData>
      <sheetData sheetId="11438">
        <row r="4">
          <cell r="A4" t="str">
            <v>BẢNG TÍNH TOÁN, ĐO BÓC KHỐI LƯỢNG HOÀN THÀNH ĐƯA VÀO QUYẾT TOÁN</v>
          </cell>
        </row>
      </sheetData>
      <sheetData sheetId="11439">
        <row r="4">
          <cell r="A4" t="str">
            <v>BẢNG TÍNH TOÁN, ĐO BÓC KHỐI LƯỢNG HOÀN THÀNH ĐƯA VÀO QUYẾT TOÁN</v>
          </cell>
        </row>
      </sheetData>
      <sheetData sheetId="11440">
        <row r="4">
          <cell r="A4" t="str">
            <v>BẢNG TÍNH TOÁN, ĐO BÓC KHỐI LƯỢNG HOÀN THÀNH ĐƯA VÀO QUYẾT TOÁN</v>
          </cell>
        </row>
      </sheetData>
      <sheetData sheetId="11441">
        <row r="4">
          <cell r="A4" t="str">
            <v>BẢNG TÍNH TOÁN, ĐO BÓC KHỐI LƯỢNG HOÀN THÀNH ĐƯA VÀO QUYẾT TOÁN</v>
          </cell>
        </row>
      </sheetData>
      <sheetData sheetId="11442">
        <row r="4">
          <cell r="A4" t="str">
            <v>BẢNG TÍNH TOÁN, ĐO BÓC KHỐI LƯỢNG HOÀN THÀNH ĐƯA VÀO QUYẾT TOÁN</v>
          </cell>
        </row>
      </sheetData>
      <sheetData sheetId="11443">
        <row r="4">
          <cell r="A4" t="str">
            <v>BẢNG TÍNH TOÁN, ĐO BÓC KHỐI LƯỢNG HOÀN THÀNH ĐƯA VÀO QUYẾT TOÁN</v>
          </cell>
        </row>
      </sheetData>
      <sheetData sheetId="11444">
        <row r="4">
          <cell r="A4" t="str">
            <v>BẢNG TÍNH TOÁN, ĐO BÓC KHỐI LƯỢNG HOÀN THÀNH ĐƯA VÀO QUYẾT TOÁN</v>
          </cell>
        </row>
      </sheetData>
      <sheetData sheetId="11445">
        <row r="4">
          <cell r="A4" t="str">
            <v>BẢNG TÍNH TOÁN, ĐO BÓC KHỐI LƯỢNG HOÀN THÀNH ĐƯA VÀO QUYẾT TOÁN</v>
          </cell>
        </row>
      </sheetData>
      <sheetData sheetId="11446">
        <row r="4">
          <cell r="A4" t="str">
            <v>BẢNG TÍNH TOÁN, ĐO BÓC KHỐI LƯỢNG HOÀN THÀNH ĐƯA VÀO QUYẾT TOÁN</v>
          </cell>
        </row>
      </sheetData>
      <sheetData sheetId="11447">
        <row r="4">
          <cell r="A4" t="str">
            <v>BẢNG TÍNH TOÁN, ĐO BÓC KHỐI LƯỢNG HOÀN THÀNH ĐƯA VÀO QUYẾT TOÁN</v>
          </cell>
        </row>
      </sheetData>
      <sheetData sheetId="11448">
        <row r="4">
          <cell r="A4" t="str">
            <v>BẢNG TÍNH TOÁN, ĐO BÓC KHỐI LƯỢNG HOÀN THÀNH ĐƯA VÀO QUYẾT TOÁN</v>
          </cell>
        </row>
      </sheetData>
      <sheetData sheetId="11449">
        <row r="4">
          <cell r="A4" t="str">
            <v>BẢNG TÍNH TOÁN, ĐO BÓC KHỐI LƯỢNG HOÀN THÀNH ĐƯA VÀO QUYẾT TOÁN</v>
          </cell>
        </row>
      </sheetData>
      <sheetData sheetId="11450">
        <row r="4">
          <cell r="A4" t="str">
            <v>BẢNG TÍNH TOÁN, ĐO BÓC KHỐI LƯỢNG HOÀN THÀNH ĐƯA VÀO QUYẾT TOÁN</v>
          </cell>
        </row>
      </sheetData>
      <sheetData sheetId="11451">
        <row r="4">
          <cell r="A4" t="str">
            <v>BẢNG TÍNH TOÁN, ĐO BÓC KHỐI LƯỢNG HOÀN THÀNH ĐƯA VÀO QUYẾT TOÁN</v>
          </cell>
        </row>
      </sheetData>
      <sheetData sheetId="11452">
        <row r="4">
          <cell r="A4" t="str">
            <v>BẢNG TÍNH TOÁN, ĐO BÓC KHỐI LƯỢNG HOÀN THÀNH ĐƯA VÀO QUYẾT TOÁN</v>
          </cell>
        </row>
      </sheetData>
      <sheetData sheetId="11453">
        <row r="4">
          <cell r="A4" t="str">
            <v>BẢNG TÍNH TOÁN, ĐO BÓC KHỐI LƯỢNG HOÀN THÀNH ĐƯA VÀO QUYẾT TOÁN</v>
          </cell>
        </row>
      </sheetData>
      <sheetData sheetId="11454">
        <row r="4">
          <cell r="A4" t="str">
            <v>BẢNG TÍNH TOÁN, ĐO BÓC KHỐI LƯỢNG HOÀN THÀNH ĐƯA VÀO QUYẾT TOÁN</v>
          </cell>
        </row>
      </sheetData>
      <sheetData sheetId="11455">
        <row r="4">
          <cell r="A4" t="str">
            <v>BẢNG TÍNH TOÁN, ĐO BÓC KHỐI LƯỢNG HOÀN THÀNH ĐƯA VÀO QUYẾT TOÁN</v>
          </cell>
        </row>
      </sheetData>
      <sheetData sheetId="11456">
        <row r="4">
          <cell r="A4" t="str">
            <v>BẢNG TÍNH TOÁN, ĐO BÓC KHỐI LƯỢNG HOÀN THÀNH ĐƯA VÀO QUYẾT TOÁN</v>
          </cell>
        </row>
      </sheetData>
      <sheetData sheetId="11457">
        <row r="4">
          <cell r="A4" t="str">
            <v>BẢNG TÍNH TOÁN, ĐO BÓC KHỐI LƯỢNG HOÀN THÀNH ĐƯA VÀO QUYẾT TOÁN</v>
          </cell>
        </row>
      </sheetData>
      <sheetData sheetId="11458">
        <row r="4">
          <cell r="A4" t="str">
            <v>BẢNG TÍNH TOÁN, ĐO BÓC KHỐI LƯỢNG HOÀN THÀNH ĐƯA VÀO QUYẾT TOÁN</v>
          </cell>
        </row>
      </sheetData>
      <sheetData sheetId="11459">
        <row r="4">
          <cell r="A4" t="str">
            <v>BẢNG TÍNH TOÁN, ĐO BÓC KHỐI LƯỢNG HOÀN THÀNH ĐƯA VÀO QUYẾT TOÁN</v>
          </cell>
        </row>
      </sheetData>
      <sheetData sheetId="11460">
        <row r="4">
          <cell r="A4" t="str">
            <v>BẢNG TÍNH TOÁN, ĐO BÓC KHỐI LƯỢNG HOÀN THÀNH ĐƯA VÀO QUYẾT TOÁN</v>
          </cell>
        </row>
      </sheetData>
      <sheetData sheetId="11461">
        <row r="4">
          <cell r="A4" t="str">
            <v>BẢNG TÍNH TOÁN, ĐO BÓC KHỐI LƯỢNG HOÀN THÀNH ĐƯA VÀO QUYẾT TOÁN</v>
          </cell>
        </row>
      </sheetData>
      <sheetData sheetId="11462">
        <row r="4">
          <cell r="A4" t="str">
            <v>BẢNG TÍNH TOÁN, ĐO BÓC KHỐI LƯỢNG HOÀN THÀNH ĐƯA VÀO QUYẾT TOÁN</v>
          </cell>
        </row>
      </sheetData>
      <sheetData sheetId="11463">
        <row r="4">
          <cell r="A4" t="str">
            <v>BẢNG TÍNH TOÁN, ĐO BÓC KHỐI LƯỢNG HOÀN THÀNH ĐƯA VÀO QUYẾT TOÁN</v>
          </cell>
        </row>
      </sheetData>
      <sheetData sheetId="11464">
        <row r="4">
          <cell r="A4" t="str">
            <v>BẢNG TÍNH TOÁN, ĐO BÓC KHỐI LƯỢNG HOÀN THÀNH ĐƯA VÀO QUYẾT TOÁN</v>
          </cell>
        </row>
      </sheetData>
      <sheetData sheetId="11465">
        <row r="4">
          <cell r="A4" t="str">
            <v>BẢNG TÍNH TOÁN, ĐO BÓC KHỐI LƯỢNG HOÀN THÀNH ĐƯA VÀO QUYẾT TOÁN</v>
          </cell>
        </row>
      </sheetData>
      <sheetData sheetId="11466">
        <row r="4">
          <cell r="A4" t="str">
            <v>BẢNG TÍNH TOÁN, ĐO BÓC KHỐI LƯỢNG HOÀN THÀNH ĐƯA VÀO QUYẾT TOÁN</v>
          </cell>
        </row>
      </sheetData>
      <sheetData sheetId="11467">
        <row r="4">
          <cell r="A4" t="str">
            <v>BẢNG TÍNH TOÁN, ĐO BÓC KHỐI LƯỢNG HOÀN THÀNH ĐƯA VÀO QUYẾT TOÁN</v>
          </cell>
        </row>
      </sheetData>
      <sheetData sheetId="11468">
        <row r="4">
          <cell r="A4" t="str">
            <v>BẢNG TÍNH TOÁN, ĐO BÓC KHỐI LƯỢNG HOÀN THÀNH ĐƯA VÀO QUYẾT TOÁN</v>
          </cell>
        </row>
      </sheetData>
      <sheetData sheetId="11469">
        <row r="4">
          <cell r="A4" t="str">
            <v>BẢNG TÍNH TOÁN, ĐO BÓC KHỐI LƯỢNG HOÀN THÀNH ĐƯA VÀO QUYẾT TOÁN</v>
          </cell>
        </row>
      </sheetData>
      <sheetData sheetId="11470">
        <row r="4">
          <cell r="A4" t="str">
            <v>BẢNG TÍNH TOÁN, ĐO BÓC KHỐI LƯỢNG HOÀN THÀNH ĐƯA VÀO QUYẾT TOÁN</v>
          </cell>
        </row>
      </sheetData>
      <sheetData sheetId="11471">
        <row r="4">
          <cell r="A4" t="str">
            <v>BẢNG TÍNH TOÁN, ĐO BÓC KHỐI LƯỢNG HOÀN THÀNH ĐƯA VÀO QUYẾT TOÁN</v>
          </cell>
        </row>
      </sheetData>
      <sheetData sheetId="11472">
        <row r="4">
          <cell r="A4" t="str">
            <v>BẢNG TÍNH TOÁN, ĐO BÓC KHỐI LƯỢNG HOÀN THÀNH ĐƯA VÀO QUYẾT TOÁN</v>
          </cell>
        </row>
      </sheetData>
      <sheetData sheetId="11473">
        <row r="4">
          <cell r="A4" t="str">
            <v>BẢNG TÍNH TOÁN, ĐO BÓC KHỐI LƯỢNG HOÀN THÀNH ĐƯA VÀO QUYẾT TOÁN</v>
          </cell>
        </row>
      </sheetData>
      <sheetData sheetId="11474">
        <row r="4">
          <cell r="A4" t="str">
            <v>BẢNG TÍNH TOÁN, ĐO BÓC KHỐI LƯỢNG HOÀN THÀNH ĐƯA VÀO QUYẾT TOÁN</v>
          </cell>
        </row>
      </sheetData>
      <sheetData sheetId="11475">
        <row r="4">
          <cell r="A4" t="str">
            <v>BẢNG TÍNH TOÁN, ĐO BÓC KHỐI LƯỢNG HOÀN THÀNH ĐƯA VÀO QUYẾT TOÁN</v>
          </cell>
        </row>
      </sheetData>
      <sheetData sheetId="11476">
        <row r="4">
          <cell r="A4" t="str">
            <v>BẢNG TÍNH TOÁN, ĐO BÓC KHỐI LƯỢNG HOÀN THÀNH ĐƯA VÀO QUYẾT TOÁN</v>
          </cell>
        </row>
      </sheetData>
      <sheetData sheetId="11477">
        <row r="4">
          <cell r="A4" t="str">
            <v>BẢNG TÍNH TOÁN, ĐO BÓC KHỐI LƯỢNG HOÀN THÀNH ĐƯA VÀO QUYẾT TOÁN</v>
          </cell>
        </row>
      </sheetData>
      <sheetData sheetId="11478">
        <row r="4">
          <cell r="A4" t="str">
            <v>BẢNG TÍNH TOÁN, ĐO BÓC KHỐI LƯỢNG HOÀN THÀNH ĐƯA VÀO QUYẾT TOÁN</v>
          </cell>
        </row>
      </sheetData>
      <sheetData sheetId="11479">
        <row r="4">
          <cell r="A4" t="str">
            <v>BẢNG TÍNH TOÁN, ĐO BÓC KHỐI LƯỢNG HOÀN THÀNH ĐƯA VÀO QUYẾT TOÁN</v>
          </cell>
        </row>
      </sheetData>
      <sheetData sheetId="11480">
        <row r="4">
          <cell r="A4" t="str">
            <v>BẢNG TÍNH TOÁN, ĐO BÓC KHỐI LƯỢNG HOÀN THÀNH ĐƯA VÀO QUYẾT TOÁN</v>
          </cell>
        </row>
      </sheetData>
      <sheetData sheetId="11481">
        <row r="4">
          <cell r="A4" t="str">
            <v>BẢNG TÍNH TOÁN, ĐO BÓC KHỐI LƯỢNG HOÀN THÀNH ĐƯA VÀO QUYẾT TOÁN</v>
          </cell>
        </row>
      </sheetData>
      <sheetData sheetId="11482">
        <row r="4">
          <cell r="A4" t="str">
            <v>BẢNG TÍNH TOÁN, ĐO BÓC KHỐI LƯỢNG HOÀN THÀNH ĐƯA VÀO QUYẾT TOÁN</v>
          </cell>
        </row>
      </sheetData>
      <sheetData sheetId="11483">
        <row r="4">
          <cell r="A4" t="str">
            <v>BẢNG TÍNH TOÁN, ĐO BÓC KHỐI LƯỢNG HOÀN THÀNH ĐƯA VÀO QUYẾT TOÁN</v>
          </cell>
        </row>
      </sheetData>
      <sheetData sheetId="11484">
        <row r="4">
          <cell r="A4" t="str">
            <v>BẢNG TÍNH TOÁN, ĐO BÓC KHỐI LƯỢNG HOÀN THÀNH ĐƯA VÀO QUYẾT TOÁN</v>
          </cell>
        </row>
      </sheetData>
      <sheetData sheetId="11485">
        <row r="4">
          <cell r="A4" t="str">
            <v>BẢNG TÍNH TOÁN, ĐO BÓC KHỐI LƯỢNG HOÀN THÀNH ĐƯA VÀO QUYẾT TOÁN</v>
          </cell>
        </row>
      </sheetData>
      <sheetData sheetId="11486">
        <row r="4">
          <cell r="A4" t="str">
            <v>BẢNG TÍNH TOÁN, ĐO BÓC KHỐI LƯỢNG HOÀN THÀNH ĐƯA VÀO QUYẾT TOÁN</v>
          </cell>
        </row>
      </sheetData>
      <sheetData sheetId="11487">
        <row r="4">
          <cell r="A4" t="str">
            <v>BẢNG TÍNH TOÁN, ĐO BÓC KHỐI LƯỢNG HOÀN THÀNH ĐƯA VÀO QUYẾT TOÁN</v>
          </cell>
        </row>
      </sheetData>
      <sheetData sheetId="11488">
        <row r="4">
          <cell r="A4" t="str">
            <v>BẢNG TÍNH TOÁN, ĐO BÓC KHỐI LƯỢNG HOÀN THÀNH ĐƯA VÀO QUYẾT TOÁN</v>
          </cell>
        </row>
      </sheetData>
      <sheetData sheetId="11489">
        <row r="4">
          <cell r="A4" t="str">
            <v>BẢNG TÍNH TOÁN, ĐO BÓC KHỐI LƯỢNG HOÀN THÀNH ĐƯA VÀO QUYẾT TOÁN</v>
          </cell>
        </row>
      </sheetData>
      <sheetData sheetId="11490">
        <row r="4">
          <cell r="A4" t="str">
            <v>BẢNG TÍNH TOÁN, ĐO BÓC KHỐI LƯỢNG HOÀN THÀNH ĐƯA VÀO QUYẾT TOÁN</v>
          </cell>
        </row>
      </sheetData>
      <sheetData sheetId="11491">
        <row r="4">
          <cell r="A4" t="str">
            <v>BẢNG TÍNH TOÁN, ĐO BÓC KHỐI LƯỢNG HOÀN THÀNH ĐƯA VÀO QUYẾT TOÁN</v>
          </cell>
        </row>
      </sheetData>
      <sheetData sheetId="11492">
        <row r="4">
          <cell r="A4" t="str">
            <v>BẢNG TÍNH TOÁN, ĐO BÓC KHỐI LƯỢNG HOÀN THÀNH ĐƯA VÀO QUYẾT TOÁN</v>
          </cell>
        </row>
      </sheetData>
      <sheetData sheetId="11493">
        <row r="4">
          <cell r="A4" t="str">
            <v>BẢNG TÍNH TOÁN, ĐO BÓC KHỐI LƯỢNG HOÀN THÀNH ĐƯA VÀO QUYẾT TOÁN</v>
          </cell>
        </row>
      </sheetData>
      <sheetData sheetId="11494">
        <row r="4">
          <cell r="A4" t="str">
            <v>BẢNG TÍNH TOÁN, ĐO BÓC KHỐI LƯỢNG HOÀN THÀNH ĐƯA VÀO QUYẾT TOÁN</v>
          </cell>
        </row>
      </sheetData>
      <sheetData sheetId="11495">
        <row r="4">
          <cell r="A4" t="str">
            <v>BẢNG TÍNH TOÁN, ĐO BÓC KHỐI LƯỢNG HOÀN THÀNH ĐƯA VÀO QUYẾT TOÁN</v>
          </cell>
        </row>
      </sheetData>
      <sheetData sheetId="11496">
        <row r="9">
          <cell r="A9" t="str">
            <v>A</v>
          </cell>
        </row>
      </sheetData>
      <sheetData sheetId="11497">
        <row r="4">
          <cell r="A4" t="str">
            <v>BẢNG TÍNH TOÁN, ĐO BÓC KHỐI LƯỢNG HOÀN THÀNH ĐƯA VÀO QUYẾT TOÁN</v>
          </cell>
        </row>
      </sheetData>
      <sheetData sheetId="11498">
        <row r="9">
          <cell r="A9" t="str">
            <v>A</v>
          </cell>
        </row>
      </sheetData>
      <sheetData sheetId="11499" refreshError="1"/>
      <sheetData sheetId="11500" refreshError="1"/>
      <sheetData sheetId="11501" refreshError="1"/>
      <sheetData sheetId="11502" refreshError="1"/>
      <sheetData sheetId="11503">
        <row r="9">
          <cell r="A9" t="str">
            <v>A</v>
          </cell>
        </row>
      </sheetData>
      <sheetData sheetId="11504">
        <row r="9">
          <cell r="A9" t="str">
            <v>A</v>
          </cell>
        </row>
      </sheetData>
      <sheetData sheetId="11505">
        <row r="9">
          <cell r="A9" t="str">
            <v>A</v>
          </cell>
        </row>
      </sheetData>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sheetData sheetId="11637"/>
      <sheetData sheetId="11638"/>
      <sheetData sheetId="11639" refreshError="1"/>
      <sheetData sheetId="11640" refreshError="1"/>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sheetData sheetId="12911">
        <row r="9">
          <cell r="A9" t="str">
            <v>A</v>
          </cell>
        </row>
      </sheetData>
      <sheetData sheetId="12912">
        <row r="9">
          <cell r="A9" t="str">
            <v>A</v>
          </cell>
        </row>
      </sheetData>
      <sheetData sheetId="12913">
        <row r="9">
          <cell r="A9" t="str">
            <v>A</v>
          </cell>
        </row>
      </sheetData>
      <sheetData sheetId="12914"/>
      <sheetData sheetId="12915" refreshError="1"/>
      <sheetData sheetId="12916" refreshError="1"/>
      <sheetData sheetId="12917" refreshError="1"/>
      <sheetData sheetId="12918">
        <row r="9">
          <cell r="A9" t="str">
            <v>A</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ow r="4">
          <cell r="A4" t="str">
            <v>BẢNG TÍNH TOÁN, ĐO BÓC KHỐI LƯỢNG HOÀN THÀNH ĐƯA VÀO QUYẾT TOÁN</v>
          </cell>
        </row>
      </sheetData>
      <sheetData sheetId="12956">
        <row r="4">
          <cell r="A4" t="str">
            <v>BẢNG TÍNH TOÁN, ĐO BÓC KHỐI LƯỢNG HOÀN THÀNH ĐƯA VÀO QUYẾT TOÁN</v>
          </cell>
        </row>
      </sheetData>
      <sheetData sheetId="12957">
        <row r="4">
          <cell r="A4" t="str">
            <v>BẢNG TÍNH TOÁN, ĐO BÓC KHỐI LƯỢNG HOÀN THÀNH ĐƯA VÀO QUYẾT TOÁN</v>
          </cell>
        </row>
      </sheetData>
      <sheetData sheetId="12958">
        <row r="4">
          <cell r="A4" t="str">
            <v>BẢNG TÍNH TOÁN, ĐO BÓC KHỐI LƯỢNG HOÀN THÀNH ĐƯA VÀO QUYẾT TOÁN</v>
          </cell>
        </row>
      </sheetData>
      <sheetData sheetId="12959">
        <row r="4">
          <cell r="A4" t="str">
            <v>BẢNG TÍNH TOÁN, ĐO BÓC KHỐI LƯỢNG HOÀN THÀNH ĐƯA VÀO QUYẾT TOÁN</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sheetData sheetId="12965">
        <row r="9">
          <cell r="A9" t="str">
            <v>A</v>
          </cell>
        </row>
      </sheetData>
      <sheetData sheetId="12966">
        <row r="9">
          <cell r="A9" t="str">
            <v>A</v>
          </cell>
        </row>
      </sheetData>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sheetData sheetId="13001"/>
      <sheetData sheetId="13002"/>
      <sheetData sheetId="13003"/>
      <sheetData sheetId="13004"/>
      <sheetData sheetId="13005"/>
      <sheetData sheetId="13006" refreshError="1"/>
      <sheetData sheetId="13007" refreshError="1"/>
      <sheetData sheetId="13008" refreshError="1"/>
      <sheetData sheetId="13009" refreshError="1"/>
      <sheetData sheetId="13010" refreshError="1"/>
      <sheetData sheetId="13011" refreshError="1"/>
      <sheetData sheetId="13012"/>
      <sheetData sheetId="13013"/>
      <sheetData sheetId="13014" refreshError="1"/>
      <sheetData sheetId="13015" refreshError="1"/>
      <sheetData sheetId="13016" refreshError="1"/>
      <sheetData sheetId="13017">
        <row r="9">
          <cell r="A9" t="str">
            <v>A</v>
          </cell>
        </row>
      </sheetData>
      <sheetData sheetId="13018" refreshError="1"/>
      <sheetData sheetId="13019" refreshError="1"/>
      <sheetData sheetId="13020" refreshError="1"/>
      <sheetData sheetId="13021" refreshError="1"/>
      <sheetData sheetId="13022">
        <row r="9">
          <cell r="A9" t="str">
            <v>A</v>
          </cell>
        </row>
      </sheetData>
      <sheetData sheetId="13023" refreshError="1"/>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sheetData sheetId="13049"/>
      <sheetData sheetId="13050"/>
      <sheetData sheetId="13051">
        <row r="9">
          <cell r="A9" t="str">
            <v>A</v>
          </cell>
        </row>
      </sheetData>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row r="9">
          <cell r="A9" t="str">
            <v>A</v>
          </cell>
        </row>
      </sheetData>
      <sheetData sheetId="13068"/>
      <sheetData sheetId="13069"/>
      <sheetData sheetId="13070"/>
      <sheetData sheetId="13071"/>
      <sheetData sheetId="13072">
        <row r="9">
          <cell r="A9" t="str">
            <v>A</v>
          </cell>
        </row>
      </sheetData>
      <sheetData sheetId="13073"/>
      <sheetData sheetId="13074">
        <row r="9">
          <cell r="A9" t="str">
            <v>A</v>
          </cell>
        </row>
      </sheetData>
      <sheetData sheetId="13075"/>
      <sheetData sheetId="13076"/>
      <sheetData sheetId="13077"/>
      <sheetData sheetId="13078"/>
      <sheetData sheetId="13079">
        <row r="9">
          <cell r="A9" t="str">
            <v>A</v>
          </cell>
        </row>
      </sheetData>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ow r="4">
          <cell r="A4" t="str">
            <v>BẢNG TÍNH TOÁN, ĐO BÓC KHỐI LƯỢNG HOÀN THÀNH ĐƯA VÀO QUYẾT TOÁN</v>
          </cell>
        </row>
      </sheetData>
      <sheetData sheetId="13108">
        <row r="4">
          <cell r="A4" t="str">
            <v>BẢNG TÍNH TOÁN, ĐO BÓC KHỐI LƯỢNG HOÀN THÀNH ĐƯA VÀO QUYẾT TOÁN</v>
          </cell>
        </row>
      </sheetData>
      <sheetData sheetId="13109">
        <row r="4">
          <cell r="A4" t="str">
            <v>BẢNG TÍNH TOÁN, ĐO BÓC KHỐI LƯỢNG HOÀN THÀNH ĐƯA VÀO QUYẾT TOÁN</v>
          </cell>
        </row>
      </sheetData>
      <sheetData sheetId="13110">
        <row r="4">
          <cell r="A4" t="str">
            <v>BẢNG TÍNH TOÁN, ĐO BÓC KHỐI LƯỢNG HOÀN THÀNH ĐƯA VÀO QUYẾT TOÁN</v>
          </cell>
        </row>
      </sheetData>
      <sheetData sheetId="13111">
        <row r="4">
          <cell r="A4" t="str">
            <v>BẢNG TÍNH TOÁN, ĐO BÓC KHỐI LƯỢNG HOÀN THÀNH ĐƯA VÀO QUYẾT TOÁN</v>
          </cell>
        </row>
      </sheetData>
      <sheetData sheetId="13112">
        <row r="4">
          <cell r="A4" t="str">
            <v>BẢNG TÍNH TOÁN, ĐO BÓC KHỐI LƯỢNG HOÀN THÀNH ĐƯA VÀO QUYẾT TOÁN</v>
          </cell>
        </row>
      </sheetData>
      <sheetData sheetId="13113">
        <row r="4">
          <cell r="A4" t="str">
            <v>BẢNG TÍNH TOÁN, ĐO BÓC KHỐI LƯỢNG HOÀN THÀNH ĐƯA VÀO QUYẾT TOÁN</v>
          </cell>
        </row>
      </sheetData>
      <sheetData sheetId="13114">
        <row r="4">
          <cell r="A4" t="str">
            <v>BẢNG TÍNH TOÁN, ĐO BÓC KHỐI LƯỢNG HOÀN THÀNH ĐƯA VÀO QUYẾT TOÁN</v>
          </cell>
        </row>
      </sheetData>
      <sheetData sheetId="13115">
        <row r="4">
          <cell r="A4" t="str">
            <v>BẢNG TÍNH TOÁN, ĐO BÓC KHỐI LƯỢNG HOÀN THÀNH ĐƯA VÀO QUYẾT TOÁN</v>
          </cell>
        </row>
      </sheetData>
      <sheetData sheetId="13116">
        <row r="4">
          <cell r="A4" t="str">
            <v>BẢNG TÍNH TOÁN, ĐO BÓC KHỐI LƯỢNG HOÀN THÀNH ĐƯA VÀO QUYẾT TOÁN</v>
          </cell>
        </row>
      </sheetData>
      <sheetData sheetId="13117">
        <row r="4">
          <cell r="A4" t="str">
            <v>BẢNG TÍNH TOÁN, ĐO BÓC KHỐI LƯỢNG HOÀN THÀNH ĐƯA VÀO QUYẾT TOÁN</v>
          </cell>
        </row>
      </sheetData>
      <sheetData sheetId="13118">
        <row r="4">
          <cell r="A4" t="str">
            <v>BẢNG TÍNH TOÁN, ĐO BÓC KHỐI LƯỢNG HOÀN THÀNH ĐƯA VÀO QUYẾT TOÁN</v>
          </cell>
        </row>
      </sheetData>
      <sheetData sheetId="13119">
        <row r="4">
          <cell r="A4" t="str">
            <v>BẢNG TÍNH TOÁN, ĐO BÓC KHỐI LƯỢNG HOÀN THÀNH ĐƯA VÀO QUYẾT TOÁN</v>
          </cell>
        </row>
      </sheetData>
      <sheetData sheetId="13120">
        <row r="4">
          <cell r="A4" t="str">
            <v>BẢNG TÍNH TOÁN, ĐO BÓC KHỐI LƯỢNG HOÀN THÀNH ĐƯA VÀO QUYẾT TOÁN</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row r="9">
          <cell r="A9" t="str">
            <v>A</v>
          </cell>
        </row>
      </sheetData>
      <sheetData sheetId="13175"/>
      <sheetData sheetId="13176"/>
      <sheetData sheetId="13177">
        <row r="9">
          <cell r="A9" t="str">
            <v>A</v>
          </cell>
        </row>
      </sheetData>
      <sheetData sheetId="13178"/>
      <sheetData sheetId="13179">
        <row r="9">
          <cell r="A9" t="str">
            <v>A</v>
          </cell>
        </row>
      </sheetData>
      <sheetData sheetId="13180"/>
      <sheetData sheetId="13181"/>
      <sheetData sheetId="13182">
        <row r="9">
          <cell r="A9" t="str">
            <v>A</v>
          </cell>
        </row>
      </sheetData>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row r="9">
          <cell r="A9" t="str">
            <v>A</v>
          </cell>
        </row>
      </sheetData>
      <sheetData sheetId="14220"/>
      <sheetData sheetId="14221"/>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sheetData sheetId="14239"/>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sheetData sheetId="14257">
        <row r="9">
          <cell r="A9" t="str">
            <v>A</v>
          </cell>
        </row>
      </sheetData>
      <sheetData sheetId="14258">
        <row r="9">
          <cell r="A9" t="str">
            <v>A</v>
          </cell>
        </row>
      </sheetData>
      <sheetData sheetId="14259"/>
      <sheetData sheetId="14260"/>
      <sheetData sheetId="14261">
        <row r="9">
          <cell r="A9" t="str">
            <v>A</v>
          </cell>
        </row>
      </sheetData>
      <sheetData sheetId="14262">
        <row r="9">
          <cell r="A9" t="str">
            <v>A</v>
          </cell>
        </row>
      </sheetData>
      <sheetData sheetId="14263">
        <row r="9">
          <cell r="A9" t="str">
            <v>A</v>
          </cell>
        </row>
      </sheetData>
      <sheetData sheetId="14264"/>
      <sheetData sheetId="14265"/>
      <sheetData sheetId="14266">
        <row r="9">
          <cell r="A9" t="str">
            <v>A</v>
          </cell>
        </row>
      </sheetData>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row r="9">
          <cell r="A9" t="str">
            <v>A</v>
          </cell>
        </row>
      </sheetData>
      <sheetData sheetId="14339"/>
      <sheetData sheetId="14340"/>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sheetData sheetId="14358"/>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sheetData sheetId="14376"/>
      <sheetData sheetId="14377"/>
      <sheetData sheetId="14378"/>
      <sheetData sheetId="14379"/>
      <sheetData sheetId="14380">
        <row r="9">
          <cell r="A9" t="str">
            <v>A</v>
          </cell>
        </row>
      </sheetData>
      <sheetData sheetId="14381"/>
      <sheetData sheetId="14382"/>
      <sheetData sheetId="14383"/>
      <sheetData sheetId="14384"/>
      <sheetData sheetId="14385">
        <row r="9">
          <cell r="A9" t="str">
            <v>A</v>
          </cell>
        </row>
      </sheetData>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ow r="9">
          <cell r="A9" t="str">
            <v>A</v>
          </cell>
        </row>
      </sheetData>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ow r="9">
          <cell r="A9" t="str">
            <v>A</v>
          </cell>
        </row>
      </sheetData>
      <sheetData sheetId="15487">
        <row r="9">
          <cell r="A9" t="str">
            <v>A</v>
          </cell>
        </row>
      </sheetData>
      <sheetData sheetId="15488"/>
      <sheetData sheetId="15489" refreshError="1"/>
      <sheetData sheetId="1549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53AD-BC96-49A0-AE92-B751E629A493}">
  <sheetPr filterMode="1">
    <pageSetUpPr fitToPage="1"/>
  </sheetPr>
  <dimension ref="A1:BS276"/>
  <sheetViews>
    <sheetView showGridLines="0" tabSelected="1" zoomScaleNormal="100" zoomScaleSheetLayoutView="70" workbookViewId="0">
      <pane ySplit="12" topLeftCell="A13" activePane="bottomLeft" state="frozen"/>
      <selection pane="bottomLeft" activeCell="C20" sqref="C20"/>
    </sheetView>
  </sheetViews>
  <sheetFormatPr baseColWidth="10" defaultColWidth="9.1640625" defaultRowHeight="13" x14ac:dyDescent="0.15"/>
  <cols>
    <col min="1" max="1" width="17.5" style="4" customWidth="1"/>
    <col min="2" max="2" width="56.83203125" style="4" customWidth="1"/>
    <col min="3" max="3" width="55.1640625" style="4" bestFit="1" customWidth="1"/>
    <col min="4" max="4" width="33" style="4" customWidth="1"/>
    <col min="5" max="5" width="8.1640625" style="84" customWidth="1"/>
    <col min="6" max="6" width="16.33203125" style="84" customWidth="1"/>
    <col min="7" max="7" width="13.5" style="84" customWidth="1"/>
    <col min="8" max="8" width="18.1640625" style="84" customWidth="1"/>
    <col min="9" max="9" width="13.83203125" style="84" customWidth="1"/>
    <col min="10" max="10" width="17.33203125" style="4" customWidth="1"/>
    <col min="11" max="11" width="13.5" style="4" hidden="1" customWidth="1"/>
    <col min="12" max="26" width="16.6640625" style="4" hidden="1" customWidth="1"/>
    <col min="27" max="27" width="16.5" style="4" customWidth="1"/>
    <col min="28" max="28" width="16.6640625" style="4" customWidth="1"/>
    <col min="29" max="29" width="16.33203125" style="4" customWidth="1"/>
    <col min="30" max="30" width="16.83203125" style="4" customWidth="1"/>
    <col min="31" max="31" width="43.1640625" style="26" customWidth="1"/>
    <col min="32" max="51" width="26.5" style="26" customWidth="1"/>
    <col min="52" max="52" width="26" style="50" customWidth="1"/>
    <col min="53" max="67" width="26" style="42" customWidth="1"/>
    <col min="68" max="68" width="13.83203125" style="4" bestFit="1" customWidth="1"/>
    <col min="69" max="69" width="13.83203125" style="141" bestFit="1" customWidth="1"/>
    <col min="70" max="71" width="13.6640625" style="4" bestFit="1" customWidth="1"/>
    <col min="72" max="16384" width="9.1640625" style="4"/>
  </cols>
  <sheetData>
    <row r="1" spans="1:71" ht="30" customHeight="1" x14ac:dyDescent="0.15">
      <c r="A1" s="1"/>
      <c r="B1" s="2"/>
      <c r="C1" s="2"/>
      <c r="D1" s="267" t="s">
        <v>52</v>
      </c>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9"/>
      <c r="AF1" s="126"/>
      <c r="AG1" s="126"/>
      <c r="AH1" s="126"/>
      <c r="AI1" s="126"/>
      <c r="AJ1" s="126"/>
      <c r="AK1" s="126"/>
      <c r="AL1" s="126"/>
      <c r="AM1" s="126"/>
      <c r="AN1" s="126"/>
      <c r="AO1" s="126"/>
      <c r="AP1" s="126"/>
      <c r="AQ1" s="126"/>
      <c r="AR1" s="126"/>
      <c r="AS1" s="126"/>
      <c r="AT1" s="126"/>
      <c r="AU1" s="126"/>
      <c r="AV1" s="126"/>
      <c r="AW1" s="126"/>
      <c r="AX1" s="126"/>
      <c r="AY1" s="126"/>
    </row>
    <row r="2" spans="1:71" ht="30" customHeight="1" x14ac:dyDescent="0.15">
      <c r="A2" s="3"/>
      <c r="D2" s="270"/>
      <c r="E2" s="271"/>
      <c r="F2" s="271"/>
      <c r="G2" s="271"/>
      <c r="H2" s="271"/>
      <c r="I2" s="271"/>
      <c r="J2" s="271"/>
      <c r="K2" s="271"/>
      <c r="L2" s="271"/>
      <c r="M2" s="271"/>
      <c r="N2" s="271"/>
      <c r="O2" s="271"/>
      <c r="P2" s="271"/>
      <c r="Q2" s="271"/>
      <c r="R2" s="271"/>
      <c r="S2" s="271"/>
      <c r="T2" s="271"/>
      <c r="U2" s="271"/>
      <c r="V2" s="271"/>
      <c r="W2" s="271"/>
      <c r="X2" s="271"/>
      <c r="Y2" s="271"/>
      <c r="Z2" s="271"/>
      <c r="AA2" s="271"/>
      <c r="AB2" s="271"/>
      <c r="AC2" s="271"/>
      <c r="AD2" s="271"/>
      <c r="AE2" s="272"/>
      <c r="AF2" s="126"/>
      <c r="AG2" s="126"/>
      <c r="AH2" s="126"/>
      <c r="AI2" s="126"/>
      <c r="AJ2" s="126"/>
      <c r="AK2" s="126"/>
      <c r="AL2" s="126"/>
      <c r="AM2" s="126"/>
      <c r="AN2" s="126"/>
      <c r="AO2" s="126"/>
      <c r="AP2" s="126"/>
      <c r="AQ2" s="126"/>
      <c r="AR2" s="126"/>
      <c r="AS2" s="126"/>
      <c r="AT2" s="126"/>
      <c r="AU2" s="126"/>
      <c r="AV2" s="126"/>
      <c r="AW2" s="126"/>
      <c r="AX2" s="126"/>
      <c r="AY2" s="126"/>
    </row>
    <row r="3" spans="1:71" ht="30" customHeight="1" thickBot="1" x14ac:dyDescent="0.2">
      <c r="A3" s="3"/>
      <c r="D3" s="273" t="s">
        <v>17</v>
      </c>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5"/>
      <c r="AF3" s="127"/>
      <c r="AG3" s="257"/>
      <c r="AH3" s="127"/>
      <c r="AI3" s="127"/>
      <c r="AJ3" s="127"/>
      <c r="AK3" s="127"/>
      <c r="AL3" s="127"/>
      <c r="AM3" s="127"/>
      <c r="AN3" s="127"/>
      <c r="AO3" s="127"/>
      <c r="AP3" s="127"/>
      <c r="AQ3" s="127"/>
      <c r="AR3" s="127"/>
      <c r="AS3" s="127"/>
      <c r="AT3" s="127"/>
      <c r="AU3" s="127"/>
      <c r="AV3" s="127"/>
      <c r="AW3" s="127"/>
      <c r="AX3" s="127"/>
      <c r="AY3" s="127"/>
    </row>
    <row r="4" spans="1:71" ht="9" hidden="1" customHeight="1" thickBot="1" x14ac:dyDescent="0.2">
      <c r="A4" s="5"/>
      <c r="B4" s="6"/>
      <c r="C4" s="6"/>
      <c r="D4" s="13"/>
      <c r="E4" s="58"/>
      <c r="F4" s="58"/>
      <c r="G4" s="58"/>
      <c r="H4" s="58"/>
      <c r="I4" s="58"/>
      <c r="J4" s="14"/>
      <c r="K4" s="14"/>
      <c r="L4" s="14"/>
      <c r="M4" s="14"/>
      <c r="N4" s="14"/>
      <c r="O4" s="14"/>
      <c r="P4" s="14"/>
      <c r="Q4" s="14"/>
      <c r="R4" s="14"/>
      <c r="S4" s="14"/>
      <c r="T4" s="14"/>
      <c r="U4" s="14"/>
      <c r="V4" s="14"/>
      <c r="W4" s="14"/>
      <c r="X4" s="14"/>
      <c r="Y4" s="14"/>
      <c r="Z4" s="14"/>
      <c r="AA4" s="14"/>
      <c r="AB4" s="14"/>
      <c r="AC4" s="14"/>
      <c r="AD4" s="14"/>
      <c r="AE4" s="15"/>
      <c r="AF4" s="133"/>
      <c r="AG4" s="133"/>
      <c r="AH4" s="133"/>
      <c r="AI4" s="133"/>
      <c r="AJ4" s="133"/>
      <c r="AK4" s="133"/>
      <c r="AL4" s="133"/>
      <c r="AM4" s="133"/>
      <c r="AN4" s="133"/>
      <c r="AO4" s="133"/>
      <c r="AP4" s="133"/>
      <c r="AQ4" s="133"/>
      <c r="AR4" s="133"/>
      <c r="AS4" s="133"/>
      <c r="AT4" s="133"/>
      <c r="AU4" s="133"/>
      <c r="AV4" s="133"/>
      <c r="AW4" s="133"/>
      <c r="AX4" s="133"/>
      <c r="AY4" s="133"/>
    </row>
    <row r="5" spans="1:71" s="16" customFormat="1" ht="19.5" customHeight="1" x14ac:dyDescent="0.15">
      <c r="A5" s="276" t="s">
        <v>15</v>
      </c>
      <c r="B5" s="277"/>
      <c r="C5" s="278"/>
      <c r="D5" s="11" t="s">
        <v>56</v>
      </c>
      <c r="E5" s="59"/>
      <c r="F5" s="59"/>
      <c r="G5" s="59"/>
      <c r="H5" s="59"/>
      <c r="I5" s="60"/>
      <c r="J5" s="279" t="s">
        <v>801</v>
      </c>
      <c r="K5" s="277"/>
      <c r="L5" s="277"/>
      <c r="M5" s="277"/>
      <c r="N5" s="277"/>
      <c r="O5" s="277"/>
      <c r="P5" s="277"/>
      <c r="Q5" s="277"/>
      <c r="R5" s="277"/>
      <c r="S5" s="277"/>
      <c r="T5" s="277"/>
      <c r="U5" s="277"/>
      <c r="V5" s="277"/>
      <c r="W5" s="277"/>
      <c r="X5" s="277"/>
      <c r="Y5" s="277"/>
      <c r="Z5" s="277"/>
      <c r="AA5" s="277"/>
      <c r="AB5" s="277"/>
      <c r="AC5" s="277"/>
      <c r="AD5" s="277"/>
      <c r="AE5" s="280"/>
      <c r="AF5" s="93"/>
      <c r="AG5" s="93"/>
      <c r="AH5" s="93"/>
      <c r="AI5" s="93"/>
      <c r="AJ5" s="93"/>
      <c r="AK5" s="93"/>
      <c r="AL5" s="93"/>
      <c r="AM5" s="93"/>
      <c r="AN5" s="93"/>
      <c r="AO5" s="93"/>
      <c r="AP5" s="93"/>
      <c r="AQ5" s="93"/>
      <c r="AR5" s="93"/>
      <c r="AS5" s="93"/>
      <c r="AT5" s="93"/>
      <c r="AU5" s="93"/>
      <c r="AV5" s="93"/>
      <c r="AW5" s="93"/>
      <c r="AX5" s="93"/>
      <c r="AY5" s="93"/>
      <c r="AZ5" s="140"/>
      <c r="BA5" s="86"/>
      <c r="BB5" s="86"/>
      <c r="BC5" s="86"/>
      <c r="BD5" s="86"/>
      <c r="BE5" s="86"/>
      <c r="BF5" s="86"/>
      <c r="BG5" s="86"/>
      <c r="BH5" s="86"/>
      <c r="BI5" s="86"/>
      <c r="BJ5" s="86"/>
      <c r="BK5" s="86"/>
      <c r="BL5" s="86"/>
      <c r="BM5" s="86"/>
      <c r="BN5" s="86"/>
      <c r="BO5" s="86"/>
      <c r="BQ5" s="142"/>
    </row>
    <row r="6" spans="1:71" s="16" customFormat="1" ht="19.5" customHeight="1" x14ac:dyDescent="0.15">
      <c r="A6" s="281" t="s">
        <v>16</v>
      </c>
      <c r="B6" s="282"/>
      <c r="C6" s="283"/>
      <c r="D6" s="12" t="s">
        <v>57</v>
      </c>
      <c r="E6" s="61"/>
      <c r="F6" s="61"/>
      <c r="G6" s="61"/>
      <c r="H6" s="61"/>
      <c r="I6" s="62"/>
      <c r="J6" s="284" t="s">
        <v>714</v>
      </c>
      <c r="K6" s="282"/>
      <c r="L6" s="282"/>
      <c r="M6" s="282"/>
      <c r="N6" s="282"/>
      <c r="O6" s="282"/>
      <c r="P6" s="282"/>
      <c r="Q6" s="282"/>
      <c r="R6" s="282"/>
      <c r="S6" s="282"/>
      <c r="T6" s="282"/>
      <c r="U6" s="282"/>
      <c r="V6" s="282"/>
      <c r="W6" s="282"/>
      <c r="X6" s="282"/>
      <c r="Y6" s="282"/>
      <c r="Z6" s="282"/>
      <c r="AA6" s="282"/>
      <c r="AB6" s="282"/>
      <c r="AC6" s="282"/>
      <c r="AD6" s="282"/>
      <c r="AE6" s="285"/>
      <c r="AF6" s="93"/>
      <c r="AG6" s="93"/>
      <c r="AH6" s="93"/>
      <c r="AI6" s="93"/>
      <c r="AJ6" s="93"/>
      <c r="AK6" s="93"/>
      <c r="AL6" s="93"/>
      <c r="AM6" s="93"/>
      <c r="AN6" s="93"/>
      <c r="AO6" s="93"/>
      <c r="AP6" s="93"/>
      <c r="AQ6" s="93"/>
      <c r="AR6" s="93"/>
      <c r="AS6" s="93"/>
      <c r="AT6" s="93"/>
      <c r="AU6" s="93"/>
      <c r="AV6" s="93"/>
      <c r="AW6" s="93"/>
      <c r="AX6" s="93"/>
      <c r="AY6" s="93"/>
      <c r="AZ6" s="140"/>
      <c r="BA6" s="86"/>
      <c r="BB6" s="86"/>
      <c r="BC6" s="86"/>
      <c r="BD6" s="86"/>
      <c r="BE6" s="86"/>
      <c r="BF6" s="86"/>
      <c r="BG6" s="86"/>
      <c r="BH6" s="86"/>
      <c r="BI6" s="86"/>
      <c r="BJ6" s="86"/>
      <c r="BK6" s="86"/>
      <c r="BL6" s="86"/>
      <c r="BM6" s="86"/>
      <c r="BN6" s="86"/>
      <c r="BO6" s="86"/>
      <c r="BQ6" s="142"/>
    </row>
    <row r="7" spans="1:71" s="16" customFormat="1" ht="30" customHeight="1" thickBot="1" x14ac:dyDescent="0.2">
      <c r="A7" s="286" t="s">
        <v>50</v>
      </c>
      <c r="B7" s="287"/>
      <c r="C7" s="288"/>
      <c r="D7" s="289" t="s">
        <v>58</v>
      </c>
      <c r="E7" s="290"/>
      <c r="F7" s="290"/>
      <c r="G7" s="290"/>
      <c r="H7" s="290"/>
      <c r="I7" s="63"/>
      <c r="J7" s="291" t="s">
        <v>59</v>
      </c>
      <c r="K7" s="287"/>
      <c r="L7" s="287"/>
      <c r="M7" s="287"/>
      <c r="N7" s="287"/>
      <c r="O7" s="287"/>
      <c r="P7" s="287"/>
      <c r="Q7" s="287"/>
      <c r="R7" s="287"/>
      <c r="S7" s="287"/>
      <c r="T7" s="287"/>
      <c r="U7" s="287"/>
      <c r="V7" s="287"/>
      <c r="W7" s="287"/>
      <c r="X7" s="287"/>
      <c r="Y7" s="287"/>
      <c r="Z7" s="287"/>
      <c r="AA7" s="287"/>
      <c r="AB7" s="287"/>
      <c r="AC7" s="287"/>
      <c r="AD7" s="287"/>
      <c r="AE7" s="292"/>
      <c r="AF7" s="216"/>
      <c r="AG7" s="216"/>
      <c r="AH7" s="216"/>
      <c r="AI7" s="216"/>
      <c r="AJ7" s="216"/>
      <c r="AK7" s="216"/>
      <c r="AL7" s="216"/>
      <c r="AM7" s="216"/>
      <c r="AN7" s="216"/>
      <c r="AO7" s="216"/>
      <c r="AP7" s="216"/>
      <c r="AQ7" s="216"/>
      <c r="AR7" s="216"/>
      <c r="AS7" s="216"/>
      <c r="AT7" s="216"/>
      <c r="AU7" s="216"/>
      <c r="AV7" s="216"/>
      <c r="AW7" s="216"/>
      <c r="AX7" s="216"/>
      <c r="AY7" s="216"/>
      <c r="AZ7" s="140"/>
      <c r="BA7" s="86"/>
      <c r="BB7" s="86"/>
      <c r="BC7" s="86"/>
      <c r="BD7" s="86"/>
      <c r="BE7" s="86"/>
      <c r="BF7" s="86"/>
      <c r="BG7" s="86"/>
      <c r="BH7" s="86"/>
      <c r="BI7" s="86"/>
      <c r="BJ7" s="86"/>
      <c r="BK7" s="86"/>
      <c r="BL7" s="86"/>
      <c r="BM7" s="86"/>
      <c r="BN7" s="86"/>
      <c r="BO7" s="86"/>
      <c r="BQ7" s="142"/>
    </row>
    <row r="8" spans="1:71" s="16" customFormat="1" ht="8.25" customHeight="1" thickBot="1" x14ac:dyDescent="0.2">
      <c r="A8" s="85"/>
      <c r="B8" s="10"/>
      <c r="C8" s="10"/>
      <c r="D8" s="10"/>
      <c r="E8" s="64"/>
      <c r="F8" s="64"/>
      <c r="G8" s="64"/>
      <c r="H8" s="64"/>
      <c r="I8" s="64"/>
      <c r="J8" s="10"/>
      <c r="K8" s="10"/>
      <c r="L8" s="10"/>
      <c r="M8" s="10"/>
      <c r="N8" s="10"/>
      <c r="O8" s="10"/>
      <c r="P8" s="10"/>
      <c r="Q8" s="10"/>
      <c r="R8" s="10"/>
      <c r="S8" s="10"/>
      <c r="T8" s="10"/>
      <c r="U8" s="10"/>
      <c r="V8" s="10"/>
      <c r="W8" s="10"/>
      <c r="X8" s="10"/>
      <c r="Y8" s="10"/>
      <c r="Z8" s="10"/>
      <c r="AA8" s="10"/>
      <c r="AB8" s="10"/>
      <c r="AC8" s="10"/>
      <c r="AD8" s="10"/>
      <c r="AE8" s="51"/>
      <c r="AF8" s="90"/>
      <c r="AG8" s="90"/>
      <c r="AH8" s="90"/>
      <c r="AI8" s="90"/>
      <c r="AJ8" s="90"/>
      <c r="AK8" s="90"/>
      <c r="AL8" s="90"/>
      <c r="AM8" s="90"/>
      <c r="AN8" s="90"/>
      <c r="AO8" s="90"/>
      <c r="AP8" s="90"/>
      <c r="AQ8" s="90"/>
      <c r="AR8" s="90"/>
      <c r="AS8" s="90"/>
      <c r="AT8" s="90"/>
      <c r="AU8" s="90"/>
      <c r="AV8" s="90"/>
      <c r="AW8" s="90"/>
      <c r="AX8" s="90"/>
      <c r="AY8" s="90"/>
      <c r="AZ8" s="140"/>
      <c r="BA8" s="86"/>
      <c r="BB8" s="86"/>
      <c r="BC8" s="86"/>
      <c r="BD8" s="86"/>
      <c r="BE8" s="86"/>
      <c r="BF8" s="86"/>
      <c r="BG8" s="86"/>
      <c r="BH8" s="86"/>
      <c r="BI8" s="86"/>
      <c r="BJ8" s="86"/>
      <c r="BK8" s="86"/>
      <c r="BL8" s="86"/>
      <c r="BM8" s="86"/>
      <c r="BN8" s="86"/>
      <c r="BO8" s="86"/>
      <c r="BQ8" s="142"/>
    </row>
    <row r="9" spans="1:71" s="16" customFormat="1" ht="37.5" customHeight="1" x14ac:dyDescent="0.15">
      <c r="A9" s="293" t="s">
        <v>48</v>
      </c>
      <c r="B9" s="295" t="s">
        <v>49</v>
      </c>
      <c r="C9" s="297" t="s">
        <v>2</v>
      </c>
      <c r="D9" s="295" t="s">
        <v>3</v>
      </c>
      <c r="E9" s="295" t="s">
        <v>0</v>
      </c>
      <c r="F9" s="295" t="s">
        <v>4</v>
      </c>
      <c r="G9" s="299" t="s">
        <v>55</v>
      </c>
      <c r="H9" s="299"/>
      <c r="I9" s="299" t="s">
        <v>53</v>
      </c>
      <c r="J9" s="299"/>
      <c r="K9" s="299" t="s">
        <v>63</v>
      </c>
      <c r="L9" s="299"/>
      <c r="M9" s="299" t="s">
        <v>84</v>
      </c>
      <c r="N9" s="299"/>
      <c r="O9" s="299" t="s">
        <v>93</v>
      </c>
      <c r="P9" s="299"/>
      <c r="Q9" s="299" t="s">
        <v>144</v>
      </c>
      <c r="R9" s="299"/>
      <c r="S9" s="299" t="s">
        <v>249</v>
      </c>
      <c r="T9" s="299"/>
      <c r="U9" s="299" t="s">
        <v>364</v>
      </c>
      <c r="V9" s="299"/>
      <c r="W9" s="299" t="s">
        <v>580</v>
      </c>
      <c r="X9" s="299"/>
      <c r="Y9" s="299" t="s">
        <v>616</v>
      </c>
      <c r="Z9" s="299"/>
      <c r="AA9" s="299" t="s">
        <v>713</v>
      </c>
      <c r="AB9" s="299"/>
      <c r="AC9" s="302" t="s">
        <v>54</v>
      </c>
      <c r="AD9" s="303"/>
      <c r="AE9" s="300" t="s">
        <v>18</v>
      </c>
      <c r="AF9" s="306" t="s">
        <v>582</v>
      </c>
      <c r="AG9" s="306"/>
      <c r="AH9" s="306" t="s">
        <v>617</v>
      </c>
      <c r="AI9" s="306"/>
      <c r="AJ9" s="306" t="s">
        <v>618</v>
      </c>
      <c r="AK9" s="306"/>
      <c r="AL9" s="307" t="s">
        <v>718</v>
      </c>
      <c r="AM9" s="308"/>
      <c r="AN9" s="307" t="s">
        <v>286</v>
      </c>
      <c r="AO9" s="308"/>
      <c r="AP9" s="307" t="s">
        <v>719</v>
      </c>
      <c r="AQ9" s="308"/>
      <c r="AR9" s="307" t="s">
        <v>720</v>
      </c>
      <c r="AS9" s="308"/>
      <c r="AT9" s="307" t="s">
        <v>721</v>
      </c>
      <c r="AU9" s="308"/>
      <c r="AV9" s="307" t="s">
        <v>723</v>
      </c>
      <c r="AW9" s="308"/>
      <c r="AX9" s="307" t="s">
        <v>724</v>
      </c>
      <c r="AY9" s="308"/>
      <c r="AZ9" s="307" t="s">
        <v>726</v>
      </c>
      <c r="BA9" s="308"/>
      <c r="BB9" s="304" t="s">
        <v>764</v>
      </c>
      <c r="BC9" s="305"/>
      <c r="BD9" s="307" t="s">
        <v>765</v>
      </c>
      <c r="BE9" s="308"/>
      <c r="BF9" s="307" t="s">
        <v>766</v>
      </c>
      <c r="BG9" s="308"/>
      <c r="BH9" s="307" t="s">
        <v>767</v>
      </c>
      <c r="BI9" s="308"/>
      <c r="BJ9" s="307" t="s">
        <v>768</v>
      </c>
      <c r="BK9" s="308"/>
      <c r="BL9" s="304" t="s">
        <v>769</v>
      </c>
      <c r="BM9" s="305"/>
      <c r="BN9" s="304" t="s">
        <v>779</v>
      </c>
      <c r="BO9" s="305"/>
      <c r="BQ9" s="142"/>
    </row>
    <row r="10" spans="1:71" s="86" customFormat="1" ht="31" thickBot="1" x14ac:dyDescent="0.2">
      <c r="A10" s="294"/>
      <c r="B10" s="296"/>
      <c r="C10" s="298"/>
      <c r="D10" s="296"/>
      <c r="E10" s="296"/>
      <c r="F10" s="296"/>
      <c r="G10" s="101" t="s">
        <v>47</v>
      </c>
      <c r="H10" s="101" t="s">
        <v>46</v>
      </c>
      <c r="I10" s="101" t="s">
        <v>45</v>
      </c>
      <c r="J10" s="101" t="s">
        <v>46</v>
      </c>
      <c r="K10" s="101" t="s">
        <v>6</v>
      </c>
      <c r="L10" s="101" t="s">
        <v>1</v>
      </c>
      <c r="M10" s="101" t="s">
        <v>6</v>
      </c>
      <c r="N10" s="101" t="s">
        <v>1</v>
      </c>
      <c r="O10" s="101" t="s">
        <v>6</v>
      </c>
      <c r="P10" s="101" t="s">
        <v>1</v>
      </c>
      <c r="Q10" s="101" t="s">
        <v>6</v>
      </c>
      <c r="R10" s="101" t="s">
        <v>1</v>
      </c>
      <c r="S10" s="101" t="s">
        <v>6</v>
      </c>
      <c r="T10" s="101" t="s">
        <v>1</v>
      </c>
      <c r="U10" s="101" t="s">
        <v>6</v>
      </c>
      <c r="V10" s="101" t="s">
        <v>1</v>
      </c>
      <c r="W10" s="101" t="s">
        <v>6</v>
      </c>
      <c r="X10" s="101" t="s">
        <v>1</v>
      </c>
      <c r="Y10" s="101" t="s">
        <v>6</v>
      </c>
      <c r="Z10" s="101" t="s">
        <v>1</v>
      </c>
      <c r="AA10" s="101" t="s">
        <v>6</v>
      </c>
      <c r="AB10" s="101" t="s">
        <v>1</v>
      </c>
      <c r="AC10" s="101" t="s">
        <v>47</v>
      </c>
      <c r="AD10" s="101" t="s">
        <v>1</v>
      </c>
      <c r="AE10" s="301"/>
      <c r="AF10" s="144" t="s">
        <v>581</v>
      </c>
      <c r="AG10" s="143" t="s">
        <v>1</v>
      </c>
      <c r="AH10" s="144" t="s">
        <v>581</v>
      </c>
      <c r="AI10" s="143" t="s">
        <v>1</v>
      </c>
      <c r="AJ10" s="144" t="s">
        <v>581</v>
      </c>
      <c r="AK10" s="143" t="s">
        <v>1</v>
      </c>
      <c r="AL10" s="144" t="s">
        <v>581</v>
      </c>
      <c r="AM10" s="143" t="s">
        <v>1</v>
      </c>
      <c r="AN10" s="144" t="s">
        <v>581</v>
      </c>
      <c r="AO10" s="143" t="s">
        <v>1</v>
      </c>
      <c r="AP10" s="144" t="s">
        <v>581</v>
      </c>
      <c r="AQ10" s="143" t="s">
        <v>1</v>
      </c>
      <c r="AR10" s="144" t="s">
        <v>581</v>
      </c>
      <c r="AS10" s="143" t="s">
        <v>1</v>
      </c>
      <c r="AT10" s="144" t="s">
        <v>581</v>
      </c>
      <c r="AU10" s="143" t="s">
        <v>1</v>
      </c>
      <c r="AV10" s="144" t="s">
        <v>581</v>
      </c>
      <c r="AW10" s="143" t="s">
        <v>1</v>
      </c>
      <c r="AX10" s="144" t="s">
        <v>581</v>
      </c>
      <c r="AY10" s="143" t="s">
        <v>1</v>
      </c>
      <c r="AZ10" s="144" t="s">
        <v>581</v>
      </c>
      <c r="BA10" s="143" t="s">
        <v>1</v>
      </c>
      <c r="BB10" s="144" t="s">
        <v>581</v>
      </c>
      <c r="BC10" s="143" t="s">
        <v>1</v>
      </c>
      <c r="BD10" s="144" t="s">
        <v>581</v>
      </c>
      <c r="BE10" s="143" t="s">
        <v>1</v>
      </c>
      <c r="BF10" s="144" t="s">
        <v>581</v>
      </c>
      <c r="BG10" s="143" t="s">
        <v>1</v>
      </c>
      <c r="BH10" s="144" t="s">
        <v>581</v>
      </c>
      <c r="BI10" s="143" t="s">
        <v>1</v>
      </c>
      <c r="BJ10" s="144" t="s">
        <v>581</v>
      </c>
      <c r="BK10" s="143" t="s">
        <v>1</v>
      </c>
      <c r="BL10" s="144" t="s">
        <v>581</v>
      </c>
      <c r="BM10" s="143" t="s">
        <v>1</v>
      </c>
      <c r="BN10" s="240" t="s">
        <v>47</v>
      </c>
      <c r="BO10" s="240" t="s">
        <v>46</v>
      </c>
      <c r="BQ10" s="245"/>
    </row>
    <row r="11" spans="1:71" s="86" customFormat="1" ht="23.25" customHeight="1" x14ac:dyDescent="0.15">
      <c r="A11" s="100">
        <v>1</v>
      </c>
      <c r="B11" s="100">
        <v>2</v>
      </c>
      <c r="C11" s="100">
        <v>3</v>
      </c>
      <c r="D11" s="100">
        <v>4</v>
      </c>
      <c r="E11" s="100">
        <v>5</v>
      </c>
      <c r="F11" s="100">
        <v>6</v>
      </c>
      <c r="G11" s="100">
        <v>7</v>
      </c>
      <c r="H11" s="100">
        <v>8</v>
      </c>
      <c r="I11" s="100">
        <v>9</v>
      </c>
      <c r="J11" s="100">
        <v>10</v>
      </c>
      <c r="K11" s="100"/>
      <c r="L11" s="100"/>
      <c r="M11" s="100"/>
      <c r="N11" s="100"/>
      <c r="O11" s="100"/>
      <c r="P11" s="100"/>
      <c r="Q11" s="100"/>
      <c r="R11" s="100"/>
      <c r="S11" s="100"/>
      <c r="T11" s="100"/>
      <c r="U11" s="100"/>
      <c r="V11" s="100"/>
      <c r="W11" s="100"/>
      <c r="X11" s="100"/>
      <c r="Y11" s="100"/>
      <c r="Z11" s="100"/>
      <c r="AA11" s="100"/>
      <c r="AB11" s="100"/>
      <c r="AC11" s="100">
        <v>13</v>
      </c>
      <c r="AD11" s="100">
        <v>14</v>
      </c>
      <c r="AE11" s="103">
        <v>15</v>
      </c>
      <c r="AF11" s="103"/>
      <c r="AG11" s="145">
        <f>+SUM(AG13:AG254)</f>
        <v>207682.35000000003</v>
      </c>
      <c r="AH11" s="226"/>
      <c r="AI11" s="145">
        <f>+SUM(AI13:AI254)</f>
        <v>136930.00799999997</v>
      </c>
      <c r="AJ11" s="226"/>
      <c r="AK11" s="145">
        <f>+SUM(AK13:AK254)</f>
        <v>111056.00999999998</v>
      </c>
      <c r="AL11" s="226"/>
      <c r="AM11" s="145">
        <f>+SUM(AM13:AM254)</f>
        <v>3115.6499999999996</v>
      </c>
      <c r="AN11" s="226"/>
      <c r="AO11" s="145">
        <f>+SUM(AO13:AO254)</f>
        <v>27619.340000000004</v>
      </c>
      <c r="AP11" s="226"/>
      <c r="AQ11" s="145">
        <f>+SUM(AQ13:AQ254)</f>
        <v>35878.4885784</v>
      </c>
      <c r="AR11" s="226"/>
      <c r="AS11" s="145">
        <f>+SUM(AS13:AS254)</f>
        <v>81655.776124622498</v>
      </c>
      <c r="AT11" s="226"/>
      <c r="AU11" s="145">
        <f>+SUM(AU13:AU254)</f>
        <v>112840.37646875804</v>
      </c>
      <c r="AV11" s="226"/>
      <c r="AW11" s="145">
        <f>+SUM(AW13:AW254)</f>
        <v>64512.290000000008</v>
      </c>
      <c r="AX11" s="226"/>
      <c r="AY11" s="145">
        <f>+SUM(AY13:AY254)</f>
        <v>69791.719999999987</v>
      </c>
      <c r="AZ11" s="226"/>
      <c r="BA11" s="145">
        <f>+SUM(BA13:BA254)</f>
        <v>64911.296899795991</v>
      </c>
      <c r="BB11" s="145"/>
      <c r="BC11" s="145">
        <f>+SUM(BC13:BC2505)</f>
        <v>96431.302321192983</v>
      </c>
      <c r="BD11" s="145"/>
      <c r="BE11" s="145">
        <f>+SUM(BE13:BE254)</f>
        <v>186399.95999999996</v>
      </c>
      <c r="BF11" s="145"/>
      <c r="BG11" s="145">
        <f>+SUM(BG13:BG254)</f>
        <v>88646.670000000013</v>
      </c>
      <c r="BH11" s="145"/>
      <c r="BI11" s="145">
        <f>+SUM(BI13:BI254)</f>
        <v>17663.588012351996</v>
      </c>
      <c r="BJ11" s="145"/>
      <c r="BK11" s="145">
        <f>+SUM(BK13:BK254)</f>
        <v>30565.365526464004</v>
      </c>
      <c r="BL11" s="145"/>
      <c r="BM11" s="145">
        <f>+SUM(BM13:BM254)</f>
        <v>44563.3248120344</v>
      </c>
      <c r="BN11" s="145"/>
      <c r="BO11" s="145">
        <f>+SUM(BO13:BO254)</f>
        <v>2688.0715189439993</v>
      </c>
      <c r="BP11" s="239" t="s">
        <v>777</v>
      </c>
      <c r="BQ11" s="246" t="s">
        <v>776</v>
      </c>
      <c r="BR11" s="104" t="s">
        <v>775</v>
      </c>
      <c r="BS11" s="104" t="s">
        <v>778</v>
      </c>
    </row>
    <row r="12" spans="1:71" s="102" customFormat="1" ht="19" hidden="1" x14ac:dyDescent="0.15">
      <c r="A12" s="116" t="s">
        <v>65</v>
      </c>
      <c r="B12" s="317" t="s">
        <v>66</v>
      </c>
      <c r="C12" s="318"/>
      <c r="D12" s="109"/>
      <c r="E12" s="108"/>
      <c r="F12" s="110"/>
      <c r="G12" s="111">
        <f>+AD12/H12</f>
        <v>1.107520389388772</v>
      </c>
      <c r="H12" s="110">
        <f>+SUM(H13:H125)</f>
        <v>2388922.9675533632</v>
      </c>
      <c r="I12" s="112"/>
      <c r="J12" s="110">
        <f>+SUM(J13:J118)</f>
        <v>2142901.002604288</v>
      </c>
      <c r="K12" s="113"/>
      <c r="L12" s="110">
        <f>+SUM(L13)</f>
        <v>3768</v>
      </c>
      <c r="M12" s="110"/>
      <c r="N12" s="110">
        <f>+SUM(N13:N18)</f>
        <v>27087.896874999999</v>
      </c>
      <c r="O12" s="110"/>
      <c r="P12" s="110">
        <f>+SUM(P13:P42)</f>
        <v>1508621.1335028112</v>
      </c>
      <c r="Q12" s="110"/>
      <c r="R12" s="110">
        <f>+SUM(R13:R62)</f>
        <v>536577.16371012002</v>
      </c>
      <c r="S12" s="110"/>
      <c r="T12" s="110">
        <f>+SUM(T13:T79)</f>
        <v>138386.30865106534</v>
      </c>
      <c r="U12" s="110"/>
      <c r="V12" s="110">
        <f>+SUM(V13:V93)</f>
        <v>13292.419610023928</v>
      </c>
      <c r="W12" s="110"/>
      <c r="X12" s="110"/>
      <c r="Y12" s="110"/>
      <c r="Z12" s="110">
        <f>+SUM(Z13:Z113)</f>
        <v>132268.45262564332</v>
      </c>
      <c r="AA12" s="110"/>
      <c r="AB12" s="110">
        <f>+SUM(AB13:AB125)</f>
        <v>502879.89264019375</v>
      </c>
      <c r="AC12" s="114"/>
      <c r="AD12" s="110">
        <f>+SUM(AD13:AD125)</f>
        <v>2645780.8952444815</v>
      </c>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4"/>
      <c r="BQ12" s="247"/>
      <c r="BR12" s="104"/>
      <c r="BS12" s="104"/>
    </row>
    <row r="13" spans="1:71" s="16" customFormat="1" ht="17" x14ac:dyDescent="0.15">
      <c r="A13" s="118" t="s">
        <v>64</v>
      </c>
      <c r="B13" s="162" t="s">
        <v>60</v>
      </c>
      <c r="C13" s="118" t="s">
        <v>61</v>
      </c>
      <c r="D13" s="119" t="s">
        <v>62</v>
      </c>
      <c r="E13" s="117" t="s">
        <v>51</v>
      </c>
      <c r="F13" s="120">
        <v>78.5</v>
      </c>
      <c r="G13" s="120">
        <v>302.17746405625473</v>
      </c>
      <c r="H13" s="120">
        <v>24148.690928415999</v>
      </c>
      <c r="I13" s="121">
        <v>248</v>
      </c>
      <c r="J13" s="122">
        <v>19468</v>
      </c>
      <c r="K13" s="120">
        <v>48</v>
      </c>
      <c r="L13" s="123">
        <f>+K13*F13</f>
        <v>3768</v>
      </c>
      <c r="M13" s="123"/>
      <c r="N13" s="123"/>
      <c r="O13" s="123"/>
      <c r="P13" s="123"/>
      <c r="Q13" s="251">
        <f>60-18</f>
        <v>42</v>
      </c>
      <c r="R13" s="251">
        <f>+Q13*F13</f>
        <v>3297</v>
      </c>
      <c r="S13" s="251">
        <v>48</v>
      </c>
      <c r="T13" s="251">
        <f>+S13*F13</f>
        <v>3768</v>
      </c>
      <c r="U13" s="252"/>
      <c r="V13" s="251"/>
      <c r="W13" s="251"/>
      <c r="X13" s="251"/>
      <c r="Y13" s="251">
        <v>110</v>
      </c>
      <c r="Z13" s="251">
        <f>+Y13*F13</f>
        <v>8635</v>
      </c>
      <c r="AA13" s="251">
        <v>91</v>
      </c>
      <c r="AB13" s="251">
        <f>+AA13*F13</f>
        <v>7143.5</v>
      </c>
      <c r="AC13" s="163">
        <f>+I13+AA13</f>
        <v>339</v>
      </c>
      <c r="AD13" s="163">
        <f>+J13+AB13</f>
        <v>26611.5</v>
      </c>
      <c r="AE13" s="124" t="s">
        <v>725</v>
      </c>
      <c r="AF13" s="124"/>
      <c r="AG13" s="124"/>
      <c r="AH13" s="124">
        <v>38.03656050955415</v>
      </c>
      <c r="AI13" s="124">
        <v>2985.8700000000003</v>
      </c>
      <c r="AJ13" s="124">
        <v>11.383057324840765</v>
      </c>
      <c r="AK13" s="124">
        <v>893.56999999999994</v>
      </c>
      <c r="AL13" s="124">
        <f>+AM13/78.5</f>
        <v>10.78624203821656</v>
      </c>
      <c r="AM13" s="124">
        <f>1693.44/2</f>
        <v>846.72</v>
      </c>
      <c r="AN13" s="124">
        <v>3.5248407643312101</v>
      </c>
      <c r="AO13" s="124">
        <v>276.7</v>
      </c>
      <c r="AP13" s="124"/>
      <c r="AQ13" s="124"/>
      <c r="AR13" s="124">
        <v>13.945985765707006</v>
      </c>
      <c r="AS13" s="124">
        <v>1094.759882608</v>
      </c>
      <c r="AT13" s="124">
        <v>2.8870179872611463</v>
      </c>
      <c r="AU13" s="124">
        <v>226.63091199999997</v>
      </c>
      <c r="AV13" s="124">
        <v>2.8031847133757961</v>
      </c>
      <c r="AW13" s="124">
        <v>220.04999999999998</v>
      </c>
      <c r="AX13" s="124">
        <v>2.8031847133757961</v>
      </c>
      <c r="AY13" s="124">
        <v>220.04999999999998</v>
      </c>
      <c r="AZ13" s="233">
        <v>2.8046739872611464</v>
      </c>
      <c r="BA13" s="125">
        <v>220.16690799999998</v>
      </c>
      <c r="BB13" s="125">
        <v>1.02193344</v>
      </c>
      <c r="BC13" s="125">
        <v>294.10177503999995</v>
      </c>
      <c r="BD13" s="125">
        <v>49.331337579617838</v>
      </c>
      <c r="BE13" s="125">
        <v>3872.51</v>
      </c>
      <c r="BF13" s="125">
        <v>6.7439490445859871</v>
      </c>
      <c r="BG13" s="125">
        <v>529.4</v>
      </c>
      <c r="BH13" s="125">
        <v>2.2296729599999998</v>
      </c>
      <c r="BI13" s="125">
        <v>175.02932736</v>
      </c>
      <c r="BJ13" s="125"/>
      <c r="BK13" s="125"/>
      <c r="BL13" s="125"/>
      <c r="BM13" s="125"/>
      <c r="BN13" s="125">
        <v>2.7870911999999994</v>
      </c>
      <c r="BO13" s="125">
        <v>218.78665919999997</v>
      </c>
      <c r="BP13" s="244">
        <f t="shared" ref="BP13:BP76" si="0">+AF13+AH13+AJ13+AL13+AN13+AP13+AR13+AT13+AV13+AX13+AZ13+BB13+BD13+BF13+BH13+BJ13+BL13+BN13</f>
        <v>151.08873202812737</v>
      </c>
      <c r="BQ13" s="248">
        <f>+BP13*2</f>
        <v>302.17746405625473</v>
      </c>
      <c r="BR13" s="105">
        <f t="shared" ref="BR13:BR76" si="1">+AG13+AI13+AK13+AM13+AO13+AQ13+AS13+AU13+AW13+AY13+BA13+BC13+BE13+BG13+BI13+BK13+BM13+BO13</f>
        <v>12074.345464208</v>
      </c>
      <c r="BS13" s="248">
        <f>+BR13*2</f>
        <v>24148.690928415999</v>
      </c>
    </row>
    <row r="14" spans="1:71" s="16" customFormat="1" ht="17" hidden="1" x14ac:dyDescent="0.15">
      <c r="A14" s="118" t="s">
        <v>75</v>
      </c>
      <c r="B14" s="162" t="s">
        <v>60</v>
      </c>
      <c r="C14" s="118" t="s">
        <v>87</v>
      </c>
      <c r="D14" s="119" t="s">
        <v>81</v>
      </c>
      <c r="E14" s="117" t="s">
        <v>51</v>
      </c>
      <c r="F14" s="120">
        <v>11.774999999999999</v>
      </c>
      <c r="G14" s="120"/>
      <c r="H14" s="120"/>
      <c r="I14" s="121">
        <v>0</v>
      </c>
      <c r="J14" s="122">
        <v>0</v>
      </c>
      <c r="K14" s="120"/>
      <c r="L14" s="123"/>
      <c r="M14" s="251">
        <f>1.25*2.5</f>
        <v>3.125</v>
      </c>
      <c r="N14" s="251">
        <f>+M14*F14</f>
        <v>36.796874999999993</v>
      </c>
      <c r="O14" s="251"/>
      <c r="P14" s="251"/>
      <c r="Q14" s="251">
        <v>-3.125</v>
      </c>
      <c r="R14" s="251">
        <f>+Q14*F14</f>
        <v>-36.796874999999993</v>
      </c>
      <c r="S14" s="251"/>
      <c r="T14" s="251"/>
      <c r="U14" s="252"/>
      <c r="V14" s="251"/>
      <c r="W14" s="251"/>
      <c r="X14" s="251"/>
      <c r="Y14" s="251"/>
      <c r="Z14" s="251"/>
      <c r="AA14" s="251"/>
      <c r="AB14" s="251"/>
      <c r="AC14" s="163">
        <f t="shared" ref="AC14:AD77" si="2">+I14+AA14</f>
        <v>0</v>
      </c>
      <c r="AD14" s="163">
        <f t="shared" si="2"/>
        <v>0</v>
      </c>
      <c r="AE14" s="124" t="s">
        <v>153</v>
      </c>
      <c r="AF14" s="124"/>
      <c r="AG14" s="124"/>
      <c r="AH14" s="124"/>
      <c r="AI14" s="124"/>
      <c r="AJ14" s="124"/>
      <c r="AK14" s="124"/>
      <c r="AL14" s="124"/>
      <c r="AM14" s="124"/>
      <c r="AN14" s="124"/>
      <c r="AO14" s="124"/>
      <c r="AP14" s="124"/>
      <c r="AQ14" s="124"/>
      <c r="AR14" s="124"/>
      <c r="AS14" s="124"/>
      <c r="AT14" s="124"/>
      <c r="AU14" s="124"/>
      <c r="AV14" s="124"/>
      <c r="AW14" s="124"/>
      <c r="AX14" s="124"/>
      <c r="AY14" s="124"/>
      <c r="AZ14" s="233"/>
      <c r="BA14" s="125"/>
      <c r="BB14" s="125"/>
      <c r="BC14" s="125"/>
      <c r="BD14" s="125"/>
      <c r="BE14" s="125"/>
      <c r="BF14" s="125"/>
      <c r="BG14" s="125"/>
      <c r="BH14" s="125"/>
      <c r="BI14" s="125"/>
      <c r="BJ14" s="125"/>
      <c r="BK14" s="125"/>
      <c r="BL14" s="125"/>
      <c r="BM14" s="125"/>
      <c r="BN14" s="125"/>
      <c r="BO14" s="125"/>
      <c r="BP14" s="244">
        <f t="shared" si="0"/>
        <v>0</v>
      </c>
      <c r="BQ14" s="248">
        <f t="shared" ref="BQ14:BQ77" si="3">+BP14*2</f>
        <v>0</v>
      </c>
      <c r="BR14" s="105">
        <f t="shared" si="1"/>
        <v>0</v>
      </c>
      <c r="BS14" s="248">
        <f t="shared" ref="BS14:BS77" si="4">+BR14*2</f>
        <v>0</v>
      </c>
    </row>
    <row r="15" spans="1:71" s="16" customFormat="1" ht="17" hidden="1" x14ac:dyDescent="0.15">
      <c r="A15" s="118" t="s">
        <v>76</v>
      </c>
      <c r="B15" s="162" t="s">
        <v>60</v>
      </c>
      <c r="C15" s="118" t="s">
        <v>89</v>
      </c>
      <c r="D15" s="119" t="s">
        <v>81</v>
      </c>
      <c r="E15" s="117" t="s">
        <v>51</v>
      </c>
      <c r="F15" s="120">
        <v>23.549999999999997</v>
      </c>
      <c r="G15" s="120"/>
      <c r="H15" s="120"/>
      <c r="I15" s="121">
        <v>0</v>
      </c>
      <c r="J15" s="122">
        <v>0</v>
      </c>
      <c r="K15" s="120"/>
      <c r="L15" s="123"/>
      <c r="M15" s="251">
        <v>9</v>
      </c>
      <c r="N15" s="251">
        <f>+M15*F15</f>
        <v>211.95</v>
      </c>
      <c r="O15" s="251"/>
      <c r="P15" s="251"/>
      <c r="Q15" s="251">
        <v>-9</v>
      </c>
      <c r="R15" s="251">
        <f>+Q15*F15</f>
        <v>-211.95</v>
      </c>
      <c r="S15" s="251"/>
      <c r="T15" s="251"/>
      <c r="U15" s="252"/>
      <c r="V15" s="251"/>
      <c r="W15" s="251"/>
      <c r="X15" s="251"/>
      <c r="Y15" s="251"/>
      <c r="Z15" s="251"/>
      <c r="AA15" s="251"/>
      <c r="AB15" s="251"/>
      <c r="AC15" s="163">
        <f t="shared" si="2"/>
        <v>0</v>
      </c>
      <c r="AD15" s="163">
        <f t="shared" si="2"/>
        <v>0</v>
      </c>
      <c r="AE15" s="124" t="s">
        <v>153</v>
      </c>
      <c r="AF15" s="124"/>
      <c r="AG15" s="124"/>
      <c r="AH15" s="124"/>
      <c r="AI15" s="124"/>
      <c r="AJ15" s="124"/>
      <c r="AK15" s="124"/>
      <c r="AL15" s="124"/>
      <c r="AM15" s="124"/>
      <c r="AN15" s="124"/>
      <c r="AO15" s="124"/>
      <c r="AP15" s="124"/>
      <c r="AQ15" s="124"/>
      <c r="AR15" s="124"/>
      <c r="AS15" s="124"/>
      <c r="AT15" s="124"/>
      <c r="AU15" s="124"/>
      <c r="AV15" s="124"/>
      <c r="AW15" s="124"/>
      <c r="AX15" s="124"/>
      <c r="AY15" s="124"/>
      <c r="AZ15" s="233"/>
      <c r="BA15" s="125"/>
      <c r="BB15" s="125"/>
      <c r="BC15" s="125"/>
      <c r="BD15" s="125"/>
      <c r="BE15" s="125"/>
      <c r="BF15" s="125"/>
      <c r="BG15" s="125"/>
      <c r="BH15" s="125"/>
      <c r="BI15" s="125"/>
      <c r="BJ15" s="125"/>
      <c r="BK15" s="125"/>
      <c r="BL15" s="125"/>
      <c r="BM15" s="125"/>
      <c r="BN15" s="125"/>
      <c r="BO15" s="125"/>
      <c r="BP15" s="244">
        <f t="shared" si="0"/>
        <v>0</v>
      </c>
      <c r="BQ15" s="248">
        <f t="shared" si="3"/>
        <v>0</v>
      </c>
      <c r="BR15" s="105">
        <f t="shared" si="1"/>
        <v>0</v>
      </c>
      <c r="BS15" s="248">
        <f t="shared" si="4"/>
        <v>0</v>
      </c>
    </row>
    <row r="16" spans="1:71" s="16" customFormat="1" ht="17" x14ac:dyDescent="0.15">
      <c r="A16" s="118" t="s">
        <v>77</v>
      </c>
      <c r="B16" s="162" t="s">
        <v>60</v>
      </c>
      <c r="C16" s="118" t="s">
        <v>90</v>
      </c>
      <c r="D16" s="119" t="s">
        <v>81</v>
      </c>
      <c r="E16" s="117" t="s">
        <v>51</v>
      </c>
      <c r="F16" s="120">
        <v>196.25</v>
      </c>
      <c r="G16" s="120">
        <v>1655.2575453350316</v>
      </c>
      <c r="H16" s="120">
        <v>324844.29327199998</v>
      </c>
      <c r="I16" s="121">
        <v>1776</v>
      </c>
      <c r="J16" s="122">
        <v>348540</v>
      </c>
      <c r="K16" s="120"/>
      <c r="L16" s="123"/>
      <c r="M16" s="251">
        <v>24</v>
      </c>
      <c r="N16" s="251">
        <f>+M16*F16</f>
        <v>4710</v>
      </c>
      <c r="O16" s="251">
        <f>73*24</f>
        <v>1752</v>
      </c>
      <c r="P16" s="228">
        <f>+O16*F16</f>
        <v>343830</v>
      </c>
      <c r="Q16" s="228"/>
      <c r="R16" s="228"/>
      <c r="S16" s="228"/>
      <c r="T16" s="228"/>
      <c r="U16" s="253"/>
      <c r="V16" s="228"/>
      <c r="W16" s="228"/>
      <c r="X16" s="228"/>
      <c r="Y16" s="228"/>
      <c r="Z16" s="228"/>
      <c r="AA16" s="228">
        <v>78</v>
      </c>
      <c r="AB16" s="228">
        <f>+AA16*F16</f>
        <v>15307.5</v>
      </c>
      <c r="AC16" s="163">
        <f t="shared" si="2"/>
        <v>1854</v>
      </c>
      <c r="AD16" s="163">
        <f t="shared" si="2"/>
        <v>363847.5</v>
      </c>
      <c r="AE16" s="124" t="s">
        <v>725</v>
      </c>
      <c r="AF16" s="124">
        <v>83.170343949044579</v>
      </c>
      <c r="AG16" s="124">
        <v>16322.179999999997</v>
      </c>
      <c r="AH16" s="124">
        <v>1.4291974522292996</v>
      </c>
      <c r="AI16" s="124">
        <v>280.48</v>
      </c>
      <c r="AJ16" s="124">
        <v>0.71541401273885363</v>
      </c>
      <c r="AK16" s="124">
        <v>140.4</v>
      </c>
      <c r="AL16" s="124">
        <v>0.6</v>
      </c>
      <c r="AM16" s="124">
        <v>117.75</v>
      </c>
      <c r="AN16" s="124"/>
      <c r="AO16" s="124"/>
      <c r="AP16" s="124">
        <v>42.499600000000008</v>
      </c>
      <c r="AQ16" s="124">
        <v>8340.5465000000004</v>
      </c>
      <c r="AR16" s="124">
        <v>130.29968</v>
      </c>
      <c r="AS16" s="124">
        <v>25571.3122</v>
      </c>
      <c r="AT16" s="124">
        <v>152.13993600000001</v>
      </c>
      <c r="AU16" s="124">
        <v>29857.462439999999</v>
      </c>
      <c r="AV16" s="124">
        <v>74.598012738853512</v>
      </c>
      <c r="AW16" s="124">
        <v>14639.86</v>
      </c>
      <c r="AX16" s="124">
        <v>83.756025477707013</v>
      </c>
      <c r="AY16" s="124">
        <v>16437.120000000003</v>
      </c>
      <c r="AZ16" s="233">
        <v>83.749908585987257</v>
      </c>
      <c r="BA16" s="125">
        <v>16435.919559999998</v>
      </c>
      <c r="BB16" s="125">
        <v>159.16899839999999</v>
      </c>
      <c r="BC16" s="125">
        <v>31236.915935999998</v>
      </c>
      <c r="BD16" s="125">
        <v>15.501656050955413</v>
      </c>
      <c r="BE16" s="125">
        <v>3042.2</v>
      </c>
      <c r="BF16" s="125"/>
      <c r="BG16" s="125"/>
      <c r="BH16" s="125"/>
      <c r="BI16" s="125"/>
      <c r="BJ16" s="125"/>
      <c r="BK16" s="125"/>
      <c r="BL16" s="125"/>
      <c r="BM16" s="125"/>
      <c r="BN16" s="125"/>
      <c r="BO16" s="125"/>
      <c r="BP16" s="244">
        <f t="shared" si="0"/>
        <v>827.62877266751582</v>
      </c>
      <c r="BQ16" s="248">
        <f t="shared" si="3"/>
        <v>1655.2575453350316</v>
      </c>
      <c r="BR16" s="105">
        <f t="shared" si="1"/>
        <v>162422.14663599999</v>
      </c>
      <c r="BS16" s="248">
        <f t="shared" si="4"/>
        <v>324844.29327199998</v>
      </c>
    </row>
    <row r="17" spans="1:71" s="16" customFormat="1" ht="17" hidden="1" x14ac:dyDescent="0.15">
      <c r="A17" s="118" t="s">
        <v>78</v>
      </c>
      <c r="B17" s="162" t="s">
        <v>60</v>
      </c>
      <c r="C17" s="118" t="s">
        <v>92</v>
      </c>
      <c r="D17" s="119" t="s">
        <v>81</v>
      </c>
      <c r="E17" s="117" t="s">
        <v>51</v>
      </c>
      <c r="F17" s="120">
        <v>329.7</v>
      </c>
      <c r="G17" s="120">
        <v>13.04932</v>
      </c>
      <c r="H17" s="120">
        <v>4302.3608039999999</v>
      </c>
      <c r="I17" s="121">
        <v>15</v>
      </c>
      <c r="J17" s="122">
        <v>4945.5</v>
      </c>
      <c r="K17" s="120"/>
      <c r="L17" s="123"/>
      <c r="M17" s="251">
        <f>2*7.5</f>
        <v>15</v>
      </c>
      <c r="N17" s="251">
        <f>+M17*F17</f>
        <v>4945.5</v>
      </c>
      <c r="O17" s="251"/>
      <c r="P17" s="251"/>
      <c r="Q17" s="251"/>
      <c r="R17" s="251"/>
      <c r="S17" s="251"/>
      <c r="T17" s="251"/>
      <c r="U17" s="252"/>
      <c r="V17" s="251"/>
      <c r="W17" s="251"/>
      <c r="X17" s="251"/>
      <c r="Y17" s="251"/>
      <c r="Z17" s="251"/>
      <c r="AA17" s="251"/>
      <c r="AB17" s="251"/>
      <c r="AC17" s="163">
        <f t="shared" si="2"/>
        <v>15</v>
      </c>
      <c r="AD17" s="163">
        <f t="shared" si="2"/>
        <v>4945.5</v>
      </c>
      <c r="AE17" s="124" t="s">
        <v>88</v>
      </c>
      <c r="AH17" s="124"/>
      <c r="AI17" s="124"/>
      <c r="AJ17" s="124"/>
      <c r="AK17" s="124"/>
      <c r="AL17" s="124">
        <v>6.5246587807097356</v>
      </c>
      <c r="AM17" s="124">
        <f>4302.36/2</f>
        <v>2151.1799999999998</v>
      </c>
      <c r="AN17" s="124"/>
      <c r="AO17" s="124"/>
      <c r="AP17" s="124"/>
      <c r="AQ17" s="124"/>
      <c r="AR17" s="124"/>
      <c r="AS17" s="124"/>
      <c r="AT17" s="124"/>
      <c r="AU17" s="124"/>
      <c r="AV17" s="124"/>
      <c r="AW17" s="124"/>
      <c r="AX17" s="124"/>
      <c r="AY17" s="124"/>
      <c r="AZ17" s="233"/>
      <c r="BA17" s="125"/>
      <c r="BB17" s="125"/>
      <c r="BC17" s="125"/>
      <c r="BD17" s="125"/>
      <c r="BE17" s="125"/>
      <c r="BF17" s="125"/>
      <c r="BG17" s="125"/>
      <c r="BH17" s="125"/>
      <c r="BI17" s="125"/>
      <c r="BJ17" s="125"/>
      <c r="BK17" s="125"/>
      <c r="BL17" s="125"/>
      <c r="BM17" s="125"/>
      <c r="BN17" s="125"/>
      <c r="BO17" s="125"/>
      <c r="BP17" s="244">
        <f t="shared" si="0"/>
        <v>6.5246587807097356</v>
      </c>
      <c r="BQ17" s="248">
        <f t="shared" si="3"/>
        <v>13.049317561419471</v>
      </c>
      <c r="BR17" s="105">
        <f t="shared" si="1"/>
        <v>2151.1799999999998</v>
      </c>
      <c r="BS17" s="248">
        <f t="shared" si="4"/>
        <v>4302.3599999999997</v>
      </c>
    </row>
    <row r="18" spans="1:71" s="16" customFormat="1" ht="17" x14ac:dyDescent="0.15">
      <c r="A18" s="118" t="s">
        <v>79</v>
      </c>
      <c r="B18" s="162" t="s">
        <v>60</v>
      </c>
      <c r="C18" s="118" t="s">
        <v>91</v>
      </c>
      <c r="D18" s="119" t="s">
        <v>81</v>
      </c>
      <c r="E18" s="117" t="s">
        <v>51</v>
      </c>
      <c r="F18" s="120">
        <v>431.75</v>
      </c>
      <c r="G18" s="120">
        <v>38.72855579713206</v>
      </c>
      <c r="H18" s="120">
        <v>16631.190435999997</v>
      </c>
      <c r="I18" s="121">
        <v>39.799999999999997</v>
      </c>
      <c r="J18" s="122">
        <v>17183.649999999998</v>
      </c>
      <c r="K18" s="120"/>
      <c r="L18" s="123"/>
      <c r="M18" s="251">
        <f>24+7.9*2</f>
        <v>39.799999999999997</v>
      </c>
      <c r="N18" s="251">
        <f>+M18*F18</f>
        <v>17183.649999999998</v>
      </c>
      <c r="O18" s="251"/>
      <c r="P18" s="251"/>
      <c r="Q18" s="251"/>
      <c r="R18" s="251"/>
      <c r="S18" s="251"/>
      <c r="T18" s="251"/>
      <c r="U18" s="252"/>
      <c r="V18" s="251"/>
      <c r="W18" s="251"/>
      <c r="X18" s="251"/>
      <c r="Y18" s="251"/>
      <c r="Z18" s="251"/>
      <c r="AA18" s="251">
        <v>5</v>
      </c>
      <c r="AB18" s="251">
        <f>+AA18*F18</f>
        <v>2158.75</v>
      </c>
      <c r="AC18" s="163">
        <f t="shared" si="2"/>
        <v>44.8</v>
      </c>
      <c r="AD18" s="163">
        <f t="shared" si="2"/>
        <v>19342.399999999998</v>
      </c>
      <c r="AE18" s="124" t="s">
        <v>725</v>
      </c>
      <c r="AF18" s="124"/>
      <c r="AG18" s="124"/>
      <c r="AH18" s="124">
        <v>2.7336421540243201</v>
      </c>
      <c r="AI18" s="124">
        <v>1180.25</v>
      </c>
      <c r="AJ18" s="124">
        <v>1.3670179502026636</v>
      </c>
      <c r="AK18" s="124">
        <v>590.21</v>
      </c>
      <c r="AL18" s="124"/>
      <c r="AM18" s="124"/>
      <c r="AN18" s="124"/>
      <c r="AO18" s="124"/>
      <c r="AP18" s="124"/>
      <c r="AQ18" s="124"/>
      <c r="AR18" s="124">
        <v>2.738632</v>
      </c>
      <c r="AS18" s="124">
        <v>1182.404366</v>
      </c>
      <c r="AT18" s="124">
        <v>2.9843519999999999</v>
      </c>
      <c r="AU18" s="124">
        <v>1288.493976</v>
      </c>
      <c r="AV18" s="124">
        <v>1.4922061378112335</v>
      </c>
      <c r="AW18" s="124">
        <v>644.26</v>
      </c>
      <c r="AX18" s="124">
        <v>1.691163867979155</v>
      </c>
      <c r="AY18" s="124">
        <v>730.16000000000008</v>
      </c>
      <c r="AZ18" s="233">
        <v>1.691163867979155</v>
      </c>
      <c r="BA18" s="125">
        <v>730.16000000000008</v>
      </c>
      <c r="BB18" s="125">
        <v>3.2351520000000007</v>
      </c>
      <c r="BC18" s="125">
        <v>1396.7768759999999</v>
      </c>
      <c r="BD18" s="125">
        <v>1.4309479205695017</v>
      </c>
      <c r="BE18" s="125">
        <v>572.88</v>
      </c>
      <c r="BF18" s="125"/>
      <c r="BG18" s="125"/>
      <c r="BH18" s="125"/>
      <c r="BI18" s="125"/>
      <c r="BJ18" s="125"/>
      <c r="BK18" s="125"/>
      <c r="BL18" s="125"/>
      <c r="BM18" s="125"/>
      <c r="BN18" s="125"/>
      <c r="BO18" s="125"/>
      <c r="BP18" s="244">
        <f t="shared" si="0"/>
        <v>19.36427789856603</v>
      </c>
      <c r="BQ18" s="248">
        <f t="shared" si="3"/>
        <v>38.72855579713206</v>
      </c>
      <c r="BR18" s="105">
        <f t="shared" si="1"/>
        <v>8315.5952179999986</v>
      </c>
      <c r="BS18" s="248">
        <f t="shared" si="4"/>
        <v>16631.190435999997</v>
      </c>
    </row>
    <row r="19" spans="1:71" s="16" customFormat="1" ht="17" x14ac:dyDescent="0.15">
      <c r="A19" s="118" t="s">
        <v>94</v>
      </c>
      <c r="B19" s="162" t="s">
        <v>60</v>
      </c>
      <c r="C19" s="162" t="s">
        <v>133</v>
      </c>
      <c r="D19" s="119" t="s">
        <v>62</v>
      </c>
      <c r="E19" s="117" t="s">
        <v>51</v>
      </c>
      <c r="F19" s="120">
        <v>47.099999999999994</v>
      </c>
      <c r="G19" s="120">
        <v>5061.3759009382347</v>
      </c>
      <c r="H19" s="120">
        <v>238390.80493419085</v>
      </c>
      <c r="I19" s="121">
        <v>3735.4957784832004</v>
      </c>
      <c r="J19" s="122">
        <v>175941.85116655871</v>
      </c>
      <c r="K19" s="120"/>
      <c r="L19" s="123"/>
      <c r="M19" s="251"/>
      <c r="N19" s="251"/>
      <c r="O19" s="251">
        <f>+G19*1.14</f>
        <v>5769.9685270695873</v>
      </c>
      <c r="P19" s="229">
        <f t="shared" ref="P19:P42" si="5">+O19*F19</f>
        <v>271765.51762497751</v>
      </c>
      <c r="Q19" s="229"/>
      <c r="R19" s="229"/>
      <c r="S19" s="229"/>
      <c r="T19" s="229"/>
      <c r="U19" s="254"/>
      <c r="V19" s="229"/>
      <c r="W19" s="229"/>
      <c r="X19" s="229"/>
      <c r="Y19" s="229"/>
      <c r="Z19" s="229"/>
      <c r="AA19" s="229">
        <v>1883</v>
      </c>
      <c r="AB19" s="229">
        <f>+AA19*F19</f>
        <v>88689.299999999988</v>
      </c>
      <c r="AC19" s="163">
        <f t="shared" si="2"/>
        <v>5618.4957784832004</v>
      </c>
      <c r="AD19" s="163">
        <f t="shared" si="2"/>
        <v>264631.15116655873</v>
      </c>
      <c r="AE19" s="124" t="s">
        <v>725</v>
      </c>
      <c r="AF19" s="124">
        <v>4.5231422505307863</v>
      </c>
      <c r="AG19" s="124">
        <v>213.04000000000002</v>
      </c>
      <c r="AH19" s="124">
        <v>550.36518046709136</v>
      </c>
      <c r="AI19" s="124">
        <v>25922.2</v>
      </c>
      <c r="AJ19" s="124">
        <v>412.33821656050958</v>
      </c>
      <c r="AK19" s="124">
        <v>19421.13</v>
      </c>
      <c r="AL19" s="124"/>
      <c r="AM19" s="124"/>
      <c r="AN19" s="124">
        <v>309.18174097664553</v>
      </c>
      <c r="AO19" s="124">
        <v>14562.460000000003</v>
      </c>
      <c r="AP19" s="124"/>
      <c r="AQ19" s="124"/>
      <c r="AR19" s="124">
        <v>108.56649400329998</v>
      </c>
      <c r="AS19" s="124">
        <v>5113.4818675554288</v>
      </c>
      <c r="AT19" s="124">
        <v>191.53686499999998</v>
      </c>
      <c r="AU19" s="124">
        <v>9021.3863414999996</v>
      </c>
      <c r="AV19" s="124">
        <v>176.35307855626328</v>
      </c>
      <c r="AW19" s="124">
        <v>8306.23</v>
      </c>
      <c r="AX19" s="124">
        <v>181.76157112526539</v>
      </c>
      <c r="AY19" s="124">
        <v>8560.9699999999993</v>
      </c>
      <c r="AZ19" s="233">
        <v>154.52924377282378</v>
      </c>
      <c r="BA19" s="125">
        <v>7278.3273816999999</v>
      </c>
      <c r="BB19" s="125">
        <v>174.19320000000002</v>
      </c>
      <c r="BC19" s="125">
        <v>8204.4997199999998</v>
      </c>
      <c r="BD19" s="125"/>
      <c r="BE19" s="125"/>
      <c r="BF19" s="125">
        <v>11.051592356687898</v>
      </c>
      <c r="BG19" s="125">
        <v>520.53</v>
      </c>
      <c r="BH19" s="125"/>
      <c r="BI19" s="125"/>
      <c r="BJ19" s="125"/>
      <c r="BK19" s="125"/>
      <c r="BL19" s="125">
        <v>236.77798699999997</v>
      </c>
      <c r="BM19" s="125">
        <v>11152.243187699998</v>
      </c>
      <c r="BN19" s="125">
        <v>19.5096384</v>
      </c>
      <c r="BO19" s="125">
        <v>918.9039686399999</v>
      </c>
      <c r="BP19" s="244">
        <f t="shared" si="0"/>
        <v>2530.6879504691174</v>
      </c>
      <c r="BQ19" s="248">
        <f t="shared" si="3"/>
        <v>5061.3759009382347</v>
      </c>
      <c r="BR19" s="105">
        <f t="shared" si="1"/>
        <v>119195.40246709542</v>
      </c>
      <c r="BS19" s="248">
        <f t="shared" si="4"/>
        <v>238390.80493419085</v>
      </c>
    </row>
    <row r="20" spans="1:71" s="16" customFormat="1" ht="17" x14ac:dyDescent="0.15">
      <c r="A20" s="118" t="s">
        <v>95</v>
      </c>
      <c r="B20" s="162" t="s">
        <v>60</v>
      </c>
      <c r="C20" s="162" t="s">
        <v>134</v>
      </c>
      <c r="D20" s="119" t="s">
        <v>62</v>
      </c>
      <c r="E20" s="117" t="s">
        <v>51</v>
      </c>
      <c r="F20" s="120">
        <v>94.199999999999989</v>
      </c>
      <c r="G20" s="120">
        <v>192.08413118709132</v>
      </c>
      <c r="H20" s="120">
        <v>18094.325157824002</v>
      </c>
      <c r="I20" s="121">
        <v>65.004404467200004</v>
      </c>
      <c r="J20" s="122">
        <v>6123.4149008102395</v>
      </c>
      <c r="K20" s="120"/>
      <c r="L20" s="123"/>
      <c r="M20" s="251"/>
      <c r="N20" s="251"/>
      <c r="O20" s="251">
        <f t="shared" ref="O20:O31" si="6">+G20*1.13</f>
        <v>217.05506824141315</v>
      </c>
      <c r="P20" s="229">
        <f t="shared" si="5"/>
        <v>20446.587428341118</v>
      </c>
      <c r="Q20" s="229"/>
      <c r="R20" s="229"/>
      <c r="S20" s="229">
        <v>17.98</v>
      </c>
      <c r="T20" s="251">
        <f>+S20*F20</f>
        <v>1693.7159999999999</v>
      </c>
      <c r="U20" s="252"/>
      <c r="V20" s="251"/>
      <c r="W20" s="251"/>
      <c r="X20" s="251"/>
      <c r="Y20" s="251">
        <v>17</v>
      </c>
      <c r="Z20" s="251">
        <f>+Y20*F20</f>
        <v>1601.3999999999999</v>
      </c>
      <c r="AA20" s="251">
        <v>148</v>
      </c>
      <c r="AB20" s="251">
        <f>+AA20*F20</f>
        <v>13941.599999999999</v>
      </c>
      <c r="AC20" s="163">
        <f t="shared" si="2"/>
        <v>213.0044044672</v>
      </c>
      <c r="AD20" s="163">
        <f t="shared" si="2"/>
        <v>20065.014900810238</v>
      </c>
      <c r="AE20" s="124" t="s">
        <v>725</v>
      </c>
      <c r="AF20" s="124">
        <v>5.5451167728237785</v>
      </c>
      <c r="AG20" s="124">
        <v>522.34999999999991</v>
      </c>
      <c r="AH20" s="124">
        <v>6.3930997876857747</v>
      </c>
      <c r="AI20" s="124">
        <v>602.2299999999999</v>
      </c>
      <c r="AJ20" s="124">
        <v>1.4009554140127389</v>
      </c>
      <c r="AK20" s="124">
        <v>131.97</v>
      </c>
      <c r="AL20" s="124"/>
      <c r="AM20" s="124"/>
      <c r="AN20" s="221">
        <v>0.10360934182590234</v>
      </c>
      <c r="AO20" s="221">
        <v>9.76</v>
      </c>
      <c r="AP20" s="221"/>
      <c r="AQ20" s="221"/>
      <c r="AR20" s="230">
        <v>1.5504000000000002E-2</v>
      </c>
      <c r="AS20" s="230">
        <v>1.4604768000000001</v>
      </c>
      <c r="AT20" s="230">
        <v>16.497272000000002</v>
      </c>
      <c r="AU20" s="230">
        <v>1554.0430223999999</v>
      </c>
      <c r="AV20" s="230">
        <v>3.9278131634819533E-3</v>
      </c>
      <c r="AW20" s="230">
        <v>0.37</v>
      </c>
      <c r="AX20" s="230">
        <v>11.298832271762208</v>
      </c>
      <c r="AY20" s="230">
        <v>1064.3499999999999</v>
      </c>
      <c r="AZ20" s="233">
        <v>3.9278131634819533E-3</v>
      </c>
      <c r="BA20" s="125">
        <v>0.37</v>
      </c>
      <c r="BB20" s="125">
        <v>0.18580608000000001</v>
      </c>
      <c r="BC20" s="125">
        <v>17.502932736000002</v>
      </c>
      <c r="BD20" s="125">
        <v>3.1479830148619961</v>
      </c>
      <c r="BE20" s="125">
        <v>296.54000000000002</v>
      </c>
      <c r="BF20" s="125">
        <v>30.235138004246291</v>
      </c>
      <c r="BG20" s="125">
        <v>2848.1500000000005</v>
      </c>
      <c r="BH20" s="125">
        <v>12.263201280000001</v>
      </c>
      <c r="BI20" s="125">
        <v>1155.193560576</v>
      </c>
      <c r="BJ20" s="125"/>
      <c r="BK20" s="125"/>
      <c r="BL20" s="125">
        <v>8.947692</v>
      </c>
      <c r="BM20" s="125">
        <v>842.87258639999993</v>
      </c>
      <c r="BN20" s="125"/>
      <c r="BO20" s="125"/>
      <c r="BP20" s="244">
        <f t="shared" si="0"/>
        <v>96.042065593545658</v>
      </c>
      <c r="BQ20" s="248">
        <f t="shared" si="3"/>
        <v>192.08413118709132</v>
      </c>
      <c r="BR20" s="105">
        <f t="shared" si="1"/>
        <v>9047.1625789120008</v>
      </c>
      <c r="BS20" s="248">
        <f t="shared" si="4"/>
        <v>18094.325157824002</v>
      </c>
    </row>
    <row r="21" spans="1:71" s="16" customFormat="1" ht="17" hidden="1" x14ac:dyDescent="0.15">
      <c r="A21" s="118" t="s">
        <v>96</v>
      </c>
      <c r="B21" s="162" t="s">
        <v>60</v>
      </c>
      <c r="C21" s="162" t="s">
        <v>135</v>
      </c>
      <c r="D21" s="119" t="s">
        <v>62</v>
      </c>
      <c r="E21" s="117" t="s">
        <v>51</v>
      </c>
      <c r="F21" s="120">
        <v>125.6</v>
      </c>
      <c r="G21" s="120">
        <v>255.024630766879</v>
      </c>
      <c r="H21" s="120">
        <v>32031.093624320001</v>
      </c>
      <c r="I21" s="121">
        <v>34.013661004799999</v>
      </c>
      <c r="J21" s="122">
        <v>4272.1158222028798</v>
      </c>
      <c r="K21" s="120"/>
      <c r="L21" s="123"/>
      <c r="M21" s="251"/>
      <c r="N21" s="251"/>
      <c r="O21" s="251">
        <f t="shared" si="6"/>
        <v>288.17783276657326</v>
      </c>
      <c r="P21" s="229">
        <f t="shared" si="5"/>
        <v>36195.135795481598</v>
      </c>
      <c r="Q21" s="229"/>
      <c r="R21" s="229"/>
      <c r="S21" s="229"/>
      <c r="T21" s="229"/>
      <c r="U21" s="254"/>
      <c r="V21" s="229"/>
      <c r="W21" s="229"/>
      <c r="X21" s="229"/>
      <c r="Y21" s="229"/>
      <c r="Z21" s="229"/>
      <c r="AA21" s="229">
        <v>249</v>
      </c>
      <c r="AB21" s="229">
        <f>+AA21*F21</f>
        <v>31274.399999999998</v>
      </c>
      <c r="AC21" s="163">
        <f t="shared" si="2"/>
        <v>283.01366100479999</v>
      </c>
      <c r="AD21" s="163">
        <f t="shared" si="2"/>
        <v>35546.515822202877</v>
      </c>
      <c r="AE21" s="124" t="s">
        <v>725</v>
      </c>
      <c r="AF21" s="124"/>
      <c r="AG21" s="124"/>
      <c r="AH21" s="124"/>
      <c r="AI21" s="124"/>
      <c r="AJ21" s="124"/>
      <c r="AK21" s="124"/>
      <c r="AL21" s="124"/>
      <c r="AM21" s="124"/>
      <c r="AN21" s="124"/>
      <c r="AO21" s="124"/>
      <c r="AP21" s="124"/>
      <c r="AQ21" s="124"/>
      <c r="AR21" s="124">
        <v>3.7955520000000003</v>
      </c>
      <c r="AS21" s="124">
        <v>476.72133120000001</v>
      </c>
      <c r="AT21" s="124">
        <v>4.9017599999999995</v>
      </c>
      <c r="AU21" s="124">
        <v>615.66105599999992</v>
      </c>
      <c r="AV21" s="124">
        <v>2.4464968152866242</v>
      </c>
      <c r="AW21" s="124">
        <v>307.27999999999997</v>
      </c>
      <c r="AX21" s="124">
        <v>3.2671974522292997</v>
      </c>
      <c r="AY21" s="124">
        <v>410.36</v>
      </c>
      <c r="AZ21" s="233">
        <v>3.3480891719745225</v>
      </c>
      <c r="BA21" s="125">
        <v>420.52</v>
      </c>
      <c r="BB21" s="125">
        <v>5.6670854400000001</v>
      </c>
      <c r="BC21" s="125">
        <v>711.78593126399994</v>
      </c>
      <c r="BD21" s="125">
        <v>1.5211783439490447</v>
      </c>
      <c r="BE21" s="125">
        <v>191.06</v>
      </c>
      <c r="BF21" s="125"/>
      <c r="BG21" s="125"/>
      <c r="BH21" s="125">
        <v>102.56495616000001</v>
      </c>
      <c r="BI21" s="125">
        <v>12882.158493696001</v>
      </c>
      <c r="BJ21" s="125"/>
      <c r="BK21" s="125"/>
      <c r="BL21" s="125"/>
      <c r="BM21" s="125"/>
      <c r="BN21" s="125"/>
      <c r="BO21" s="125"/>
      <c r="BP21" s="244">
        <f t="shared" si="0"/>
        <v>127.5123153834395</v>
      </c>
      <c r="BQ21" s="248">
        <f t="shared" si="3"/>
        <v>255.024630766879</v>
      </c>
      <c r="BR21" s="105">
        <f t="shared" si="1"/>
        <v>16015.546812160001</v>
      </c>
      <c r="BS21" s="248">
        <f t="shared" si="4"/>
        <v>32031.093624320001</v>
      </c>
    </row>
    <row r="22" spans="1:71" s="16" customFormat="1" ht="17" hidden="1" x14ac:dyDescent="0.15">
      <c r="A22" s="118" t="s">
        <v>97</v>
      </c>
      <c r="B22" s="162" t="s">
        <v>60</v>
      </c>
      <c r="C22" s="162" t="s">
        <v>136</v>
      </c>
      <c r="D22" s="119" t="s">
        <v>62</v>
      </c>
      <c r="E22" s="117" t="s">
        <v>51</v>
      </c>
      <c r="F22" s="120">
        <v>157</v>
      </c>
      <c r="G22" s="120">
        <v>81.253986820891726</v>
      </c>
      <c r="H22" s="120">
        <v>12729.764598144</v>
      </c>
      <c r="I22" s="121">
        <v>24</v>
      </c>
      <c r="J22" s="122">
        <v>3768</v>
      </c>
      <c r="K22" s="120"/>
      <c r="L22" s="123"/>
      <c r="M22" s="251"/>
      <c r="N22" s="251"/>
      <c r="O22" s="251">
        <v>24</v>
      </c>
      <c r="P22" s="229">
        <f t="shared" si="5"/>
        <v>3768</v>
      </c>
      <c r="Q22" s="229"/>
      <c r="R22" s="229"/>
      <c r="S22" s="229"/>
      <c r="T22" s="229"/>
      <c r="U22" s="254"/>
      <c r="V22" s="229"/>
      <c r="W22" s="229"/>
      <c r="X22" s="229"/>
      <c r="Y22" s="229"/>
      <c r="Z22" s="229"/>
      <c r="AA22" s="229">
        <v>67</v>
      </c>
      <c r="AB22" s="229">
        <f>+AA22*F22</f>
        <v>10519</v>
      </c>
      <c r="AC22" s="163">
        <f t="shared" si="2"/>
        <v>91</v>
      </c>
      <c r="AD22" s="163">
        <f t="shared" si="2"/>
        <v>14287</v>
      </c>
      <c r="AE22" s="124" t="s">
        <v>725</v>
      </c>
      <c r="AF22" s="124">
        <v>3.3355414012738853</v>
      </c>
      <c r="AG22" s="124">
        <v>523.67999999999995</v>
      </c>
      <c r="AH22" s="124"/>
      <c r="AI22" s="124"/>
      <c r="AJ22" s="124"/>
      <c r="AK22" s="124"/>
      <c r="AL22" s="124"/>
      <c r="AM22" s="124"/>
      <c r="AN22" s="124"/>
      <c r="AO22" s="124"/>
      <c r="AP22" s="124"/>
      <c r="AQ22" s="124"/>
      <c r="AR22" s="124">
        <v>2.4036800000000005</v>
      </c>
      <c r="AS22" s="124">
        <v>377.37776000000002</v>
      </c>
      <c r="AT22" s="124">
        <v>2.658528</v>
      </c>
      <c r="AU22" s="124">
        <v>417.38889599999999</v>
      </c>
      <c r="AV22" s="124">
        <v>1.3014012738853502</v>
      </c>
      <c r="AW22" s="124">
        <v>204.32</v>
      </c>
      <c r="AX22" s="124">
        <v>1.5667515923566879</v>
      </c>
      <c r="AY22" s="124">
        <v>245.98</v>
      </c>
      <c r="AZ22" s="233">
        <v>1.5667515923566879</v>
      </c>
      <c r="BA22" s="125">
        <v>245.98</v>
      </c>
      <c r="BB22" s="125">
        <v>3.0658003200000001</v>
      </c>
      <c r="BC22" s="125">
        <v>481.33065024000001</v>
      </c>
      <c r="BD22" s="125">
        <v>1.0476433121019109</v>
      </c>
      <c r="BE22" s="125">
        <v>164.48</v>
      </c>
      <c r="BF22" s="125">
        <v>21.675350318471338</v>
      </c>
      <c r="BG22" s="125">
        <v>3403.03</v>
      </c>
      <c r="BH22" s="125">
        <v>0.27870911999999998</v>
      </c>
      <c r="BI22" s="125">
        <v>43.757331839999999</v>
      </c>
      <c r="BJ22" s="125"/>
      <c r="BK22" s="125"/>
      <c r="BL22" s="125">
        <v>0.6120000000000001</v>
      </c>
      <c r="BM22" s="125">
        <v>91.279800000000009</v>
      </c>
      <c r="BN22" s="125">
        <v>1.1148364800000001</v>
      </c>
      <c r="BO22" s="125">
        <v>166.277860992</v>
      </c>
      <c r="BP22" s="244">
        <f t="shared" si="0"/>
        <v>40.626993410445863</v>
      </c>
      <c r="BQ22" s="248">
        <f t="shared" si="3"/>
        <v>81.253986820891726</v>
      </c>
      <c r="BR22" s="105">
        <f t="shared" si="1"/>
        <v>6364.882299072</v>
      </c>
      <c r="BS22" s="248">
        <f t="shared" si="4"/>
        <v>12729.764598144</v>
      </c>
    </row>
    <row r="23" spans="1:71" s="16" customFormat="1" ht="17" hidden="1" x14ac:dyDescent="0.15">
      <c r="A23" s="118" t="s">
        <v>98</v>
      </c>
      <c r="B23" s="162" t="s">
        <v>60</v>
      </c>
      <c r="C23" s="162" t="s">
        <v>137</v>
      </c>
      <c r="D23" s="119" t="s">
        <v>62</v>
      </c>
      <c r="E23" s="117" t="s">
        <v>51</v>
      </c>
      <c r="F23" s="120">
        <v>219.8</v>
      </c>
      <c r="G23" s="120">
        <v>5.1387721157241133</v>
      </c>
      <c r="H23" s="120">
        <v>1129.5021110361599</v>
      </c>
      <c r="I23" s="121">
        <v>12</v>
      </c>
      <c r="J23" s="122">
        <v>2637.6000000000004</v>
      </c>
      <c r="K23" s="120"/>
      <c r="L23" s="123"/>
      <c r="M23" s="251"/>
      <c r="N23" s="251"/>
      <c r="O23" s="251">
        <v>12</v>
      </c>
      <c r="P23" s="229">
        <f t="shared" si="5"/>
        <v>2637.6000000000004</v>
      </c>
      <c r="Q23" s="229"/>
      <c r="R23" s="229"/>
      <c r="S23" s="229"/>
      <c r="T23" s="229"/>
      <c r="U23" s="254"/>
      <c r="V23" s="229"/>
      <c r="W23" s="229"/>
      <c r="X23" s="229"/>
      <c r="Y23" s="229"/>
      <c r="Z23" s="229"/>
      <c r="AA23" s="229"/>
      <c r="AB23" s="229"/>
      <c r="AC23" s="163">
        <f t="shared" si="2"/>
        <v>12</v>
      </c>
      <c r="AD23" s="163">
        <f t="shared" si="2"/>
        <v>2637.6000000000004</v>
      </c>
      <c r="AE23" s="124" t="s">
        <v>122</v>
      </c>
      <c r="AF23" s="124"/>
      <c r="AG23" s="124"/>
      <c r="AH23" s="124"/>
      <c r="AI23" s="124"/>
      <c r="AJ23" s="124"/>
      <c r="AK23" s="124"/>
      <c r="AL23" s="124"/>
      <c r="AM23" s="124"/>
      <c r="AN23" s="124"/>
      <c r="AO23" s="124"/>
      <c r="AP23" s="124"/>
      <c r="AQ23" s="124"/>
      <c r="AR23" s="124">
        <v>0.40642064960000002</v>
      </c>
      <c r="AS23" s="124">
        <v>89.331258782079999</v>
      </c>
      <c r="AT23" s="124">
        <v>0.69529600000000003</v>
      </c>
      <c r="AU23" s="124">
        <v>152.82606079999999</v>
      </c>
      <c r="AV23" s="221">
        <v>0.18839854413102822</v>
      </c>
      <c r="AW23" s="221">
        <v>41.41</v>
      </c>
      <c r="AX23" s="221">
        <v>0.18839854413102822</v>
      </c>
      <c r="AY23" s="221">
        <v>41.41</v>
      </c>
      <c r="AZ23" s="233">
        <v>0.34764800000000001</v>
      </c>
      <c r="BA23" s="125">
        <v>76.413030399999997</v>
      </c>
      <c r="BB23" s="125">
        <v>0.74322431999999994</v>
      </c>
      <c r="BC23" s="125">
        <v>163.36070553599998</v>
      </c>
      <c r="BD23" s="125"/>
      <c r="BE23" s="125"/>
      <c r="BF23" s="125"/>
      <c r="BG23" s="125"/>
      <c r="BH23" s="125"/>
      <c r="BI23" s="125"/>
      <c r="BJ23" s="125"/>
      <c r="BK23" s="125"/>
      <c r="BL23" s="125"/>
      <c r="BM23" s="125"/>
      <c r="BN23" s="125"/>
      <c r="BO23" s="125"/>
      <c r="BP23" s="244">
        <f t="shared" si="0"/>
        <v>2.5693860578620566</v>
      </c>
      <c r="BQ23" s="248">
        <f t="shared" si="3"/>
        <v>5.1387721157241133</v>
      </c>
      <c r="BR23" s="105">
        <f t="shared" si="1"/>
        <v>564.75105551807997</v>
      </c>
      <c r="BS23" s="248">
        <f t="shared" si="4"/>
        <v>1129.5021110361599</v>
      </c>
    </row>
    <row r="24" spans="1:71" s="16" customFormat="1" ht="17" hidden="1" x14ac:dyDescent="0.15">
      <c r="A24" s="118" t="s">
        <v>99</v>
      </c>
      <c r="B24" s="162" t="s">
        <v>60</v>
      </c>
      <c r="C24" s="162" t="s">
        <v>138</v>
      </c>
      <c r="D24" s="119" t="s">
        <v>62</v>
      </c>
      <c r="E24" s="117" t="s">
        <v>51</v>
      </c>
      <c r="F24" s="120">
        <v>392.5</v>
      </c>
      <c r="G24" s="120">
        <v>20.385931617834398</v>
      </c>
      <c r="H24" s="120">
        <v>8001.4781600000006</v>
      </c>
      <c r="I24" s="121">
        <v>18</v>
      </c>
      <c r="J24" s="122">
        <v>7065</v>
      </c>
      <c r="K24" s="120"/>
      <c r="L24" s="123"/>
      <c r="M24" s="251"/>
      <c r="N24" s="251"/>
      <c r="O24" s="251">
        <v>18</v>
      </c>
      <c r="P24" s="229">
        <f t="shared" si="5"/>
        <v>7065</v>
      </c>
      <c r="Q24" s="229"/>
      <c r="R24" s="229"/>
      <c r="S24" s="229"/>
      <c r="T24" s="229"/>
      <c r="U24" s="254"/>
      <c r="V24" s="229"/>
      <c r="W24" s="229"/>
      <c r="X24" s="229"/>
      <c r="Y24" s="229"/>
      <c r="Z24" s="229"/>
      <c r="AA24" s="229">
        <v>5</v>
      </c>
      <c r="AB24" s="229"/>
      <c r="AC24" s="163">
        <f t="shared" si="2"/>
        <v>23</v>
      </c>
      <c r="AD24" s="163">
        <f t="shared" si="2"/>
        <v>7065</v>
      </c>
      <c r="AE24" s="124" t="s">
        <v>725</v>
      </c>
      <c r="AF24" s="124"/>
      <c r="AG24" s="124"/>
      <c r="AH24" s="124"/>
      <c r="AI24" s="124"/>
      <c r="AJ24" s="124"/>
      <c r="AK24" s="124"/>
      <c r="AL24" s="124"/>
      <c r="AM24" s="124"/>
      <c r="AN24" s="124"/>
      <c r="AO24" s="124"/>
      <c r="AP24" s="124"/>
      <c r="AQ24" s="124"/>
      <c r="AR24" s="124">
        <v>2.0784000000000002</v>
      </c>
      <c r="AS24" s="124">
        <v>815.77200000000005</v>
      </c>
      <c r="AT24" s="124">
        <v>2.3168000000000002</v>
      </c>
      <c r="AU24" s="124">
        <v>909.34400000000005</v>
      </c>
      <c r="AV24" s="124">
        <v>1.1583949044585988</v>
      </c>
      <c r="AW24" s="124">
        <v>454.67</v>
      </c>
      <c r="AX24" s="124">
        <v>1.1583949044585988</v>
      </c>
      <c r="AY24" s="124">
        <v>454.67</v>
      </c>
      <c r="AZ24" s="233">
        <v>1.1584000000000001</v>
      </c>
      <c r="BA24" s="125">
        <v>454.67200000000003</v>
      </c>
      <c r="BB24" s="125">
        <v>2.3225760000000002</v>
      </c>
      <c r="BC24" s="125">
        <v>911.61108000000002</v>
      </c>
      <c r="BD24" s="125"/>
      <c r="BE24" s="125"/>
      <c r="BF24" s="125"/>
      <c r="BG24" s="125"/>
      <c r="BH24" s="125"/>
      <c r="BI24" s="125"/>
      <c r="BJ24" s="125"/>
      <c r="BK24" s="125"/>
      <c r="BL24" s="125"/>
      <c r="BM24" s="125"/>
      <c r="BN24" s="125"/>
      <c r="BO24" s="125"/>
      <c r="BP24" s="244">
        <f t="shared" si="0"/>
        <v>10.192965808917199</v>
      </c>
      <c r="BQ24" s="248">
        <f t="shared" si="3"/>
        <v>20.385931617834398</v>
      </c>
      <c r="BR24" s="105">
        <f t="shared" si="1"/>
        <v>4000.7390800000003</v>
      </c>
      <c r="BS24" s="248">
        <f t="shared" si="4"/>
        <v>8001.4781600000006</v>
      </c>
    </row>
    <row r="25" spans="1:71" s="16" customFormat="1" ht="17" hidden="1" x14ac:dyDescent="0.15">
      <c r="A25" s="118" t="s">
        <v>100</v>
      </c>
      <c r="B25" s="162" t="s">
        <v>60</v>
      </c>
      <c r="C25" s="162" t="s">
        <v>134</v>
      </c>
      <c r="D25" s="119" t="s">
        <v>81</v>
      </c>
      <c r="E25" s="117" t="s">
        <v>51</v>
      </c>
      <c r="F25" s="120">
        <v>94.199999999999989</v>
      </c>
      <c r="G25" s="120">
        <v>108.4273261044586</v>
      </c>
      <c r="H25" s="120">
        <v>10213.854119039999</v>
      </c>
      <c r="I25" s="121">
        <v>134.0438518688</v>
      </c>
      <c r="J25" s="122">
        <v>12626.38392604096</v>
      </c>
      <c r="K25" s="120"/>
      <c r="L25" s="123"/>
      <c r="M25" s="251"/>
      <c r="N25" s="251"/>
      <c r="O25" s="251">
        <f t="shared" si="6"/>
        <v>122.52287849803821</v>
      </c>
      <c r="P25" s="229">
        <f t="shared" si="5"/>
        <v>11541.655154515198</v>
      </c>
      <c r="Q25" s="229"/>
      <c r="R25" s="229"/>
      <c r="S25" s="229"/>
      <c r="T25" s="229"/>
      <c r="U25" s="254"/>
      <c r="V25" s="229"/>
      <c r="W25" s="229"/>
      <c r="X25" s="229"/>
      <c r="Y25" s="229"/>
      <c r="Z25" s="229"/>
      <c r="AA25" s="229"/>
      <c r="AB25" s="229"/>
      <c r="AC25" s="163">
        <f t="shared" si="2"/>
        <v>134.0438518688</v>
      </c>
      <c r="AD25" s="163">
        <f t="shared" si="2"/>
        <v>12626.38392604096</v>
      </c>
      <c r="AE25" s="124" t="s">
        <v>122</v>
      </c>
      <c r="AF25" s="124">
        <v>43.992887473460726</v>
      </c>
      <c r="AG25" s="124">
        <v>4144.13</v>
      </c>
      <c r="AH25" s="124"/>
      <c r="AI25" s="124"/>
      <c r="AJ25" s="124"/>
      <c r="AK25" s="124"/>
      <c r="AL25" s="124"/>
      <c r="AM25" s="124"/>
      <c r="AN25" s="124"/>
      <c r="AO25" s="124"/>
      <c r="AP25" s="124">
        <v>5.0669519999999997</v>
      </c>
      <c r="AQ25" s="124">
        <v>477.30687839999996</v>
      </c>
      <c r="AR25" s="124">
        <v>0.75240000000000007</v>
      </c>
      <c r="AS25" s="124">
        <v>70.876080000000002</v>
      </c>
      <c r="AT25" s="124">
        <v>0.83356799999999986</v>
      </c>
      <c r="AU25" s="124">
        <v>78.522105599999989</v>
      </c>
      <c r="AV25" s="221">
        <v>0.41677282377919322</v>
      </c>
      <c r="AW25" s="221">
        <v>39.26</v>
      </c>
      <c r="AX25" s="221">
        <v>0.87876857749469217</v>
      </c>
      <c r="AY25" s="221">
        <v>82.78</v>
      </c>
      <c r="AZ25" s="233">
        <v>0.87876857749469217</v>
      </c>
      <c r="BA25" s="125">
        <v>82.78</v>
      </c>
      <c r="BB25" s="125">
        <v>1.3935455999999999</v>
      </c>
      <c r="BC25" s="125">
        <v>131.27199551999999</v>
      </c>
      <c r="BD25" s="125"/>
      <c r="BE25" s="125"/>
      <c r="BF25" s="125"/>
      <c r="BG25" s="125"/>
      <c r="BH25" s="125"/>
      <c r="BI25" s="125"/>
      <c r="BJ25" s="125"/>
      <c r="BK25" s="125"/>
      <c r="BL25" s="125"/>
      <c r="BM25" s="125"/>
      <c r="BN25" s="125"/>
      <c r="BO25" s="125"/>
      <c r="BP25" s="244">
        <f t="shared" si="0"/>
        <v>54.2136630522293</v>
      </c>
      <c r="BQ25" s="248">
        <f t="shared" si="3"/>
        <v>108.4273261044586</v>
      </c>
      <c r="BR25" s="105">
        <f t="shared" si="1"/>
        <v>5106.9270595199996</v>
      </c>
      <c r="BS25" s="248">
        <f t="shared" si="4"/>
        <v>10213.854119039999</v>
      </c>
    </row>
    <row r="26" spans="1:71" s="16" customFormat="1" ht="17" x14ac:dyDescent="0.15">
      <c r="A26" s="118" t="s">
        <v>101</v>
      </c>
      <c r="B26" s="162" t="s">
        <v>60</v>
      </c>
      <c r="C26" s="162" t="s">
        <v>583</v>
      </c>
      <c r="D26" s="119" t="s">
        <v>81</v>
      </c>
      <c r="E26" s="117" t="s">
        <v>51</v>
      </c>
      <c r="F26" s="120">
        <f>20*7.85</f>
        <v>157</v>
      </c>
      <c r="G26" s="120">
        <v>716.04068446165616</v>
      </c>
      <c r="H26" s="120">
        <v>112406.718838656</v>
      </c>
      <c r="I26" s="121">
        <v>811.49093328640004</v>
      </c>
      <c r="J26" s="122">
        <v>121035.50780966655</v>
      </c>
      <c r="K26" s="120"/>
      <c r="L26" s="123"/>
      <c r="M26" s="251"/>
      <c r="N26" s="251"/>
      <c r="O26" s="251">
        <f t="shared" si="6"/>
        <v>809.12597344167136</v>
      </c>
      <c r="P26" s="229">
        <f t="shared" si="5"/>
        <v>127032.7778303424</v>
      </c>
      <c r="Q26" s="229"/>
      <c r="R26" s="229"/>
      <c r="S26" s="229"/>
      <c r="T26" s="229"/>
      <c r="U26" s="254"/>
      <c r="V26" s="229"/>
      <c r="W26" s="229"/>
      <c r="X26" s="229"/>
      <c r="Y26" s="229"/>
      <c r="Z26" s="229"/>
      <c r="AA26" s="229"/>
      <c r="AB26" s="229"/>
      <c r="AC26" s="163">
        <f t="shared" si="2"/>
        <v>811.49093328640004</v>
      </c>
      <c r="AD26" s="163">
        <f t="shared" si="2"/>
        <v>121035.50780966655</v>
      </c>
      <c r="AE26" s="124" t="s">
        <v>122</v>
      </c>
      <c r="AF26" s="124">
        <v>142.20617834394903</v>
      </c>
      <c r="AG26" s="124">
        <v>22326.37</v>
      </c>
      <c r="AH26" s="124">
        <v>140.93783439490446</v>
      </c>
      <c r="AI26" s="124">
        <v>22127.239999999998</v>
      </c>
      <c r="AJ26" s="124">
        <v>71.36477707006371</v>
      </c>
      <c r="AK26" s="124">
        <v>11204.27</v>
      </c>
      <c r="AL26" s="124"/>
      <c r="AM26" s="124"/>
      <c r="AN26" s="124"/>
      <c r="AO26" s="124"/>
      <c r="AP26" s="124"/>
      <c r="AQ26" s="124"/>
      <c r="AR26" s="124">
        <v>0.74434400000000001</v>
      </c>
      <c r="AS26" s="124">
        <v>116.862008</v>
      </c>
      <c r="AT26" s="124">
        <v>1.3806720000000001</v>
      </c>
      <c r="AU26" s="124">
        <v>216.76550399999999</v>
      </c>
      <c r="AV26" s="124">
        <v>0.64331210191082799</v>
      </c>
      <c r="AW26" s="124">
        <v>101</v>
      </c>
      <c r="AX26" s="124"/>
      <c r="AY26" s="124"/>
      <c r="AZ26" s="233"/>
      <c r="BA26" s="125"/>
      <c r="BB26" s="125">
        <v>0.74322432000000005</v>
      </c>
      <c r="BC26" s="125">
        <v>110.85190732800001</v>
      </c>
      <c r="BD26" s="125"/>
      <c r="BE26" s="125"/>
      <c r="BF26" s="125"/>
      <c r="BG26" s="125"/>
      <c r="BH26" s="125"/>
      <c r="BI26" s="125"/>
      <c r="BJ26" s="125"/>
      <c r="BK26" s="125"/>
      <c r="BL26" s="125"/>
      <c r="BM26" s="125"/>
      <c r="BN26" s="125"/>
      <c r="BO26" s="125"/>
      <c r="BP26" s="244">
        <f t="shared" si="0"/>
        <v>358.02034223082808</v>
      </c>
      <c r="BQ26" s="248">
        <f t="shared" si="3"/>
        <v>716.04068446165616</v>
      </c>
      <c r="BR26" s="105">
        <f t="shared" si="1"/>
        <v>56203.359419328001</v>
      </c>
      <c r="BS26" s="248">
        <f t="shared" si="4"/>
        <v>112406.718838656</v>
      </c>
    </row>
    <row r="27" spans="1:71" s="16" customFormat="1" ht="17" hidden="1" x14ac:dyDescent="0.15">
      <c r="A27" s="118" t="s">
        <v>102</v>
      </c>
      <c r="B27" s="162" t="s">
        <v>60</v>
      </c>
      <c r="C27" s="162" t="s">
        <v>137</v>
      </c>
      <c r="D27" s="119" t="s">
        <v>81</v>
      </c>
      <c r="E27" s="117" t="s">
        <v>51</v>
      </c>
      <c r="F27" s="120">
        <v>219.8</v>
      </c>
      <c r="G27" s="120">
        <v>4.971253810081893</v>
      </c>
      <c r="H27" s="120">
        <v>1092.681587456</v>
      </c>
      <c r="I27" s="121">
        <v>12</v>
      </c>
      <c r="J27" s="122">
        <v>2637.6000000000004</v>
      </c>
      <c r="K27" s="120"/>
      <c r="L27" s="123"/>
      <c r="M27" s="251"/>
      <c r="N27" s="251"/>
      <c r="O27" s="251">
        <v>12</v>
      </c>
      <c r="P27" s="229">
        <f t="shared" si="5"/>
        <v>2637.6000000000004</v>
      </c>
      <c r="Q27" s="229"/>
      <c r="R27" s="229"/>
      <c r="S27" s="229"/>
      <c r="T27" s="229"/>
      <c r="U27" s="254"/>
      <c r="V27" s="229"/>
      <c r="W27" s="229"/>
      <c r="X27" s="229"/>
      <c r="Y27" s="229"/>
      <c r="Z27" s="229"/>
      <c r="AA27" s="229"/>
      <c r="AB27" s="229"/>
      <c r="AC27" s="163">
        <f t="shared" si="2"/>
        <v>12</v>
      </c>
      <c r="AD27" s="163">
        <f t="shared" si="2"/>
        <v>2637.6000000000004</v>
      </c>
      <c r="AE27" s="124" t="s">
        <v>122</v>
      </c>
      <c r="AF27" s="124"/>
      <c r="AG27" s="124"/>
      <c r="AH27" s="124"/>
      <c r="AI27" s="124"/>
      <c r="AJ27" s="124"/>
      <c r="AK27" s="124"/>
      <c r="AL27" s="124"/>
      <c r="AM27" s="124"/>
      <c r="AN27" s="124"/>
      <c r="AO27" s="124"/>
      <c r="AP27" s="124"/>
      <c r="AQ27" s="124"/>
      <c r="AR27" s="124"/>
      <c r="AS27" s="124"/>
      <c r="AT27" s="124"/>
      <c r="AU27" s="124"/>
      <c r="AV27" s="124"/>
      <c r="AW27" s="124"/>
      <c r="AX27" s="124">
        <v>0.82474977252047321</v>
      </c>
      <c r="AY27" s="124">
        <v>181.28</v>
      </c>
      <c r="AZ27" s="233">
        <v>0.82474977252047321</v>
      </c>
      <c r="BA27" s="125">
        <v>181.28</v>
      </c>
      <c r="BB27" s="125">
        <v>0.83612736000000021</v>
      </c>
      <c r="BC27" s="125">
        <v>183.78079372800002</v>
      </c>
      <c r="BD27" s="125"/>
      <c r="BE27" s="125"/>
      <c r="BF27" s="125"/>
      <c r="BG27" s="125"/>
      <c r="BH27" s="125"/>
      <c r="BI27" s="125"/>
      <c r="BJ27" s="125"/>
      <c r="BK27" s="125"/>
      <c r="BL27" s="125"/>
      <c r="BM27" s="125"/>
      <c r="BN27" s="125"/>
      <c r="BO27" s="125"/>
      <c r="BP27" s="244">
        <f t="shared" si="0"/>
        <v>2.4856269050409465</v>
      </c>
      <c r="BQ27" s="248">
        <f t="shared" si="3"/>
        <v>4.971253810081893</v>
      </c>
      <c r="BR27" s="105">
        <f t="shared" si="1"/>
        <v>546.34079372799999</v>
      </c>
      <c r="BS27" s="248">
        <f t="shared" si="4"/>
        <v>1092.681587456</v>
      </c>
    </row>
    <row r="28" spans="1:71" s="16" customFormat="1" ht="17" x14ac:dyDescent="0.15">
      <c r="A28" s="118" t="s">
        <v>103</v>
      </c>
      <c r="B28" s="162" t="s">
        <v>60</v>
      </c>
      <c r="C28" s="162" t="s">
        <v>139</v>
      </c>
      <c r="D28" s="119" t="s">
        <v>81</v>
      </c>
      <c r="E28" s="117" t="s">
        <v>51</v>
      </c>
      <c r="F28" s="120">
        <v>251.2</v>
      </c>
      <c r="G28" s="120">
        <v>740.88726489171972</v>
      </c>
      <c r="H28" s="120">
        <v>186110.88094080001</v>
      </c>
      <c r="I28" s="121">
        <v>842.66911440000013</v>
      </c>
      <c r="J28" s="122">
        <v>211678.48153728002</v>
      </c>
      <c r="K28" s="120"/>
      <c r="L28" s="123"/>
      <c r="M28" s="251"/>
      <c r="N28" s="251"/>
      <c r="O28" s="251">
        <f t="shared" si="6"/>
        <v>837.20260932764324</v>
      </c>
      <c r="P28" s="229">
        <f t="shared" si="5"/>
        <v>210305.29546310398</v>
      </c>
      <c r="Q28" s="229"/>
      <c r="R28" s="229"/>
      <c r="S28" s="229"/>
      <c r="T28" s="229"/>
      <c r="U28" s="254"/>
      <c r="V28" s="229"/>
      <c r="W28" s="229"/>
      <c r="X28" s="229"/>
      <c r="Y28" s="229"/>
      <c r="Z28" s="229"/>
      <c r="AA28" s="229"/>
      <c r="AB28" s="229"/>
      <c r="AC28" s="163">
        <f t="shared" si="2"/>
        <v>842.66911440000013</v>
      </c>
      <c r="AD28" s="163">
        <f t="shared" si="2"/>
        <v>211678.48153728002</v>
      </c>
      <c r="AE28" s="124" t="s">
        <v>122</v>
      </c>
      <c r="AF28" s="124">
        <v>13.971019108280256</v>
      </c>
      <c r="AG28" s="124">
        <v>3509.52</v>
      </c>
      <c r="AH28" s="124">
        <v>134.49251592356691</v>
      </c>
      <c r="AI28" s="124">
        <v>33784.520000000004</v>
      </c>
      <c r="AJ28" s="124">
        <v>68.122730891719755</v>
      </c>
      <c r="AK28" s="124">
        <v>17112.43</v>
      </c>
      <c r="AL28" s="124"/>
      <c r="AM28" s="124"/>
      <c r="AN28" s="124"/>
      <c r="AO28" s="124"/>
      <c r="AP28" s="124">
        <v>23.166</v>
      </c>
      <c r="AQ28" s="124">
        <v>5819.2991999999995</v>
      </c>
      <c r="AR28" s="124">
        <v>118.24</v>
      </c>
      <c r="AS28" s="124">
        <v>29701.887999999999</v>
      </c>
      <c r="AT28" s="124"/>
      <c r="AU28" s="124"/>
      <c r="AV28" s="124"/>
      <c r="AW28" s="124"/>
      <c r="AX28" s="124">
        <v>4.1096337579617837</v>
      </c>
      <c r="AY28" s="124">
        <v>1032.3399999999999</v>
      </c>
      <c r="AZ28" s="233">
        <v>4.0623407643312106</v>
      </c>
      <c r="BA28" s="125">
        <v>1020.46</v>
      </c>
      <c r="BB28" s="125">
        <v>4.2793919999999996</v>
      </c>
      <c r="BC28" s="125">
        <v>1074.9832703999998</v>
      </c>
      <c r="BD28" s="125"/>
      <c r="BE28" s="125"/>
      <c r="BF28" s="125"/>
      <c r="BG28" s="125"/>
      <c r="BH28" s="125"/>
      <c r="BI28" s="125"/>
      <c r="BJ28" s="125"/>
      <c r="BK28" s="125"/>
      <c r="BL28" s="125"/>
      <c r="BM28" s="125"/>
      <c r="BN28" s="125"/>
      <c r="BO28" s="125"/>
      <c r="BP28" s="244">
        <f t="shared" si="0"/>
        <v>370.44363244585986</v>
      </c>
      <c r="BQ28" s="248">
        <f t="shared" si="3"/>
        <v>740.88726489171972</v>
      </c>
      <c r="BR28" s="105">
        <f t="shared" si="1"/>
        <v>93055.440470400004</v>
      </c>
      <c r="BS28" s="248">
        <f t="shared" si="4"/>
        <v>186110.88094080001</v>
      </c>
    </row>
    <row r="29" spans="1:71" s="16" customFormat="1" ht="17" hidden="1" x14ac:dyDescent="0.15">
      <c r="A29" s="118" t="s">
        <v>104</v>
      </c>
      <c r="B29" s="162" t="s">
        <v>60</v>
      </c>
      <c r="C29" s="162" t="s">
        <v>140</v>
      </c>
      <c r="D29" s="119" t="s">
        <v>81</v>
      </c>
      <c r="E29" s="117" t="s">
        <v>51</v>
      </c>
      <c r="F29" s="120">
        <v>298.2997915780698</v>
      </c>
      <c r="G29" s="120">
        <v>970.34496214549119</v>
      </c>
      <c r="H29" s="120">
        <v>289453.90220799996</v>
      </c>
      <c r="I29" s="121">
        <v>1063.9955200000002</v>
      </c>
      <c r="J29" s="122">
        <v>317389.64185600006</v>
      </c>
      <c r="K29" s="120"/>
      <c r="L29" s="123"/>
      <c r="M29" s="251"/>
      <c r="N29" s="251"/>
      <c r="O29" s="251">
        <f>+G29*1.12</f>
        <v>1086.7863576029501</v>
      </c>
      <c r="P29" s="229">
        <f t="shared" si="5"/>
        <v>324188.14396284969</v>
      </c>
      <c r="Q29" s="229"/>
      <c r="R29" s="229"/>
      <c r="S29" s="229"/>
      <c r="T29" s="229"/>
      <c r="U29" s="254"/>
      <c r="V29" s="229"/>
      <c r="W29" s="229"/>
      <c r="X29" s="229"/>
      <c r="Y29" s="229"/>
      <c r="Z29" s="229"/>
      <c r="AA29" s="229">
        <v>24</v>
      </c>
      <c r="AB29" s="229">
        <f>+AA29*F29</f>
        <v>7159.1949978736757</v>
      </c>
      <c r="AC29" s="163">
        <f t="shared" si="2"/>
        <v>1087.9955200000002</v>
      </c>
      <c r="AD29" s="163">
        <f t="shared" si="2"/>
        <v>324548.83685387374</v>
      </c>
      <c r="AE29" s="124" t="s">
        <v>725</v>
      </c>
      <c r="AF29" s="124"/>
      <c r="AG29" s="124"/>
      <c r="AH29" s="124"/>
      <c r="AI29" s="124"/>
      <c r="AJ29" s="124"/>
      <c r="AK29" s="124"/>
      <c r="AL29" s="124"/>
      <c r="AM29" s="124"/>
      <c r="AN29" s="124"/>
      <c r="AO29" s="124"/>
      <c r="AP29" s="124">
        <v>34.320000000000007</v>
      </c>
      <c r="AQ29" s="124">
        <v>10237.656000000001</v>
      </c>
      <c r="AR29" s="124">
        <v>6.7968000000000002</v>
      </c>
      <c r="AS29" s="124">
        <v>2027.4854399999999</v>
      </c>
      <c r="AT29" s="124">
        <v>130.91200000000001</v>
      </c>
      <c r="AU29" s="124">
        <v>39051.049600000006</v>
      </c>
      <c r="AV29" s="124">
        <v>64.3312437143815</v>
      </c>
      <c r="AW29" s="124">
        <v>19190.009999999998</v>
      </c>
      <c r="AX29" s="124">
        <v>61.223700972175656</v>
      </c>
      <c r="AY29" s="124">
        <v>18263.03</v>
      </c>
      <c r="AZ29" s="233">
        <v>61.215176131411333</v>
      </c>
      <c r="BA29" s="125">
        <v>18260.48704</v>
      </c>
      <c r="BB29" s="125">
        <v>126.06528000000002</v>
      </c>
      <c r="BC29" s="125">
        <v>37605.273024000002</v>
      </c>
      <c r="BD29" s="235">
        <v>0.30828025477707005</v>
      </c>
      <c r="BE29" s="235">
        <v>91.96</v>
      </c>
      <c r="BF29" s="235"/>
      <c r="BG29" s="235"/>
      <c r="BH29" s="235"/>
      <c r="BI29" s="235"/>
      <c r="BJ29" s="235"/>
      <c r="BK29" s="235"/>
      <c r="BL29" s="235"/>
      <c r="BM29" s="235"/>
      <c r="BN29" s="235"/>
      <c r="BO29" s="235"/>
      <c r="BP29" s="244">
        <f t="shared" si="0"/>
        <v>485.1724810727456</v>
      </c>
      <c r="BQ29" s="248">
        <f t="shared" si="3"/>
        <v>970.34496214549119</v>
      </c>
      <c r="BR29" s="105">
        <f t="shared" si="1"/>
        <v>144726.95110399998</v>
      </c>
      <c r="BS29" s="248">
        <f t="shared" si="4"/>
        <v>289453.90220799996</v>
      </c>
    </row>
    <row r="30" spans="1:71" s="16" customFormat="1" ht="17" hidden="1" x14ac:dyDescent="0.15">
      <c r="A30" s="118" t="s">
        <v>105</v>
      </c>
      <c r="B30" s="162" t="s">
        <v>60</v>
      </c>
      <c r="C30" s="162" t="s">
        <v>141</v>
      </c>
      <c r="D30" s="119" t="s">
        <v>81</v>
      </c>
      <c r="E30" s="117" t="s">
        <v>51</v>
      </c>
      <c r="F30" s="120">
        <v>392.49999999999994</v>
      </c>
      <c r="G30" s="120">
        <v>9.3468534461146504</v>
      </c>
      <c r="H30" s="120">
        <v>3668.6399776000003</v>
      </c>
      <c r="I30" s="121">
        <v>6</v>
      </c>
      <c r="J30" s="122">
        <v>2354.9999999999995</v>
      </c>
      <c r="K30" s="120"/>
      <c r="L30" s="123"/>
      <c r="M30" s="251"/>
      <c r="N30" s="251"/>
      <c r="O30" s="251">
        <v>6</v>
      </c>
      <c r="P30" s="229">
        <f t="shared" si="5"/>
        <v>2354.9999999999995</v>
      </c>
      <c r="Q30" s="229"/>
      <c r="R30" s="229"/>
      <c r="S30" s="229"/>
      <c r="T30" s="229"/>
      <c r="U30" s="254"/>
      <c r="V30" s="229"/>
      <c r="W30" s="229"/>
      <c r="X30" s="229"/>
      <c r="Y30" s="229"/>
      <c r="Z30" s="229"/>
      <c r="AA30" s="229">
        <v>6</v>
      </c>
      <c r="AB30" s="229">
        <f>+AA30*F30</f>
        <v>2354.9999999999995</v>
      </c>
      <c r="AC30" s="163">
        <f t="shared" si="2"/>
        <v>12</v>
      </c>
      <c r="AD30" s="163">
        <f t="shared" si="2"/>
        <v>4709.9999999999991</v>
      </c>
      <c r="AE30" s="124" t="s">
        <v>725</v>
      </c>
      <c r="AF30" s="124"/>
      <c r="AG30" s="124"/>
      <c r="AH30" s="124"/>
      <c r="AI30" s="124"/>
      <c r="AJ30" s="124"/>
      <c r="AK30" s="124"/>
      <c r="AL30" s="124"/>
      <c r="AM30" s="124"/>
      <c r="AN30" s="124"/>
      <c r="AO30" s="124"/>
      <c r="AP30" s="124"/>
      <c r="AQ30" s="124"/>
      <c r="AR30" s="124">
        <v>1.4400000000000002</v>
      </c>
      <c r="AS30" s="124">
        <v>565.20000000000005</v>
      </c>
      <c r="AT30" s="124">
        <v>1.6</v>
      </c>
      <c r="AU30" s="124">
        <v>628</v>
      </c>
      <c r="AV30" s="124">
        <v>0.79729936305732485</v>
      </c>
      <c r="AW30" s="124">
        <v>312.94</v>
      </c>
      <c r="AX30" s="124"/>
      <c r="AY30" s="124"/>
      <c r="AZ30" s="233"/>
      <c r="BA30" s="125"/>
      <c r="BB30" s="125">
        <v>0.83612736000000021</v>
      </c>
      <c r="BC30" s="125">
        <v>328.17998880000005</v>
      </c>
      <c r="BD30" s="125"/>
      <c r="BE30" s="125"/>
      <c r="BF30" s="125"/>
      <c r="BG30" s="125"/>
      <c r="BH30" s="125"/>
      <c r="BI30" s="125"/>
      <c r="BJ30" s="125"/>
      <c r="BK30" s="125"/>
      <c r="BL30" s="125"/>
      <c r="BM30" s="125"/>
      <c r="BN30" s="125"/>
      <c r="BO30" s="125"/>
      <c r="BP30" s="244">
        <f t="shared" si="0"/>
        <v>4.6734267230573252</v>
      </c>
      <c r="BQ30" s="248">
        <f t="shared" si="3"/>
        <v>9.3468534461146504</v>
      </c>
      <c r="BR30" s="105">
        <f t="shared" si="1"/>
        <v>1834.3199888000001</v>
      </c>
      <c r="BS30" s="248">
        <f t="shared" si="4"/>
        <v>3668.6399776000003</v>
      </c>
    </row>
    <row r="31" spans="1:71" s="16" customFormat="1" ht="17" hidden="1" x14ac:dyDescent="0.15">
      <c r="A31" s="118" t="s">
        <v>106</v>
      </c>
      <c r="B31" s="162" t="s">
        <v>60</v>
      </c>
      <c r="C31" s="162" t="s">
        <v>142</v>
      </c>
      <c r="D31" s="119" t="s">
        <v>81</v>
      </c>
      <c r="E31" s="117" t="s">
        <v>51</v>
      </c>
      <c r="F31" s="120">
        <v>471</v>
      </c>
      <c r="G31" s="120">
        <v>52.852451464968155</v>
      </c>
      <c r="H31" s="120">
        <v>24893.504639999999</v>
      </c>
      <c r="I31" s="121">
        <v>60.618623999999997</v>
      </c>
      <c r="J31" s="122">
        <v>28551.371904</v>
      </c>
      <c r="K31" s="120"/>
      <c r="L31" s="123"/>
      <c r="M31" s="251"/>
      <c r="N31" s="251"/>
      <c r="O31" s="251">
        <f t="shared" si="6"/>
        <v>59.723270155414006</v>
      </c>
      <c r="P31" s="229">
        <f t="shared" si="5"/>
        <v>28129.660243199996</v>
      </c>
      <c r="Q31" s="229"/>
      <c r="R31" s="229"/>
      <c r="S31" s="229"/>
      <c r="T31" s="229"/>
      <c r="U31" s="254"/>
      <c r="V31" s="229"/>
      <c r="W31" s="229"/>
      <c r="X31" s="229"/>
      <c r="Y31" s="229"/>
      <c r="Z31" s="229"/>
      <c r="AA31" s="229"/>
      <c r="AB31" s="229"/>
      <c r="AC31" s="163">
        <f t="shared" si="2"/>
        <v>60.618623999999997</v>
      </c>
      <c r="AD31" s="163">
        <f t="shared" si="2"/>
        <v>28551.371904</v>
      </c>
      <c r="AE31" s="124" t="s">
        <v>122</v>
      </c>
      <c r="AF31" s="124"/>
      <c r="AG31" s="124"/>
      <c r="AH31" s="124"/>
      <c r="AI31" s="124"/>
      <c r="AJ31" s="124"/>
      <c r="AK31" s="124"/>
      <c r="AL31" s="124"/>
      <c r="AM31" s="124"/>
      <c r="AN31" s="124"/>
      <c r="AO31" s="124"/>
      <c r="AP31" s="124">
        <v>17.16</v>
      </c>
      <c r="AQ31" s="124">
        <v>8082.36</v>
      </c>
      <c r="AR31" s="124"/>
      <c r="AS31" s="124"/>
      <c r="AT31" s="124"/>
      <c r="AU31" s="124"/>
      <c r="AV31" s="124"/>
      <c r="AW31" s="124"/>
      <c r="AX31" s="124">
        <v>3.0659023354564758</v>
      </c>
      <c r="AY31" s="124">
        <v>1444.04</v>
      </c>
      <c r="AZ31" s="233">
        <v>3.0304033970276008</v>
      </c>
      <c r="BA31" s="125">
        <v>1427.32</v>
      </c>
      <c r="BB31" s="125">
        <v>3.1699200000000003</v>
      </c>
      <c r="BC31" s="125">
        <v>1493.03232</v>
      </c>
      <c r="BD31" s="125"/>
      <c r="BE31" s="125"/>
      <c r="BF31" s="125"/>
      <c r="BG31" s="125"/>
      <c r="BH31" s="125"/>
      <c r="BI31" s="125"/>
      <c r="BJ31" s="125"/>
      <c r="BK31" s="125"/>
      <c r="BL31" s="125"/>
      <c r="BM31" s="125"/>
      <c r="BN31" s="125"/>
      <c r="BO31" s="125"/>
      <c r="BP31" s="244">
        <f t="shared" si="0"/>
        <v>26.426225732484077</v>
      </c>
      <c r="BQ31" s="248">
        <f t="shared" si="3"/>
        <v>52.852451464968155</v>
      </c>
      <c r="BR31" s="105">
        <f t="shared" si="1"/>
        <v>12446.75232</v>
      </c>
      <c r="BS31" s="248">
        <f t="shared" si="4"/>
        <v>24893.504639999999</v>
      </c>
    </row>
    <row r="32" spans="1:71" s="16" customFormat="1" ht="17" hidden="1" x14ac:dyDescent="0.15">
      <c r="A32" s="118" t="s">
        <v>107</v>
      </c>
      <c r="B32" s="162" t="s">
        <v>60</v>
      </c>
      <c r="C32" s="162" t="s">
        <v>143</v>
      </c>
      <c r="D32" s="119" t="s">
        <v>81</v>
      </c>
      <c r="E32" s="117" t="s">
        <v>51</v>
      </c>
      <c r="F32" s="120">
        <v>510.25</v>
      </c>
      <c r="G32" s="120">
        <v>11.621353406212641</v>
      </c>
      <c r="H32" s="120">
        <v>5906.9230755199997</v>
      </c>
      <c r="I32" s="121">
        <v>12</v>
      </c>
      <c r="J32" s="122">
        <v>6123</v>
      </c>
      <c r="K32" s="120"/>
      <c r="L32" s="123"/>
      <c r="M32" s="251"/>
      <c r="N32" s="251"/>
      <c r="O32" s="251">
        <v>12</v>
      </c>
      <c r="P32" s="229">
        <f t="shared" si="5"/>
        <v>6123</v>
      </c>
      <c r="Q32" s="229"/>
      <c r="R32" s="229"/>
      <c r="S32" s="229"/>
      <c r="T32" s="229"/>
      <c r="U32" s="254"/>
      <c r="V32" s="229"/>
      <c r="W32" s="229"/>
      <c r="X32" s="229"/>
      <c r="Y32" s="229"/>
      <c r="Z32" s="229"/>
      <c r="AA32" s="229">
        <v>2</v>
      </c>
      <c r="AB32" s="229">
        <f>+AA32*F32</f>
        <v>1020.5</v>
      </c>
      <c r="AC32" s="163">
        <f t="shared" si="2"/>
        <v>14</v>
      </c>
      <c r="AD32" s="163">
        <f t="shared" si="2"/>
        <v>7143.5</v>
      </c>
      <c r="AE32" s="124" t="s">
        <v>725</v>
      </c>
      <c r="AF32" s="124"/>
      <c r="AG32" s="124"/>
      <c r="AH32" s="124"/>
      <c r="AI32" s="124"/>
      <c r="AJ32" s="124"/>
      <c r="AK32" s="124"/>
      <c r="AL32" s="124"/>
      <c r="AM32" s="124"/>
      <c r="AN32" s="124"/>
      <c r="AO32" s="124"/>
      <c r="AP32" s="124"/>
      <c r="AQ32" s="124"/>
      <c r="AR32" s="124"/>
      <c r="AS32" s="124"/>
      <c r="AT32" s="124"/>
      <c r="AU32" s="124"/>
      <c r="AV32" s="124"/>
      <c r="AW32" s="124"/>
      <c r="AX32" s="124">
        <v>0.95792258696717292</v>
      </c>
      <c r="AY32" s="124">
        <v>488.78</v>
      </c>
      <c r="AZ32" s="233">
        <v>0.95792258696717292</v>
      </c>
      <c r="BA32" s="125">
        <v>488.78</v>
      </c>
      <c r="BB32" s="125">
        <v>1.02193344</v>
      </c>
      <c r="BC32" s="125">
        <v>521.44153775999996</v>
      </c>
      <c r="BD32" s="231">
        <v>1.4568471337579618</v>
      </c>
      <c r="BE32" s="231">
        <v>731.92</v>
      </c>
      <c r="BF32" s="231">
        <v>1.4160509554140128</v>
      </c>
      <c r="BG32" s="231">
        <v>722.54</v>
      </c>
      <c r="BH32" s="231"/>
      <c r="BI32" s="231"/>
      <c r="BJ32" s="231"/>
      <c r="BK32" s="231"/>
      <c r="BL32" s="231"/>
      <c r="BM32" s="231"/>
      <c r="BN32" s="231"/>
      <c r="BO32" s="231"/>
      <c r="BP32" s="244">
        <f t="shared" si="0"/>
        <v>5.8106767031063207</v>
      </c>
      <c r="BQ32" s="248">
        <f t="shared" si="3"/>
        <v>11.621353406212641</v>
      </c>
      <c r="BR32" s="105">
        <f t="shared" si="1"/>
        <v>2953.4615377599998</v>
      </c>
      <c r="BS32" s="248">
        <f t="shared" si="4"/>
        <v>5906.9230755199997</v>
      </c>
    </row>
    <row r="33" spans="1:71" s="16" customFormat="1" ht="17" hidden="1" x14ac:dyDescent="0.15">
      <c r="A33" s="118" t="s">
        <v>108</v>
      </c>
      <c r="B33" s="162" t="s">
        <v>118</v>
      </c>
      <c r="C33" s="162" t="s">
        <v>123</v>
      </c>
      <c r="D33" s="119" t="s">
        <v>62</v>
      </c>
      <c r="E33" s="117" t="s">
        <v>121</v>
      </c>
      <c r="F33" s="120">
        <v>18.600000000000001</v>
      </c>
      <c r="G33" s="120">
        <v>491.93280000000004</v>
      </c>
      <c r="H33" s="120">
        <v>9203.9348800000007</v>
      </c>
      <c r="I33" s="121">
        <v>404</v>
      </c>
      <c r="J33" s="122">
        <v>7514.4000000000005</v>
      </c>
      <c r="K33" s="120"/>
      <c r="L33" s="123"/>
      <c r="M33" s="251"/>
      <c r="N33" s="251"/>
      <c r="O33" s="251">
        <v>36</v>
      </c>
      <c r="P33" s="229">
        <f t="shared" si="5"/>
        <v>669.6</v>
      </c>
      <c r="Q33" s="229"/>
      <c r="R33" s="229"/>
      <c r="S33" s="229">
        <v>368</v>
      </c>
      <c r="T33" s="251">
        <f t="shared" ref="T33:T34" si="7">+S33*F33</f>
        <v>6844.8</v>
      </c>
      <c r="U33" s="252"/>
      <c r="V33" s="251"/>
      <c r="W33" s="251"/>
      <c r="X33" s="251"/>
      <c r="Y33" s="251"/>
      <c r="Z33" s="251"/>
      <c r="AA33" s="251">
        <v>117</v>
      </c>
      <c r="AB33" s="251">
        <f>+AA33*F33</f>
        <v>2176.2000000000003</v>
      </c>
      <c r="AC33" s="163">
        <f t="shared" si="2"/>
        <v>521</v>
      </c>
      <c r="AD33" s="163">
        <f t="shared" si="2"/>
        <v>9690.6</v>
      </c>
      <c r="AE33" s="124" t="s">
        <v>725</v>
      </c>
      <c r="AF33" s="124">
        <v>206.46199999999999</v>
      </c>
      <c r="AG33" s="124">
        <v>3842.97</v>
      </c>
      <c r="AH33" s="124"/>
      <c r="AI33" s="124"/>
      <c r="AJ33" s="124"/>
      <c r="AK33" s="124"/>
      <c r="AL33" s="124"/>
      <c r="AM33" s="124"/>
      <c r="AN33" s="124"/>
      <c r="AO33" s="124"/>
      <c r="AP33" s="124"/>
      <c r="AQ33" s="124"/>
      <c r="AR33" s="124">
        <v>6.78</v>
      </c>
      <c r="AS33" s="124">
        <v>126.108</v>
      </c>
      <c r="AT33" s="124">
        <v>7.7279999999999998</v>
      </c>
      <c r="AU33" s="124">
        <v>167.66879999999998</v>
      </c>
      <c r="AV33" s="124">
        <v>7.2149999999999999</v>
      </c>
      <c r="AW33" s="124">
        <v>134.30000000000001</v>
      </c>
      <c r="AX33" s="124">
        <v>7.2149999999999999</v>
      </c>
      <c r="AY33" s="124">
        <v>134.30000000000001</v>
      </c>
      <c r="AZ33" s="233">
        <v>6.604000000000001</v>
      </c>
      <c r="BA33" s="125">
        <v>122.92000000000002</v>
      </c>
      <c r="BB33" s="125">
        <v>3.9624000000000001</v>
      </c>
      <c r="BC33" s="125">
        <v>73.700640000000007</v>
      </c>
      <c r="BD33" s="125"/>
      <c r="BE33" s="125"/>
      <c r="BF33" s="125"/>
      <c r="BG33" s="125"/>
      <c r="BH33" s="125"/>
      <c r="BI33" s="125"/>
      <c r="BJ33" s="125"/>
      <c r="BK33" s="125"/>
      <c r="BL33" s="125"/>
      <c r="BM33" s="125"/>
      <c r="BN33" s="125"/>
      <c r="BO33" s="125"/>
      <c r="BP33" s="244">
        <f t="shared" si="0"/>
        <v>245.96640000000002</v>
      </c>
      <c r="BQ33" s="248">
        <f t="shared" si="3"/>
        <v>491.93280000000004</v>
      </c>
      <c r="BR33" s="105">
        <f t="shared" si="1"/>
        <v>4601.9674400000004</v>
      </c>
      <c r="BS33" s="248">
        <f t="shared" si="4"/>
        <v>9203.9348800000007</v>
      </c>
    </row>
    <row r="34" spans="1:71" s="16" customFormat="1" ht="17" x14ac:dyDescent="0.15">
      <c r="A34" s="118" t="s">
        <v>109</v>
      </c>
      <c r="B34" s="162" t="s">
        <v>118</v>
      </c>
      <c r="C34" s="162" t="s">
        <v>124</v>
      </c>
      <c r="D34" s="119" t="s">
        <v>62</v>
      </c>
      <c r="E34" s="117" t="s">
        <v>121</v>
      </c>
      <c r="F34" s="120">
        <v>24.599999999999998</v>
      </c>
      <c r="G34" s="120">
        <v>4657.6983999999993</v>
      </c>
      <c r="H34" s="120">
        <v>114555.53423999998</v>
      </c>
      <c r="I34" s="121">
        <v>3133.3606</v>
      </c>
      <c r="J34" s="122">
        <v>77080.670759999994</v>
      </c>
      <c r="K34" s="120"/>
      <c r="L34" s="123"/>
      <c r="M34" s="251"/>
      <c r="N34" s="251"/>
      <c r="O34" s="251">
        <v>480</v>
      </c>
      <c r="P34" s="229">
        <f t="shared" si="5"/>
        <v>11807.999999999998</v>
      </c>
      <c r="Q34" s="229"/>
      <c r="R34" s="229"/>
      <c r="S34" s="229">
        <f>1047.51*1.06</f>
        <v>1110.3606</v>
      </c>
      <c r="T34" s="251">
        <f t="shared" si="7"/>
        <v>27314.870759999998</v>
      </c>
      <c r="U34" s="252"/>
      <c r="V34" s="251"/>
      <c r="W34" s="251"/>
      <c r="X34" s="251"/>
      <c r="Y34" s="251">
        <v>1543</v>
      </c>
      <c r="Z34" s="251">
        <f>+Y34*F34</f>
        <v>37957.799999999996</v>
      </c>
      <c r="AA34" s="251">
        <v>1804</v>
      </c>
      <c r="AB34" s="251">
        <f>+AA34*F34</f>
        <v>44378.399999999994</v>
      </c>
      <c r="AC34" s="163">
        <f t="shared" si="2"/>
        <v>4937.3606</v>
      </c>
      <c r="AD34" s="163">
        <f t="shared" si="2"/>
        <v>121459.07075999999</v>
      </c>
      <c r="AE34" s="124" t="s">
        <v>725</v>
      </c>
      <c r="AF34" s="124">
        <v>617.84399999999994</v>
      </c>
      <c r="AG34" s="124">
        <v>15195.129999999996</v>
      </c>
      <c r="AH34" s="124">
        <v>464.75799999999998</v>
      </c>
      <c r="AI34" s="124">
        <v>11430.68</v>
      </c>
      <c r="AJ34" s="124">
        <v>256.15800000000002</v>
      </c>
      <c r="AK34" s="124">
        <v>6299.6599999999989</v>
      </c>
      <c r="AL34" s="124"/>
      <c r="AM34" s="124"/>
      <c r="AN34" s="124">
        <v>402.82599999999991</v>
      </c>
      <c r="AO34" s="124">
        <v>9907.6400000000012</v>
      </c>
      <c r="AP34" s="124"/>
      <c r="AQ34" s="124"/>
      <c r="AR34" s="124">
        <v>32.911999999999999</v>
      </c>
      <c r="AS34" s="124">
        <v>809.63520000000005</v>
      </c>
      <c r="AT34" s="124">
        <v>54.414000000000001</v>
      </c>
      <c r="AU34" s="124">
        <v>1338.5844000000002</v>
      </c>
      <c r="AV34" s="124">
        <v>51.616</v>
      </c>
      <c r="AW34" s="124">
        <v>1269.2600000000002</v>
      </c>
      <c r="AX34" s="124">
        <v>52.49</v>
      </c>
      <c r="AY34" s="124">
        <v>1290.76</v>
      </c>
      <c r="AZ34" s="233">
        <v>45.092000000000006</v>
      </c>
      <c r="BA34" s="125">
        <v>1108.6124</v>
      </c>
      <c r="BB34" s="125">
        <v>52.425599999999996</v>
      </c>
      <c r="BC34" s="125">
        <v>1289.66976</v>
      </c>
      <c r="BD34" s="125"/>
      <c r="BE34" s="125"/>
      <c r="BF34" s="125">
        <v>51.302000000000007</v>
      </c>
      <c r="BG34" s="125">
        <v>1261.6499999999999</v>
      </c>
      <c r="BH34" s="125"/>
      <c r="BI34" s="125"/>
      <c r="BJ34" s="125"/>
      <c r="BK34" s="125"/>
      <c r="BL34" s="125">
        <v>229.63799999999998</v>
      </c>
      <c r="BM34" s="125">
        <v>5649.0948000000008</v>
      </c>
      <c r="BN34" s="125">
        <v>17.373600000000003</v>
      </c>
      <c r="BO34" s="125">
        <v>427.39056000000005</v>
      </c>
      <c r="BP34" s="244">
        <f t="shared" si="0"/>
        <v>2328.8491999999997</v>
      </c>
      <c r="BQ34" s="248">
        <f t="shared" si="3"/>
        <v>4657.6983999999993</v>
      </c>
      <c r="BR34" s="105">
        <f t="shared" si="1"/>
        <v>57277.76711999999</v>
      </c>
      <c r="BS34" s="248">
        <f t="shared" si="4"/>
        <v>114555.53423999998</v>
      </c>
    </row>
    <row r="35" spans="1:71" s="16" customFormat="1" ht="17" hidden="1" x14ac:dyDescent="0.15">
      <c r="A35" s="118" t="s">
        <v>110</v>
      </c>
      <c r="B35" s="162" t="s">
        <v>119</v>
      </c>
      <c r="C35" s="162" t="s">
        <v>125</v>
      </c>
      <c r="D35" s="119" t="s">
        <v>62</v>
      </c>
      <c r="E35" s="117" t="s">
        <v>121</v>
      </c>
      <c r="F35" s="120">
        <v>49.900000000000006</v>
      </c>
      <c r="G35" s="120">
        <v>18.288</v>
      </c>
      <c r="H35" s="120">
        <v>912.57120000000009</v>
      </c>
      <c r="I35" s="121">
        <v>24</v>
      </c>
      <c r="J35" s="122">
        <v>1197.6000000000001</v>
      </c>
      <c r="K35" s="120"/>
      <c r="L35" s="123"/>
      <c r="M35" s="251"/>
      <c r="N35" s="251"/>
      <c r="O35" s="251">
        <v>24</v>
      </c>
      <c r="P35" s="229">
        <f t="shared" si="5"/>
        <v>1197.6000000000001</v>
      </c>
      <c r="Q35" s="229"/>
      <c r="R35" s="229"/>
      <c r="S35" s="229"/>
      <c r="T35" s="229"/>
      <c r="U35" s="254"/>
      <c r="V35" s="229"/>
      <c r="W35" s="229"/>
      <c r="X35" s="229"/>
      <c r="Y35" s="229"/>
      <c r="Z35" s="229"/>
      <c r="AA35" s="229"/>
      <c r="AB35" s="229"/>
      <c r="AC35" s="163">
        <f t="shared" si="2"/>
        <v>24</v>
      </c>
      <c r="AD35" s="163">
        <f t="shared" si="2"/>
        <v>1197.6000000000001</v>
      </c>
      <c r="AE35" s="124" t="s">
        <v>122</v>
      </c>
      <c r="AF35" s="124"/>
      <c r="AG35" s="124"/>
      <c r="AH35" s="124"/>
      <c r="AI35" s="124"/>
      <c r="AJ35" s="124"/>
      <c r="AK35" s="124"/>
      <c r="AL35" s="124"/>
      <c r="AM35" s="124"/>
      <c r="AN35" s="124"/>
      <c r="AO35" s="124"/>
      <c r="AP35" s="124"/>
      <c r="AQ35" s="124"/>
      <c r="AR35" s="124"/>
      <c r="AS35" s="124"/>
      <c r="AT35" s="124"/>
      <c r="AU35" s="124"/>
      <c r="AV35" s="124"/>
      <c r="AW35" s="124"/>
      <c r="AX35" s="124"/>
      <c r="AY35" s="124"/>
      <c r="AZ35" s="233"/>
      <c r="BA35" s="125"/>
      <c r="BB35" s="125"/>
      <c r="BC35" s="125"/>
      <c r="BD35" s="125"/>
      <c r="BE35" s="125"/>
      <c r="BF35" s="125"/>
      <c r="BG35" s="125"/>
      <c r="BH35" s="125"/>
      <c r="BI35" s="125"/>
      <c r="BJ35" s="125"/>
      <c r="BK35" s="125"/>
      <c r="BL35" s="125"/>
      <c r="BM35" s="125"/>
      <c r="BN35" s="125">
        <v>9.1440000000000001</v>
      </c>
      <c r="BO35" s="125">
        <v>456.28560000000004</v>
      </c>
      <c r="BP35" s="244">
        <f t="shared" si="0"/>
        <v>9.1440000000000001</v>
      </c>
      <c r="BQ35" s="248">
        <f t="shared" si="3"/>
        <v>18.288</v>
      </c>
      <c r="BR35" s="105">
        <f t="shared" si="1"/>
        <v>456.28560000000004</v>
      </c>
      <c r="BS35" s="248">
        <f t="shared" si="4"/>
        <v>912.57120000000009</v>
      </c>
    </row>
    <row r="36" spans="1:71" s="16" customFormat="1" ht="17" hidden="1" x14ac:dyDescent="0.15">
      <c r="A36" s="118" t="s">
        <v>111</v>
      </c>
      <c r="B36" s="162" t="s">
        <v>119</v>
      </c>
      <c r="C36" s="162" t="s">
        <v>126</v>
      </c>
      <c r="D36" s="119" t="s">
        <v>62</v>
      </c>
      <c r="E36" s="117" t="s">
        <v>121</v>
      </c>
      <c r="F36" s="120">
        <v>56.8</v>
      </c>
      <c r="G36" s="120">
        <v>868.94040000000007</v>
      </c>
      <c r="H36" s="120">
        <v>48714.300640000001</v>
      </c>
      <c r="I36" s="121">
        <v>468</v>
      </c>
      <c r="J36" s="122">
        <v>27424.799999999996</v>
      </c>
      <c r="K36" s="120"/>
      <c r="L36" s="123"/>
      <c r="M36" s="251"/>
      <c r="N36" s="251"/>
      <c r="O36" s="251">
        <v>468</v>
      </c>
      <c r="P36" s="229">
        <f t="shared" si="5"/>
        <v>26582.399999999998</v>
      </c>
      <c r="Q36" s="229"/>
      <c r="R36" s="229"/>
      <c r="S36" s="229"/>
      <c r="T36" s="229"/>
      <c r="U36" s="254"/>
      <c r="V36" s="229"/>
      <c r="W36" s="229"/>
      <c r="X36" s="229"/>
      <c r="Y36" s="229"/>
      <c r="Z36" s="229"/>
      <c r="AA36" s="229">
        <v>460</v>
      </c>
      <c r="AB36" s="229">
        <f>+AA36*F36</f>
        <v>26128</v>
      </c>
      <c r="AC36" s="163">
        <f t="shared" si="2"/>
        <v>928</v>
      </c>
      <c r="AD36" s="163">
        <f t="shared" si="2"/>
        <v>53552.799999999996</v>
      </c>
      <c r="AE36" s="124" t="s">
        <v>725</v>
      </c>
      <c r="AF36" s="124"/>
      <c r="AG36" s="124"/>
      <c r="AH36" s="124"/>
      <c r="AI36" s="124"/>
      <c r="AJ36" s="124"/>
      <c r="AK36" s="124"/>
      <c r="AL36" s="124"/>
      <c r="AM36" s="124"/>
      <c r="AN36" s="124"/>
      <c r="AO36" s="124"/>
      <c r="AP36" s="124"/>
      <c r="AQ36" s="124"/>
      <c r="AR36" s="124">
        <v>37.026000000000003</v>
      </c>
      <c r="AS36" s="124">
        <v>2103.0767999999998</v>
      </c>
      <c r="AT36" s="124">
        <v>60.46</v>
      </c>
      <c r="AU36" s="124">
        <v>3434.1280000000002</v>
      </c>
      <c r="AV36" s="124">
        <v>55.319999999999993</v>
      </c>
      <c r="AW36" s="124">
        <v>3087.0400000000004</v>
      </c>
      <c r="AX36" s="124">
        <v>56.34</v>
      </c>
      <c r="AY36" s="124">
        <v>3143.9600000000005</v>
      </c>
      <c r="AZ36" s="233">
        <v>48.22</v>
      </c>
      <c r="BA36" s="125">
        <v>2690.32</v>
      </c>
      <c r="BB36" s="125">
        <v>56.083200000000005</v>
      </c>
      <c r="BC36" s="125">
        <v>3286.4755200000004</v>
      </c>
      <c r="BD36" s="125"/>
      <c r="BE36" s="125"/>
      <c r="BF36" s="125">
        <v>121.021</v>
      </c>
      <c r="BG36" s="125">
        <v>6612.15</v>
      </c>
      <c r="BH36" s="125"/>
      <c r="BI36" s="125"/>
      <c r="BJ36" s="125"/>
      <c r="BK36" s="125"/>
      <c r="BL36" s="125"/>
      <c r="BM36" s="125"/>
      <c r="BN36" s="125"/>
      <c r="BO36" s="125"/>
      <c r="BP36" s="244">
        <f t="shared" si="0"/>
        <v>434.47020000000003</v>
      </c>
      <c r="BQ36" s="248">
        <f t="shared" si="3"/>
        <v>868.94040000000007</v>
      </c>
      <c r="BR36" s="105">
        <f t="shared" si="1"/>
        <v>24357.150320000001</v>
      </c>
      <c r="BS36" s="248">
        <f t="shared" si="4"/>
        <v>48714.300640000001</v>
      </c>
    </row>
    <row r="37" spans="1:71" s="16" customFormat="1" ht="17" x14ac:dyDescent="0.15">
      <c r="A37" s="118" t="s">
        <v>112</v>
      </c>
      <c r="B37" s="162" t="s">
        <v>119</v>
      </c>
      <c r="C37" s="162" t="s">
        <v>127</v>
      </c>
      <c r="D37" s="119" t="s">
        <v>62</v>
      </c>
      <c r="E37" s="117" t="s">
        <v>121</v>
      </c>
      <c r="F37" s="120">
        <v>36.699999999999996</v>
      </c>
      <c r="G37" s="120">
        <v>608.14240000000007</v>
      </c>
      <c r="H37" s="120">
        <v>21558.324079999999</v>
      </c>
      <c r="I37" s="121">
        <v>555</v>
      </c>
      <c r="J37" s="122">
        <v>20368.499999999996</v>
      </c>
      <c r="K37" s="120"/>
      <c r="L37" s="123"/>
      <c r="M37" s="251"/>
      <c r="N37" s="251"/>
      <c r="O37" s="251">
        <v>228</v>
      </c>
      <c r="P37" s="229">
        <f t="shared" si="5"/>
        <v>8367.5999999999985</v>
      </c>
      <c r="Q37" s="229"/>
      <c r="R37" s="229"/>
      <c r="S37" s="229"/>
      <c r="T37" s="229"/>
      <c r="U37" s="254"/>
      <c r="V37" s="229"/>
      <c r="W37" s="229"/>
      <c r="X37" s="229"/>
      <c r="Y37" s="229">
        <v>327</v>
      </c>
      <c r="Z37" s="251">
        <f>+Y37*F37</f>
        <v>12000.899999999998</v>
      </c>
      <c r="AA37" s="251">
        <v>90</v>
      </c>
      <c r="AB37" s="251">
        <f>+AA37*F37</f>
        <v>3302.9999999999995</v>
      </c>
      <c r="AC37" s="163">
        <f t="shared" si="2"/>
        <v>645</v>
      </c>
      <c r="AD37" s="163">
        <f t="shared" si="2"/>
        <v>23671.499999999996</v>
      </c>
      <c r="AE37" s="124" t="s">
        <v>725</v>
      </c>
      <c r="AF37" s="124"/>
      <c r="AG37" s="124"/>
      <c r="AH37" s="124">
        <v>32.853999999999999</v>
      </c>
      <c r="AI37" s="124">
        <v>1130.8599999999999</v>
      </c>
      <c r="AJ37" s="124">
        <v>119.86600000000001</v>
      </c>
      <c r="AK37" s="124">
        <v>4202.58</v>
      </c>
      <c r="AL37" s="124"/>
      <c r="AM37" s="124"/>
      <c r="AN37" s="124"/>
      <c r="AO37" s="124"/>
      <c r="AP37" s="124"/>
      <c r="AQ37" s="124"/>
      <c r="AR37" s="124">
        <v>24.106000000000005</v>
      </c>
      <c r="AS37" s="124">
        <v>884.6902</v>
      </c>
      <c r="AT37" s="124">
        <v>24.955999999999996</v>
      </c>
      <c r="AU37" s="124">
        <v>915.88520000000005</v>
      </c>
      <c r="AV37" s="124">
        <v>29.582999999999998</v>
      </c>
      <c r="AW37" s="124">
        <v>1030.8399999999999</v>
      </c>
      <c r="AX37" s="124">
        <v>28.626999999999999</v>
      </c>
      <c r="AY37" s="124">
        <v>996.6</v>
      </c>
      <c r="AZ37" s="233">
        <v>26.096</v>
      </c>
      <c r="BA37" s="125">
        <v>957.72320000000002</v>
      </c>
      <c r="BB37" s="125">
        <v>17.9832</v>
      </c>
      <c r="BC37" s="125">
        <v>659.98344000000009</v>
      </c>
      <c r="BD37" s="125"/>
      <c r="BE37" s="125"/>
      <c r="BF37" s="125"/>
      <c r="BG37" s="125"/>
      <c r="BH37" s="125"/>
      <c r="BI37" s="125"/>
      <c r="BJ37" s="125"/>
      <c r="BK37" s="125"/>
      <c r="BL37" s="125"/>
      <c r="BM37" s="125"/>
      <c r="BN37" s="125"/>
      <c r="BO37" s="125"/>
      <c r="BP37" s="244">
        <f t="shared" si="0"/>
        <v>304.07120000000003</v>
      </c>
      <c r="BQ37" s="248">
        <f t="shared" si="3"/>
        <v>608.14240000000007</v>
      </c>
      <c r="BR37" s="105">
        <f t="shared" si="1"/>
        <v>10779.162039999999</v>
      </c>
      <c r="BS37" s="248">
        <f t="shared" si="4"/>
        <v>21558.324079999999</v>
      </c>
    </row>
    <row r="38" spans="1:71" s="16" customFormat="1" ht="17" hidden="1" x14ac:dyDescent="0.15">
      <c r="A38" s="118" t="s">
        <v>113</v>
      </c>
      <c r="B38" s="162" t="s">
        <v>119</v>
      </c>
      <c r="C38" s="162" t="s">
        <v>128</v>
      </c>
      <c r="D38" s="119" t="s">
        <v>62</v>
      </c>
      <c r="E38" s="117" t="s">
        <v>121</v>
      </c>
      <c r="F38" s="120">
        <v>79.699999999999989</v>
      </c>
      <c r="G38" s="120">
        <v>170.79159999999999</v>
      </c>
      <c r="H38" s="120">
        <v>13489.109919999999</v>
      </c>
      <c r="I38" s="121">
        <v>180</v>
      </c>
      <c r="J38" s="122">
        <v>14345.999999999998</v>
      </c>
      <c r="K38" s="120"/>
      <c r="L38" s="123"/>
      <c r="M38" s="251"/>
      <c r="N38" s="251"/>
      <c r="O38" s="251">
        <v>180</v>
      </c>
      <c r="P38" s="229">
        <f t="shared" si="5"/>
        <v>14345.999999999998</v>
      </c>
      <c r="Q38" s="229"/>
      <c r="R38" s="229"/>
      <c r="S38" s="229"/>
      <c r="T38" s="229"/>
      <c r="U38" s="254"/>
      <c r="V38" s="229"/>
      <c r="W38" s="229"/>
      <c r="X38" s="229"/>
      <c r="Y38" s="229"/>
      <c r="Z38" s="229"/>
      <c r="AA38" s="229"/>
      <c r="AB38" s="229"/>
      <c r="AC38" s="163">
        <f t="shared" si="2"/>
        <v>180</v>
      </c>
      <c r="AD38" s="163">
        <f t="shared" si="2"/>
        <v>14345.999999999998</v>
      </c>
      <c r="AE38" s="124" t="s">
        <v>122</v>
      </c>
      <c r="AF38" s="124"/>
      <c r="AG38" s="124"/>
      <c r="AH38" s="124"/>
      <c r="AI38" s="124"/>
      <c r="AJ38" s="124"/>
      <c r="AK38" s="124"/>
      <c r="AL38" s="124"/>
      <c r="AM38" s="124"/>
      <c r="AN38" s="124"/>
      <c r="AO38" s="124"/>
      <c r="AP38" s="124">
        <v>36.700000000000003</v>
      </c>
      <c r="AQ38" s="124">
        <v>2921.3199999999997</v>
      </c>
      <c r="AR38" s="222">
        <v>6.0549999999999997</v>
      </c>
      <c r="AS38" s="124">
        <v>466.15799999999996</v>
      </c>
      <c r="AT38" s="124">
        <v>6.8680000000000003</v>
      </c>
      <c r="AU38" s="124">
        <v>547.37959999999998</v>
      </c>
      <c r="AV38" s="124">
        <v>4.82</v>
      </c>
      <c r="AW38" s="124">
        <v>370.56</v>
      </c>
      <c r="AX38" s="124">
        <v>7.7039999999999997</v>
      </c>
      <c r="AY38" s="124">
        <v>592.4</v>
      </c>
      <c r="AZ38" s="233">
        <v>7.7039999999999997</v>
      </c>
      <c r="BA38" s="125">
        <v>607.81680000000006</v>
      </c>
      <c r="BB38" s="125">
        <v>15.5448</v>
      </c>
      <c r="BC38" s="125">
        <v>1238.92056</v>
      </c>
      <c r="BD38" s="125"/>
      <c r="BE38" s="125"/>
      <c r="BF38" s="125"/>
      <c r="BG38" s="125"/>
      <c r="BH38" s="125"/>
      <c r="BI38" s="125"/>
      <c r="BJ38" s="125"/>
      <c r="BK38" s="125"/>
      <c r="BL38" s="125"/>
      <c r="BM38" s="125"/>
      <c r="BN38" s="125"/>
      <c r="BO38" s="125"/>
      <c r="BP38" s="244">
        <f t="shared" si="0"/>
        <v>85.395799999999994</v>
      </c>
      <c r="BQ38" s="248">
        <f t="shared" si="3"/>
        <v>170.79159999999999</v>
      </c>
      <c r="BR38" s="105">
        <f t="shared" si="1"/>
        <v>6744.5549599999995</v>
      </c>
      <c r="BS38" s="248">
        <f t="shared" si="4"/>
        <v>13489.109919999999</v>
      </c>
    </row>
    <row r="39" spans="1:71" s="16" customFormat="1" ht="17" hidden="1" x14ac:dyDescent="0.15">
      <c r="A39" s="118" t="s">
        <v>114</v>
      </c>
      <c r="B39" s="162" t="s">
        <v>119</v>
      </c>
      <c r="C39" s="162" t="s">
        <v>129</v>
      </c>
      <c r="D39" s="119" t="s">
        <v>62</v>
      </c>
      <c r="E39" s="117" t="s">
        <v>121</v>
      </c>
      <c r="F39" s="120">
        <v>106</v>
      </c>
      <c r="G39" s="120">
        <v>382.80399999999997</v>
      </c>
      <c r="H39" s="120">
        <v>39086.820000000007</v>
      </c>
      <c r="I39" s="121">
        <v>419.2654</v>
      </c>
      <c r="J39" s="122">
        <v>44442.132400000002</v>
      </c>
      <c r="K39" s="120"/>
      <c r="L39" s="123"/>
      <c r="M39" s="251"/>
      <c r="N39" s="251"/>
      <c r="O39" s="251">
        <v>372</v>
      </c>
      <c r="P39" s="229">
        <f t="shared" si="5"/>
        <v>39432</v>
      </c>
      <c r="Q39" s="229"/>
      <c r="R39" s="229"/>
      <c r="S39" s="229">
        <f>44.59*1.06</f>
        <v>47.265400000000007</v>
      </c>
      <c r="T39" s="251">
        <f>+S39*F39</f>
        <v>5010.1324000000004</v>
      </c>
      <c r="U39" s="252"/>
      <c r="V39" s="251"/>
      <c r="W39" s="251"/>
      <c r="X39" s="251"/>
      <c r="Y39" s="251"/>
      <c r="Z39" s="251"/>
      <c r="AA39" s="251"/>
      <c r="AB39" s="251"/>
      <c r="AC39" s="163">
        <f t="shared" si="2"/>
        <v>419.2654</v>
      </c>
      <c r="AD39" s="163">
        <f t="shared" si="2"/>
        <v>44442.132400000002</v>
      </c>
      <c r="AE39" s="124" t="s">
        <v>253</v>
      </c>
      <c r="AF39" s="124">
        <v>22.154</v>
      </c>
      <c r="AG39" s="124">
        <v>2237.13</v>
      </c>
      <c r="AH39" s="124"/>
      <c r="AI39" s="124"/>
      <c r="AJ39" s="124"/>
      <c r="AK39" s="124"/>
      <c r="AL39" s="124"/>
      <c r="AM39" s="124"/>
      <c r="AN39" s="124"/>
      <c r="AO39" s="124"/>
      <c r="AP39" s="124"/>
      <c r="AQ39" s="124"/>
      <c r="AR39" s="124"/>
      <c r="AS39" s="124"/>
      <c r="AT39" s="124"/>
      <c r="AU39" s="124"/>
      <c r="AV39" s="124">
        <v>56.415999999999997</v>
      </c>
      <c r="AW39" s="124">
        <v>5768.76</v>
      </c>
      <c r="AX39" s="124">
        <v>56.415999999999997</v>
      </c>
      <c r="AY39" s="124">
        <v>5768.76</v>
      </c>
      <c r="AZ39" s="233">
        <v>56.415999999999997</v>
      </c>
      <c r="BA39" s="125">
        <v>5768.76</v>
      </c>
      <c r="BB39" s="125"/>
      <c r="BC39" s="125"/>
      <c r="BD39" s="125"/>
      <c r="BE39" s="125"/>
      <c r="BF39" s="125"/>
      <c r="BG39" s="125"/>
      <c r="BH39" s="125"/>
      <c r="BI39" s="125"/>
      <c r="BJ39" s="125"/>
      <c r="BK39" s="125"/>
      <c r="BL39" s="125"/>
      <c r="BM39" s="125"/>
      <c r="BN39" s="125"/>
      <c r="BO39" s="125"/>
      <c r="BP39" s="244">
        <f t="shared" si="0"/>
        <v>191.40199999999999</v>
      </c>
      <c r="BQ39" s="248">
        <f t="shared" si="3"/>
        <v>382.80399999999997</v>
      </c>
      <c r="BR39" s="105">
        <f t="shared" si="1"/>
        <v>19543.410000000003</v>
      </c>
      <c r="BS39" s="248">
        <f t="shared" si="4"/>
        <v>39086.820000000007</v>
      </c>
    </row>
    <row r="40" spans="1:71" s="16" customFormat="1" ht="17" x14ac:dyDescent="0.15">
      <c r="A40" s="118" t="s">
        <v>115</v>
      </c>
      <c r="B40" s="162" t="s">
        <v>120</v>
      </c>
      <c r="C40" s="162" t="s">
        <v>130</v>
      </c>
      <c r="D40" s="119" t="s">
        <v>62</v>
      </c>
      <c r="E40" s="117" t="s">
        <v>121</v>
      </c>
      <c r="F40" s="120">
        <v>10.7</v>
      </c>
      <c r="G40" s="120">
        <v>117.084</v>
      </c>
      <c r="H40" s="120">
        <v>1251.8200000000002</v>
      </c>
      <c r="I40" s="121">
        <v>136</v>
      </c>
      <c r="J40" s="122">
        <v>1455.1999999999998</v>
      </c>
      <c r="K40" s="120"/>
      <c r="L40" s="123"/>
      <c r="M40" s="251"/>
      <c r="N40" s="251"/>
      <c r="O40" s="251">
        <v>132</v>
      </c>
      <c r="P40" s="229">
        <f t="shared" si="5"/>
        <v>1412.3999999999999</v>
      </c>
      <c r="Q40" s="229"/>
      <c r="R40" s="229"/>
      <c r="S40" s="229"/>
      <c r="T40" s="229"/>
      <c r="U40" s="254"/>
      <c r="V40" s="229"/>
      <c r="W40" s="229"/>
      <c r="X40" s="229"/>
      <c r="Y40" s="229">
        <v>4</v>
      </c>
      <c r="Z40" s="251">
        <f>+Y40*F40</f>
        <v>42.8</v>
      </c>
      <c r="AA40" s="251"/>
      <c r="AB40" s="251"/>
      <c r="AC40" s="163">
        <f t="shared" si="2"/>
        <v>136</v>
      </c>
      <c r="AD40" s="163">
        <f t="shared" si="2"/>
        <v>1455.1999999999998</v>
      </c>
      <c r="AE40" s="124" t="s">
        <v>703</v>
      </c>
      <c r="AF40" s="124"/>
      <c r="AG40" s="124"/>
      <c r="AH40" s="124">
        <v>1.216</v>
      </c>
      <c r="AI40" s="124">
        <v>13</v>
      </c>
      <c r="AJ40" s="221">
        <v>0.3</v>
      </c>
      <c r="AK40" s="124">
        <v>3.21</v>
      </c>
      <c r="AL40" s="124"/>
      <c r="AM40" s="124"/>
      <c r="AN40" s="124"/>
      <c r="AO40" s="124"/>
      <c r="AP40" s="124"/>
      <c r="AQ40" s="124"/>
      <c r="AR40" s="124"/>
      <c r="AS40" s="124"/>
      <c r="AT40" s="124"/>
      <c r="AU40" s="124"/>
      <c r="AV40" s="124"/>
      <c r="AW40" s="124"/>
      <c r="AX40" s="124"/>
      <c r="AY40" s="124"/>
      <c r="AZ40" s="233">
        <v>57.026000000000003</v>
      </c>
      <c r="BA40" s="125">
        <v>609.70000000000005</v>
      </c>
      <c r="BB40" s="125"/>
      <c r="BC40" s="125"/>
      <c r="BD40" s="125"/>
      <c r="BE40" s="125"/>
      <c r="BF40" s="125"/>
      <c r="BG40" s="125"/>
      <c r="BH40" s="125"/>
      <c r="BI40" s="125"/>
      <c r="BJ40" s="125"/>
      <c r="BK40" s="125"/>
      <c r="BL40" s="125"/>
      <c r="BM40" s="125"/>
      <c r="BN40" s="125"/>
      <c r="BO40" s="125"/>
      <c r="BP40" s="244">
        <f t="shared" si="0"/>
        <v>58.542000000000002</v>
      </c>
      <c r="BQ40" s="248">
        <f t="shared" si="3"/>
        <v>117.084</v>
      </c>
      <c r="BR40" s="105">
        <f t="shared" si="1"/>
        <v>625.91000000000008</v>
      </c>
      <c r="BS40" s="248">
        <f t="shared" si="4"/>
        <v>1251.8200000000002</v>
      </c>
    </row>
    <row r="41" spans="1:71" s="16" customFormat="1" ht="17" hidden="1" x14ac:dyDescent="0.15">
      <c r="A41" s="118" t="s">
        <v>116</v>
      </c>
      <c r="B41" s="162" t="s">
        <v>120</v>
      </c>
      <c r="C41" s="162" t="s">
        <v>131</v>
      </c>
      <c r="D41" s="119" t="s">
        <v>62</v>
      </c>
      <c r="E41" s="117" t="s">
        <v>121</v>
      </c>
      <c r="F41" s="120">
        <v>14.7</v>
      </c>
      <c r="G41" s="120">
        <v>327.596</v>
      </c>
      <c r="H41" s="120">
        <v>4821.732399999999</v>
      </c>
      <c r="I41" s="121">
        <v>252</v>
      </c>
      <c r="J41" s="122">
        <v>3704.3999999999996</v>
      </c>
      <c r="K41" s="120"/>
      <c r="L41" s="123"/>
      <c r="M41" s="251"/>
      <c r="N41" s="251"/>
      <c r="O41" s="251">
        <v>252</v>
      </c>
      <c r="P41" s="229">
        <f t="shared" si="5"/>
        <v>3704.3999999999996</v>
      </c>
      <c r="Q41" s="229"/>
      <c r="R41" s="229"/>
      <c r="S41" s="229"/>
      <c r="T41" s="229"/>
      <c r="U41" s="254"/>
      <c r="V41" s="229"/>
      <c r="W41" s="229"/>
      <c r="X41" s="229"/>
      <c r="Y41" s="229"/>
      <c r="Z41" s="229"/>
      <c r="AA41" s="229">
        <v>95</v>
      </c>
      <c r="AB41" s="229">
        <f>+AA41*F41</f>
        <v>1396.5</v>
      </c>
      <c r="AC41" s="163">
        <f t="shared" si="2"/>
        <v>347</v>
      </c>
      <c r="AD41" s="163">
        <f t="shared" si="2"/>
        <v>5100.8999999999996</v>
      </c>
      <c r="AE41" s="124" t="s">
        <v>725</v>
      </c>
      <c r="AF41" s="124"/>
      <c r="AG41" s="124"/>
      <c r="AH41" s="124"/>
      <c r="AI41" s="124"/>
      <c r="AJ41" s="124"/>
      <c r="AK41" s="124"/>
      <c r="AL41" s="124"/>
      <c r="AM41" s="124"/>
      <c r="AN41" s="124"/>
      <c r="AO41" s="124"/>
      <c r="AP41" s="124"/>
      <c r="AQ41" s="124"/>
      <c r="AR41" s="124"/>
      <c r="AS41" s="124"/>
      <c r="AT41" s="124">
        <v>49.746000000000002</v>
      </c>
      <c r="AU41" s="124">
        <v>731.26619999999991</v>
      </c>
      <c r="AV41" s="124">
        <v>57.026000000000003</v>
      </c>
      <c r="AW41" s="124">
        <v>839.8</v>
      </c>
      <c r="AX41" s="124">
        <v>57.026000000000003</v>
      </c>
      <c r="AY41" s="124">
        <v>839.8</v>
      </c>
      <c r="AZ41" s="233"/>
      <c r="BA41" s="125"/>
      <c r="BB41" s="125"/>
      <c r="BC41" s="125"/>
      <c r="BD41" s="125"/>
      <c r="BE41" s="125"/>
      <c r="BF41" s="125"/>
      <c r="BG41" s="125"/>
      <c r="BH41" s="125"/>
      <c r="BI41" s="125"/>
      <c r="BJ41" s="125"/>
      <c r="BK41" s="125"/>
      <c r="BL41" s="125"/>
      <c r="BM41" s="125"/>
      <c r="BN41" s="125"/>
      <c r="BO41" s="125"/>
      <c r="BP41" s="244">
        <f t="shared" si="0"/>
        <v>163.798</v>
      </c>
      <c r="BQ41" s="248">
        <f t="shared" si="3"/>
        <v>327.596</v>
      </c>
      <c r="BR41" s="105">
        <f t="shared" si="1"/>
        <v>2410.8661999999995</v>
      </c>
      <c r="BS41" s="248">
        <f t="shared" si="4"/>
        <v>4821.732399999999</v>
      </c>
    </row>
    <row r="42" spans="1:71" s="16" customFormat="1" ht="17" x14ac:dyDescent="0.15">
      <c r="A42" s="118" t="s">
        <v>117</v>
      </c>
      <c r="B42" s="162" t="s">
        <v>120</v>
      </c>
      <c r="C42" s="162" t="s">
        <v>132</v>
      </c>
      <c r="D42" s="119" t="s">
        <v>62</v>
      </c>
      <c r="E42" s="117" t="s">
        <v>121</v>
      </c>
      <c r="F42" s="120">
        <v>8.2799999999999994</v>
      </c>
      <c r="G42" s="120">
        <v>707.82320000000004</v>
      </c>
      <c r="H42" s="120">
        <v>5862.262256</v>
      </c>
      <c r="I42" s="121">
        <v>648</v>
      </c>
      <c r="J42" s="122">
        <v>5365.44</v>
      </c>
      <c r="K42" s="120"/>
      <c r="L42" s="123"/>
      <c r="M42" s="251"/>
      <c r="N42" s="251"/>
      <c r="O42" s="251">
        <v>372</v>
      </c>
      <c r="P42" s="229">
        <f t="shared" si="5"/>
        <v>3080.16</v>
      </c>
      <c r="Q42" s="229"/>
      <c r="R42" s="229"/>
      <c r="S42" s="229"/>
      <c r="T42" s="229"/>
      <c r="U42" s="254"/>
      <c r="V42" s="229"/>
      <c r="W42" s="229"/>
      <c r="X42" s="229"/>
      <c r="Y42" s="229">
        <v>276</v>
      </c>
      <c r="Z42" s="251">
        <f>+Y42*F42</f>
        <v>2285.2799999999997</v>
      </c>
      <c r="AA42" s="251">
        <v>102</v>
      </c>
      <c r="AB42" s="251">
        <f>+AA42*F42</f>
        <v>844.56</v>
      </c>
      <c r="AC42" s="163">
        <f t="shared" si="2"/>
        <v>750</v>
      </c>
      <c r="AD42" s="163">
        <f t="shared" si="2"/>
        <v>6210</v>
      </c>
      <c r="AE42" s="124" t="s">
        <v>725</v>
      </c>
      <c r="AF42" s="124"/>
      <c r="AG42" s="124"/>
      <c r="AH42" s="124">
        <v>128.928</v>
      </c>
      <c r="AI42" s="124">
        <v>1067.46</v>
      </c>
      <c r="AJ42" s="124"/>
      <c r="AK42" s="124"/>
      <c r="AL42" s="124"/>
      <c r="AM42" s="124"/>
      <c r="AN42" s="124">
        <v>9.7639999999999993</v>
      </c>
      <c r="AO42" s="124">
        <v>80.84</v>
      </c>
      <c r="AP42" s="124"/>
      <c r="AQ42" s="124"/>
      <c r="AR42" s="124">
        <v>44.17</v>
      </c>
      <c r="AS42" s="124">
        <v>366.61100000000005</v>
      </c>
      <c r="AT42" s="124"/>
      <c r="AU42" s="124"/>
      <c r="AV42" s="124"/>
      <c r="AW42" s="124"/>
      <c r="AX42" s="124">
        <v>57.026000000000003</v>
      </c>
      <c r="AY42" s="124">
        <v>472.14</v>
      </c>
      <c r="AZ42" s="233">
        <v>57.026000000000003</v>
      </c>
      <c r="BA42" s="125">
        <v>472.14</v>
      </c>
      <c r="BB42" s="125">
        <v>56.997600000000006</v>
      </c>
      <c r="BC42" s="125">
        <v>471.94012800000002</v>
      </c>
      <c r="BD42" s="125"/>
      <c r="BE42" s="125"/>
      <c r="BF42" s="125"/>
      <c r="BG42" s="125"/>
      <c r="BH42" s="125"/>
      <c r="BI42" s="125"/>
      <c r="BJ42" s="125"/>
      <c r="BK42" s="125"/>
      <c r="BL42" s="125"/>
      <c r="BM42" s="125"/>
      <c r="BN42" s="125"/>
      <c r="BO42" s="125"/>
      <c r="BP42" s="244">
        <f t="shared" si="0"/>
        <v>353.91160000000002</v>
      </c>
      <c r="BQ42" s="248">
        <f t="shared" si="3"/>
        <v>707.82320000000004</v>
      </c>
      <c r="BR42" s="105">
        <f t="shared" si="1"/>
        <v>2931.131128</v>
      </c>
      <c r="BS42" s="248">
        <f t="shared" si="4"/>
        <v>5862.262256</v>
      </c>
    </row>
    <row r="43" spans="1:71" s="16" customFormat="1" ht="17" x14ac:dyDescent="0.15">
      <c r="A43" s="118" t="s">
        <v>154</v>
      </c>
      <c r="B43" s="162" t="s">
        <v>120</v>
      </c>
      <c r="C43" s="162" t="s">
        <v>167</v>
      </c>
      <c r="D43" s="119" t="s">
        <v>62</v>
      </c>
      <c r="E43" s="117" t="s">
        <v>121</v>
      </c>
      <c r="F43" s="120">
        <v>27.3</v>
      </c>
      <c r="G43" s="120">
        <v>1296.8407999999999</v>
      </c>
      <c r="H43" s="120">
        <v>35395.783040000002</v>
      </c>
      <c r="I43" s="121">
        <v>1281.8638000000001</v>
      </c>
      <c r="J43" s="122">
        <v>34994.881740000004</v>
      </c>
      <c r="K43" s="120"/>
      <c r="L43" s="123"/>
      <c r="M43" s="251"/>
      <c r="N43" s="251"/>
      <c r="O43" s="251"/>
      <c r="P43" s="229"/>
      <c r="Q43" s="229">
        <f>+G43*1.07</f>
        <v>1387.6196560000001</v>
      </c>
      <c r="R43" s="229">
        <f t="shared" ref="R43:R62" si="8">+Q43*F43</f>
        <v>37882.016608800004</v>
      </c>
      <c r="S43" s="229"/>
      <c r="T43" s="229"/>
      <c r="U43" s="254"/>
      <c r="V43" s="229"/>
      <c r="W43" s="229"/>
      <c r="X43" s="229"/>
      <c r="Y43" s="229">
        <v>51</v>
      </c>
      <c r="Z43" s="229">
        <f>+Y43*F43</f>
        <v>1392.3</v>
      </c>
      <c r="AA43" s="229">
        <v>93</v>
      </c>
      <c r="AB43" s="229">
        <f>+AA43*F43</f>
        <v>2538.9</v>
      </c>
      <c r="AC43" s="163">
        <f t="shared" si="2"/>
        <v>1374.8638000000001</v>
      </c>
      <c r="AD43" s="163">
        <f t="shared" si="2"/>
        <v>37533.781740000006</v>
      </c>
      <c r="AE43" s="124" t="s">
        <v>725</v>
      </c>
      <c r="AF43" s="124"/>
      <c r="AG43" s="124"/>
      <c r="AH43" s="124">
        <v>24.035999999999998</v>
      </c>
      <c r="AI43" s="124">
        <v>656.04000000000008</v>
      </c>
      <c r="AJ43" s="124"/>
      <c r="AK43" s="124"/>
      <c r="AL43" s="124"/>
      <c r="AM43" s="124"/>
      <c r="AN43" s="124"/>
      <c r="AO43" s="124"/>
      <c r="AP43" s="124"/>
      <c r="AQ43" s="124"/>
      <c r="AR43" s="124"/>
      <c r="AS43" s="124"/>
      <c r="AT43" s="124"/>
      <c r="AU43" s="124"/>
      <c r="AV43" s="124"/>
      <c r="AW43" s="124"/>
      <c r="AX43" s="124"/>
      <c r="AY43" s="124"/>
      <c r="AZ43" s="233"/>
      <c r="BA43" s="125"/>
      <c r="BB43" s="125"/>
      <c r="BC43" s="125"/>
      <c r="BD43" s="125">
        <v>559.46199999999999</v>
      </c>
      <c r="BE43" s="125">
        <v>15269.470000000001</v>
      </c>
      <c r="BF43" s="125"/>
      <c r="BG43" s="125"/>
      <c r="BH43" s="125">
        <v>64.92240000000001</v>
      </c>
      <c r="BI43" s="125">
        <v>1772.3815200000001</v>
      </c>
      <c r="BJ43" s="125"/>
      <c r="BK43" s="125"/>
      <c r="BL43" s="125"/>
      <c r="BM43" s="125"/>
      <c r="BN43" s="125"/>
      <c r="BO43" s="125"/>
      <c r="BP43" s="244">
        <f t="shared" si="0"/>
        <v>648.42039999999997</v>
      </c>
      <c r="BQ43" s="248">
        <f t="shared" si="3"/>
        <v>1296.8407999999999</v>
      </c>
      <c r="BR43" s="105">
        <f t="shared" si="1"/>
        <v>17697.891520000001</v>
      </c>
      <c r="BS43" s="248">
        <f t="shared" si="4"/>
        <v>35395.783040000002</v>
      </c>
    </row>
    <row r="44" spans="1:71" s="16" customFormat="1" ht="17" hidden="1" x14ac:dyDescent="0.15">
      <c r="A44" s="118" t="s">
        <v>155</v>
      </c>
      <c r="B44" s="162" t="s">
        <v>120</v>
      </c>
      <c r="C44" s="162" t="s">
        <v>169</v>
      </c>
      <c r="D44" s="119" t="s">
        <v>62</v>
      </c>
      <c r="E44" s="117" t="s">
        <v>121</v>
      </c>
      <c r="F44" s="120">
        <v>17.8</v>
      </c>
      <c r="G44" s="120">
        <v>92.62</v>
      </c>
      <c r="H44" s="120">
        <v>1629.2</v>
      </c>
      <c r="I44" s="121">
        <v>102.75120000000001</v>
      </c>
      <c r="J44" s="122">
        <v>1828.9713600000002</v>
      </c>
      <c r="K44" s="120"/>
      <c r="L44" s="123"/>
      <c r="M44" s="251"/>
      <c r="N44" s="251"/>
      <c r="O44" s="251"/>
      <c r="P44" s="229"/>
      <c r="Q44" s="229">
        <f>+G44*1.08</f>
        <v>100.02960000000002</v>
      </c>
      <c r="R44" s="229">
        <f t="shared" si="8"/>
        <v>1780.5268800000003</v>
      </c>
      <c r="S44" s="229"/>
      <c r="T44" s="229"/>
      <c r="U44" s="254"/>
      <c r="V44" s="229"/>
      <c r="W44" s="229"/>
      <c r="X44" s="229"/>
      <c r="Y44" s="229"/>
      <c r="Z44" s="229"/>
      <c r="AA44" s="229"/>
      <c r="AB44" s="229"/>
      <c r="AC44" s="163">
        <f t="shared" si="2"/>
        <v>102.75120000000001</v>
      </c>
      <c r="AD44" s="163">
        <f t="shared" si="2"/>
        <v>1828.9713600000002</v>
      </c>
      <c r="AE44" s="124" t="s">
        <v>168</v>
      </c>
      <c r="AF44" s="124"/>
      <c r="AG44" s="124"/>
      <c r="AH44" s="124"/>
      <c r="AI44" s="124"/>
      <c r="AJ44" s="124"/>
      <c r="AK44" s="124"/>
      <c r="AL44" s="124"/>
      <c r="AM44" s="124"/>
      <c r="AN44" s="124"/>
      <c r="AO44" s="124"/>
      <c r="AP44" s="124"/>
      <c r="AQ44" s="124"/>
      <c r="AR44" s="124"/>
      <c r="AS44" s="124"/>
      <c r="AT44" s="124"/>
      <c r="AU44" s="124"/>
      <c r="AV44" s="124"/>
      <c r="AW44" s="124"/>
      <c r="AX44" s="124"/>
      <c r="AY44" s="124"/>
      <c r="AZ44" s="233"/>
      <c r="BA44" s="125"/>
      <c r="BB44" s="125"/>
      <c r="BC44" s="125"/>
      <c r="BD44" s="125">
        <v>46.31</v>
      </c>
      <c r="BE44" s="125">
        <v>814.6</v>
      </c>
      <c r="BF44" s="125"/>
      <c r="BG44" s="125"/>
      <c r="BH44" s="125"/>
      <c r="BI44" s="125"/>
      <c r="BJ44" s="125"/>
      <c r="BK44" s="125"/>
      <c r="BL44" s="125"/>
      <c r="BM44" s="125"/>
      <c r="BN44" s="125"/>
      <c r="BO44" s="125"/>
      <c r="BP44" s="244">
        <f t="shared" si="0"/>
        <v>46.31</v>
      </c>
      <c r="BQ44" s="248">
        <f t="shared" si="3"/>
        <v>92.62</v>
      </c>
      <c r="BR44" s="105">
        <f t="shared" si="1"/>
        <v>814.6</v>
      </c>
      <c r="BS44" s="248">
        <f t="shared" si="4"/>
        <v>1629.2</v>
      </c>
    </row>
    <row r="45" spans="1:71" s="16" customFormat="1" ht="17" hidden="1" x14ac:dyDescent="0.15">
      <c r="A45" s="118" t="s">
        <v>156</v>
      </c>
      <c r="B45" s="162" t="s">
        <v>120</v>
      </c>
      <c r="C45" s="162" t="s">
        <v>170</v>
      </c>
      <c r="D45" s="119" t="s">
        <v>62</v>
      </c>
      <c r="E45" s="117" t="s">
        <v>121</v>
      </c>
      <c r="F45" s="120">
        <v>73.599999999999994</v>
      </c>
      <c r="G45" s="120"/>
      <c r="H45" s="120"/>
      <c r="I45" s="121">
        <v>44</v>
      </c>
      <c r="J45" s="122">
        <v>3238.3999999999996</v>
      </c>
      <c r="K45" s="120"/>
      <c r="L45" s="123"/>
      <c r="M45" s="251"/>
      <c r="N45" s="251"/>
      <c r="O45" s="251"/>
      <c r="P45" s="229"/>
      <c r="Q45" s="229">
        <v>44</v>
      </c>
      <c r="R45" s="229">
        <f t="shared" si="8"/>
        <v>3238.3999999999996</v>
      </c>
      <c r="S45" s="229"/>
      <c r="T45" s="229"/>
      <c r="U45" s="254"/>
      <c r="V45" s="229"/>
      <c r="W45" s="229"/>
      <c r="X45" s="229"/>
      <c r="Y45" s="229"/>
      <c r="Z45" s="229"/>
      <c r="AA45" s="229">
        <v>-44</v>
      </c>
      <c r="AB45" s="229">
        <f>+AA45*F45</f>
        <v>-3238.3999999999996</v>
      </c>
      <c r="AC45" s="163">
        <f t="shared" si="2"/>
        <v>0</v>
      </c>
      <c r="AD45" s="163">
        <f t="shared" si="2"/>
        <v>0</v>
      </c>
      <c r="AE45" s="124" t="s">
        <v>725</v>
      </c>
      <c r="AF45" s="124"/>
      <c r="AG45" s="124"/>
      <c r="AH45" s="124"/>
      <c r="AI45" s="124"/>
      <c r="AJ45" s="124"/>
      <c r="AK45" s="124"/>
      <c r="AL45" s="124"/>
      <c r="AM45" s="124"/>
      <c r="AN45" s="124"/>
      <c r="AO45" s="124"/>
      <c r="AP45" s="124"/>
      <c r="AQ45" s="124"/>
      <c r="AR45" s="124"/>
      <c r="AS45" s="124"/>
      <c r="AT45" s="124"/>
      <c r="AU45" s="124"/>
      <c r="AV45" s="124"/>
      <c r="AW45" s="124"/>
      <c r="AX45" s="124"/>
      <c r="AY45" s="124"/>
      <c r="AZ45" s="233"/>
      <c r="BA45" s="125"/>
      <c r="BB45" s="125"/>
      <c r="BC45" s="125"/>
      <c r="BD45" s="125"/>
      <c r="BE45" s="125"/>
      <c r="BF45" s="125"/>
      <c r="BG45" s="125"/>
      <c r="BH45" s="125"/>
      <c r="BI45" s="125"/>
      <c r="BJ45" s="125"/>
      <c r="BK45" s="125"/>
      <c r="BL45" s="125"/>
      <c r="BM45" s="125"/>
      <c r="BN45" s="125"/>
      <c r="BO45" s="125"/>
      <c r="BP45" s="244">
        <f t="shared" si="0"/>
        <v>0</v>
      </c>
      <c r="BQ45" s="248">
        <f t="shared" si="3"/>
        <v>0</v>
      </c>
      <c r="BR45" s="105">
        <f t="shared" si="1"/>
        <v>0</v>
      </c>
      <c r="BS45" s="248">
        <f t="shared" si="4"/>
        <v>0</v>
      </c>
    </row>
    <row r="46" spans="1:71" s="16" customFormat="1" ht="17" x14ac:dyDescent="0.15">
      <c r="A46" s="118" t="s">
        <v>157</v>
      </c>
      <c r="B46" s="162" t="s">
        <v>118</v>
      </c>
      <c r="C46" s="162" t="s">
        <v>171</v>
      </c>
      <c r="D46" s="119" t="s">
        <v>62</v>
      </c>
      <c r="E46" s="117" t="s">
        <v>121</v>
      </c>
      <c r="F46" s="120">
        <v>30.3</v>
      </c>
      <c r="G46" s="120">
        <v>647.05599999999993</v>
      </c>
      <c r="H46" s="120">
        <v>19629.120000000003</v>
      </c>
      <c r="I46" s="121">
        <v>630.40960000000007</v>
      </c>
      <c r="J46" s="122">
        <v>19101.410880000003</v>
      </c>
      <c r="K46" s="120"/>
      <c r="L46" s="123"/>
      <c r="M46" s="251"/>
      <c r="N46" s="251"/>
      <c r="O46" s="251"/>
      <c r="P46" s="229"/>
      <c r="Q46" s="229">
        <f>+G46*1.1</f>
        <v>711.76159999999993</v>
      </c>
      <c r="R46" s="229">
        <f t="shared" si="8"/>
        <v>21566.376479999999</v>
      </c>
      <c r="S46" s="229">
        <f>388.16*1.06</f>
        <v>411.44960000000003</v>
      </c>
      <c r="T46" s="251">
        <f>+S46*F46</f>
        <v>12466.922880000002</v>
      </c>
      <c r="U46" s="252"/>
      <c r="V46" s="251"/>
      <c r="W46" s="251"/>
      <c r="X46" s="251"/>
      <c r="Y46" s="251">
        <v>116</v>
      </c>
      <c r="Z46" s="229">
        <f>+Y46*F46</f>
        <v>3514.8</v>
      </c>
      <c r="AA46" s="229">
        <v>55</v>
      </c>
      <c r="AB46" s="229">
        <f>+AA46*F46</f>
        <v>1666.5</v>
      </c>
      <c r="AC46" s="163">
        <f t="shared" si="2"/>
        <v>685.40960000000007</v>
      </c>
      <c r="AD46" s="163">
        <f t="shared" si="2"/>
        <v>20767.910880000003</v>
      </c>
      <c r="AE46" s="124" t="s">
        <v>725</v>
      </c>
      <c r="AF46" s="124">
        <v>194.11399999999998</v>
      </c>
      <c r="AG46" s="124">
        <v>5888.34</v>
      </c>
      <c r="AH46" s="124">
        <v>54.128</v>
      </c>
      <c r="AI46" s="124">
        <v>1642.0500000000002</v>
      </c>
      <c r="AJ46" s="124"/>
      <c r="AK46" s="124"/>
      <c r="AL46" s="124"/>
      <c r="AM46" s="124"/>
      <c r="AN46" s="124"/>
      <c r="AO46" s="124"/>
      <c r="AP46" s="124"/>
      <c r="AQ46" s="124"/>
      <c r="AR46" s="124"/>
      <c r="AS46" s="124"/>
      <c r="AT46" s="124"/>
      <c r="AU46" s="124"/>
      <c r="AV46" s="124"/>
      <c r="AW46" s="124"/>
      <c r="AX46" s="124"/>
      <c r="AY46" s="124"/>
      <c r="AZ46" s="233"/>
      <c r="BA46" s="125"/>
      <c r="BB46" s="125"/>
      <c r="BC46" s="125"/>
      <c r="BD46" s="125">
        <v>75.286000000000001</v>
      </c>
      <c r="BE46" s="125">
        <v>2284.17</v>
      </c>
      <c r="BF46" s="125"/>
      <c r="BG46" s="125"/>
      <c r="BH46" s="125"/>
      <c r="BI46" s="125"/>
      <c r="BJ46" s="125"/>
      <c r="BK46" s="125"/>
      <c r="BL46" s="125"/>
      <c r="BM46" s="125"/>
      <c r="BN46" s="125"/>
      <c r="BO46" s="125"/>
      <c r="BP46" s="244">
        <f t="shared" si="0"/>
        <v>323.52799999999996</v>
      </c>
      <c r="BQ46" s="248">
        <f t="shared" si="3"/>
        <v>647.05599999999993</v>
      </c>
      <c r="BR46" s="105">
        <f t="shared" si="1"/>
        <v>9814.5600000000013</v>
      </c>
      <c r="BS46" s="248">
        <f t="shared" si="4"/>
        <v>19629.120000000003</v>
      </c>
    </row>
    <row r="47" spans="1:71" s="16" customFormat="1" ht="17" hidden="1" x14ac:dyDescent="0.15">
      <c r="A47" s="118" t="s">
        <v>158</v>
      </c>
      <c r="B47" s="162" t="s">
        <v>178</v>
      </c>
      <c r="C47" s="162" t="s">
        <v>172</v>
      </c>
      <c r="D47" s="119" t="s">
        <v>62</v>
      </c>
      <c r="E47" s="117" t="s">
        <v>51</v>
      </c>
      <c r="F47" s="120">
        <v>47.099999999999994</v>
      </c>
      <c r="G47" s="120">
        <v>973.58768577494686</v>
      </c>
      <c r="H47" s="120">
        <v>45855.979999999996</v>
      </c>
      <c r="I47" s="121">
        <v>1007.5999999999999</v>
      </c>
      <c r="J47" s="122">
        <v>47457.959999999992</v>
      </c>
      <c r="K47" s="120"/>
      <c r="L47" s="123"/>
      <c r="M47" s="251"/>
      <c r="N47" s="251"/>
      <c r="O47" s="251"/>
      <c r="P47" s="229"/>
      <c r="Q47" s="229">
        <f>44*2*11.45</f>
        <v>1007.5999999999999</v>
      </c>
      <c r="R47" s="229">
        <f t="shared" si="8"/>
        <v>47457.959999999992</v>
      </c>
      <c r="S47" s="229"/>
      <c r="T47" s="229"/>
      <c r="U47" s="254"/>
      <c r="V47" s="229"/>
      <c r="W47" s="229"/>
      <c r="X47" s="229"/>
      <c r="Y47" s="229"/>
      <c r="Z47" s="229"/>
      <c r="AA47" s="229"/>
      <c r="AB47" s="229"/>
      <c r="AC47" s="163">
        <f t="shared" si="2"/>
        <v>1007.5999999999999</v>
      </c>
      <c r="AD47" s="163">
        <f t="shared" si="2"/>
        <v>47457.959999999992</v>
      </c>
      <c r="AE47" s="124" t="s">
        <v>176</v>
      </c>
      <c r="AF47" s="124"/>
      <c r="AG47" s="124"/>
      <c r="AH47" s="124"/>
      <c r="AI47" s="124"/>
      <c r="AJ47" s="124"/>
      <c r="AK47" s="124"/>
      <c r="AL47" s="124"/>
      <c r="AM47" s="124"/>
      <c r="AN47" s="124"/>
      <c r="AO47" s="124"/>
      <c r="AP47" s="124"/>
      <c r="AQ47" s="124"/>
      <c r="AR47" s="124"/>
      <c r="AS47" s="124"/>
      <c r="AT47" s="124"/>
      <c r="AU47" s="124"/>
      <c r="AV47" s="124"/>
      <c r="AW47" s="124"/>
      <c r="AX47" s="124"/>
      <c r="AY47" s="124"/>
      <c r="AZ47" s="233"/>
      <c r="BA47" s="125"/>
      <c r="BB47" s="125"/>
      <c r="BC47" s="125"/>
      <c r="BD47" s="125">
        <v>486.79384288747343</v>
      </c>
      <c r="BE47" s="125">
        <v>22927.989999999998</v>
      </c>
      <c r="BF47" s="125"/>
      <c r="BG47" s="125"/>
      <c r="BH47" s="125"/>
      <c r="BI47" s="125"/>
      <c r="BJ47" s="125"/>
      <c r="BK47" s="125"/>
      <c r="BL47" s="125"/>
      <c r="BM47" s="125"/>
      <c r="BN47" s="125"/>
      <c r="BO47" s="125"/>
      <c r="BP47" s="244">
        <f t="shared" si="0"/>
        <v>486.79384288747343</v>
      </c>
      <c r="BQ47" s="248">
        <f t="shared" si="3"/>
        <v>973.58768577494686</v>
      </c>
      <c r="BR47" s="105">
        <f t="shared" si="1"/>
        <v>22927.989999999998</v>
      </c>
      <c r="BS47" s="248">
        <f t="shared" si="4"/>
        <v>45855.979999999996</v>
      </c>
    </row>
    <row r="48" spans="1:71" s="16" customFormat="1" ht="17" hidden="1" x14ac:dyDescent="0.15">
      <c r="A48" s="118" t="s">
        <v>159</v>
      </c>
      <c r="B48" s="162" t="s">
        <v>177</v>
      </c>
      <c r="C48" s="162" t="s">
        <v>174</v>
      </c>
      <c r="D48" s="119" t="s">
        <v>62</v>
      </c>
      <c r="E48" s="117" t="s">
        <v>51</v>
      </c>
      <c r="F48" s="120">
        <v>47.099999999999994</v>
      </c>
      <c r="G48" s="120">
        <v>113.74607218683653</v>
      </c>
      <c r="H48" s="120">
        <v>5357.4400000000005</v>
      </c>
      <c r="I48" s="121">
        <v>119.08026900000002</v>
      </c>
      <c r="J48" s="122">
        <v>5608.6806698999999</v>
      </c>
      <c r="K48" s="120"/>
      <c r="L48" s="123"/>
      <c r="M48" s="251"/>
      <c r="N48" s="251"/>
      <c r="O48" s="251"/>
      <c r="P48" s="229"/>
      <c r="Q48" s="229">
        <f>+G48*1.15</f>
        <v>130.807983014862</v>
      </c>
      <c r="R48" s="229">
        <f t="shared" si="8"/>
        <v>6161.0559999999996</v>
      </c>
      <c r="S48" s="229"/>
      <c r="T48" s="229"/>
      <c r="U48" s="254"/>
      <c r="V48" s="229"/>
      <c r="W48" s="229"/>
      <c r="X48" s="229"/>
      <c r="Y48" s="229"/>
      <c r="Z48" s="229"/>
      <c r="AA48" s="229">
        <v>12</v>
      </c>
      <c r="AB48" s="229">
        <f>+AA48*F48</f>
        <v>565.19999999999993</v>
      </c>
      <c r="AC48" s="163">
        <f t="shared" si="2"/>
        <v>131.08026900000002</v>
      </c>
      <c r="AD48" s="163">
        <f t="shared" si="2"/>
        <v>6173.8806698999997</v>
      </c>
      <c r="AE48" s="124" t="s">
        <v>725</v>
      </c>
      <c r="AF48" s="124"/>
      <c r="AG48" s="124"/>
      <c r="AH48" s="124"/>
      <c r="AI48" s="124"/>
      <c r="AJ48" s="124"/>
      <c r="AK48" s="124"/>
      <c r="AL48" s="124"/>
      <c r="AM48" s="124"/>
      <c r="AN48" s="124"/>
      <c r="AO48" s="124"/>
      <c r="AP48" s="124"/>
      <c r="AQ48" s="124"/>
      <c r="AR48" s="124"/>
      <c r="AS48" s="124"/>
      <c r="AT48" s="124"/>
      <c r="AU48" s="124"/>
      <c r="AV48" s="124"/>
      <c r="AW48" s="124"/>
      <c r="AX48" s="124"/>
      <c r="AY48" s="124"/>
      <c r="AZ48" s="233"/>
      <c r="BA48" s="125"/>
      <c r="BB48" s="125"/>
      <c r="BC48" s="125"/>
      <c r="BD48" s="125">
        <v>56.873036093418264</v>
      </c>
      <c r="BE48" s="125">
        <v>2678.7200000000003</v>
      </c>
      <c r="BF48" s="125"/>
      <c r="BG48" s="125"/>
      <c r="BH48" s="125"/>
      <c r="BI48" s="125"/>
      <c r="BJ48" s="125"/>
      <c r="BK48" s="125"/>
      <c r="BL48" s="125"/>
      <c r="BM48" s="125"/>
      <c r="BN48" s="125"/>
      <c r="BO48" s="125"/>
      <c r="BP48" s="244">
        <f t="shared" si="0"/>
        <v>56.873036093418264</v>
      </c>
      <c r="BQ48" s="248">
        <f t="shared" si="3"/>
        <v>113.74607218683653</v>
      </c>
      <c r="BR48" s="105">
        <f t="shared" si="1"/>
        <v>2678.7200000000003</v>
      </c>
      <c r="BS48" s="248">
        <f t="shared" si="4"/>
        <v>5357.4400000000005</v>
      </c>
    </row>
    <row r="49" spans="1:71" s="16" customFormat="1" ht="17" hidden="1" x14ac:dyDescent="0.15">
      <c r="A49" s="118" t="s">
        <v>160</v>
      </c>
      <c r="B49" s="162" t="s">
        <v>178</v>
      </c>
      <c r="C49" s="162" t="s">
        <v>175</v>
      </c>
      <c r="D49" s="119" t="s">
        <v>62</v>
      </c>
      <c r="E49" s="117" t="s">
        <v>51</v>
      </c>
      <c r="F49" s="120">
        <v>62.8</v>
      </c>
      <c r="G49" s="120">
        <v>556.18121019108298</v>
      </c>
      <c r="H49" s="120">
        <v>34928.180000000008</v>
      </c>
      <c r="I49" s="121">
        <v>572.5</v>
      </c>
      <c r="J49" s="122">
        <v>35953</v>
      </c>
      <c r="K49" s="120"/>
      <c r="L49" s="123"/>
      <c r="M49" s="251"/>
      <c r="N49" s="251"/>
      <c r="O49" s="251"/>
      <c r="P49" s="229"/>
      <c r="Q49" s="229">
        <f>25*2*11.45</f>
        <v>572.5</v>
      </c>
      <c r="R49" s="229">
        <f t="shared" si="8"/>
        <v>35953</v>
      </c>
      <c r="S49" s="229"/>
      <c r="T49" s="229"/>
      <c r="U49" s="254"/>
      <c r="V49" s="229"/>
      <c r="W49" s="229"/>
      <c r="X49" s="229"/>
      <c r="Y49" s="229"/>
      <c r="Z49" s="229"/>
      <c r="AA49" s="229"/>
      <c r="AB49" s="229"/>
      <c r="AC49" s="163">
        <f t="shared" si="2"/>
        <v>572.5</v>
      </c>
      <c r="AD49" s="163">
        <f t="shared" si="2"/>
        <v>35953</v>
      </c>
      <c r="AE49" s="124" t="s">
        <v>183</v>
      </c>
      <c r="AF49" s="124"/>
      <c r="AG49" s="124"/>
      <c r="AH49" s="124"/>
      <c r="AI49" s="124"/>
      <c r="AJ49" s="124"/>
      <c r="AK49" s="124"/>
      <c r="AL49" s="124"/>
      <c r="AM49" s="124"/>
      <c r="AN49" s="124"/>
      <c r="AO49" s="124"/>
      <c r="AP49" s="124"/>
      <c r="AQ49" s="124"/>
      <c r="AR49" s="124"/>
      <c r="AS49" s="124"/>
      <c r="AT49" s="124"/>
      <c r="AU49" s="124"/>
      <c r="AV49" s="124"/>
      <c r="AW49" s="124"/>
      <c r="AX49" s="124"/>
      <c r="AY49" s="124"/>
      <c r="AZ49" s="233"/>
      <c r="BA49" s="125"/>
      <c r="BB49" s="125"/>
      <c r="BC49" s="125"/>
      <c r="BD49" s="125">
        <v>278.09060509554149</v>
      </c>
      <c r="BE49" s="125">
        <v>17464.090000000004</v>
      </c>
      <c r="BF49" s="125"/>
      <c r="BG49" s="125"/>
      <c r="BH49" s="125"/>
      <c r="BI49" s="125"/>
      <c r="BJ49" s="125"/>
      <c r="BK49" s="125"/>
      <c r="BL49" s="125"/>
      <c r="BM49" s="125"/>
      <c r="BN49" s="125"/>
      <c r="BO49" s="125"/>
      <c r="BP49" s="244">
        <f t="shared" si="0"/>
        <v>278.09060509554149</v>
      </c>
      <c r="BQ49" s="248">
        <f t="shared" si="3"/>
        <v>556.18121019108298</v>
      </c>
      <c r="BR49" s="105">
        <f t="shared" si="1"/>
        <v>17464.090000000004</v>
      </c>
      <c r="BS49" s="248">
        <f t="shared" si="4"/>
        <v>34928.180000000008</v>
      </c>
    </row>
    <row r="50" spans="1:71" s="16" customFormat="1" ht="17" hidden="1" x14ac:dyDescent="0.15">
      <c r="A50" s="118" t="s">
        <v>161</v>
      </c>
      <c r="B50" s="162" t="s">
        <v>179</v>
      </c>
      <c r="C50" s="162" t="s">
        <v>180</v>
      </c>
      <c r="D50" s="119" t="s">
        <v>62</v>
      </c>
      <c r="E50" s="117" t="s">
        <v>51</v>
      </c>
      <c r="F50" s="120">
        <v>62.8</v>
      </c>
      <c r="G50" s="311">
        <v>83</v>
      </c>
      <c r="H50" s="311">
        <v>5181</v>
      </c>
      <c r="I50" s="121">
        <v>59.2</v>
      </c>
      <c r="J50" s="122">
        <v>3717.76</v>
      </c>
      <c r="K50" s="120"/>
      <c r="L50" s="123"/>
      <c r="M50" s="251"/>
      <c r="N50" s="251"/>
      <c r="O50" s="251"/>
      <c r="P50" s="229"/>
      <c r="Q50" s="229">
        <f>4*2*7.4</f>
        <v>59.2</v>
      </c>
      <c r="R50" s="229">
        <f t="shared" si="8"/>
        <v>3717.76</v>
      </c>
      <c r="S50" s="229"/>
      <c r="T50" s="229"/>
      <c r="U50" s="254"/>
      <c r="V50" s="229"/>
      <c r="W50" s="229"/>
      <c r="X50" s="229"/>
      <c r="Y50" s="229"/>
      <c r="Z50" s="229"/>
      <c r="AA50" s="229"/>
      <c r="AB50" s="229"/>
      <c r="AC50" s="163">
        <f t="shared" si="2"/>
        <v>59.2</v>
      </c>
      <c r="AD50" s="163">
        <f t="shared" si="2"/>
        <v>3717.76</v>
      </c>
      <c r="AE50" s="124" t="s">
        <v>182</v>
      </c>
      <c r="AF50" s="124"/>
      <c r="AG50" s="124"/>
      <c r="AH50" s="124"/>
      <c r="AI50" s="124"/>
      <c r="AJ50" s="124"/>
      <c r="AK50" s="124"/>
      <c r="AL50" s="124"/>
      <c r="AM50" s="124"/>
      <c r="AN50" s="124"/>
      <c r="AO50" s="124"/>
      <c r="AP50" s="124"/>
      <c r="AQ50" s="124"/>
      <c r="AR50" s="124"/>
      <c r="AS50" s="124"/>
      <c r="AT50" s="124"/>
      <c r="AU50" s="124"/>
      <c r="AV50" s="124"/>
      <c r="AW50" s="124"/>
      <c r="AX50" s="124"/>
      <c r="AY50" s="124"/>
      <c r="AZ50" s="233"/>
      <c r="BA50" s="125"/>
      <c r="BB50" s="241"/>
      <c r="BC50" s="241"/>
      <c r="BD50" s="313">
        <v>41.252547770700637</v>
      </c>
      <c r="BE50" s="309">
        <v>2590.66</v>
      </c>
      <c r="BF50" s="236"/>
      <c r="BG50" s="236"/>
      <c r="BH50" s="236"/>
      <c r="BI50" s="236"/>
      <c r="BJ50" s="236"/>
      <c r="BK50" s="236"/>
      <c r="BL50" s="236"/>
      <c r="BM50" s="236"/>
      <c r="BN50" s="236"/>
      <c r="BO50" s="236"/>
      <c r="BP50" s="244">
        <f t="shared" si="0"/>
        <v>41.252547770700637</v>
      </c>
      <c r="BQ50" s="248">
        <f t="shared" si="3"/>
        <v>82.505095541401275</v>
      </c>
      <c r="BR50" s="105">
        <f t="shared" si="1"/>
        <v>2590.66</v>
      </c>
      <c r="BS50" s="248">
        <f t="shared" si="4"/>
        <v>5181.32</v>
      </c>
    </row>
    <row r="51" spans="1:71" s="16" customFormat="1" ht="17" hidden="1" x14ac:dyDescent="0.15">
      <c r="A51" s="118" t="s">
        <v>162</v>
      </c>
      <c r="B51" s="162" t="s">
        <v>179</v>
      </c>
      <c r="C51" s="162" t="s">
        <v>181</v>
      </c>
      <c r="D51" s="119" t="s">
        <v>62</v>
      </c>
      <c r="E51" s="117" t="s">
        <v>51</v>
      </c>
      <c r="F51" s="120">
        <v>62.8</v>
      </c>
      <c r="G51" s="319"/>
      <c r="H51" s="319"/>
      <c r="I51" s="121">
        <v>41.6</v>
      </c>
      <c r="J51" s="122">
        <v>2612.48</v>
      </c>
      <c r="K51" s="120"/>
      <c r="L51" s="123"/>
      <c r="M51" s="251"/>
      <c r="N51" s="251"/>
      <c r="O51" s="251"/>
      <c r="P51" s="229"/>
      <c r="Q51" s="229">
        <f>10.4*2*2</f>
        <v>41.6</v>
      </c>
      <c r="R51" s="229">
        <f t="shared" si="8"/>
        <v>2612.48</v>
      </c>
      <c r="S51" s="229"/>
      <c r="T51" s="229"/>
      <c r="U51" s="254"/>
      <c r="V51" s="229"/>
      <c r="W51" s="229"/>
      <c r="X51" s="229"/>
      <c r="Y51" s="229"/>
      <c r="Z51" s="229"/>
      <c r="AA51" s="229"/>
      <c r="AB51" s="229"/>
      <c r="AC51" s="163">
        <f t="shared" si="2"/>
        <v>41.6</v>
      </c>
      <c r="AD51" s="163">
        <f t="shared" si="2"/>
        <v>2612.48</v>
      </c>
      <c r="AE51" s="124" t="s">
        <v>184</v>
      </c>
      <c r="AF51" s="124"/>
      <c r="AG51" s="124"/>
      <c r="AH51" s="124"/>
      <c r="AI51" s="124"/>
      <c r="AJ51" s="124"/>
      <c r="AK51" s="124"/>
      <c r="AL51" s="124"/>
      <c r="AM51" s="124"/>
      <c r="AN51" s="124"/>
      <c r="AO51" s="124"/>
      <c r="AP51" s="124"/>
      <c r="AQ51" s="124"/>
      <c r="AR51" s="124"/>
      <c r="AS51" s="124"/>
      <c r="AT51" s="124"/>
      <c r="AU51" s="124"/>
      <c r="AV51" s="124"/>
      <c r="AW51" s="124"/>
      <c r="AX51" s="124"/>
      <c r="AY51" s="124"/>
      <c r="AZ51" s="233"/>
      <c r="BA51" s="125"/>
      <c r="BB51" s="242"/>
      <c r="BC51" s="242"/>
      <c r="BD51" s="315"/>
      <c r="BE51" s="310"/>
      <c r="BF51" s="238"/>
      <c r="BG51" s="238"/>
      <c r="BH51" s="238"/>
      <c r="BI51" s="238"/>
      <c r="BJ51" s="238"/>
      <c r="BK51" s="238"/>
      <c r="BL51" s="238"/>
      <c r="BM51" s="238"/>
      <c r="BN51" s="238"/>
      <c r="BO51" s="238"/>
      <c r="BP51" s="244">
        <f t="shared" si="0"/>
        <v>0</v>
      </c>
      <c r="BQ51" s="248">
        <f t="shared" si="3"/>
        <v>0</v>
      </c>
      <c r="BR51" s="105">
        <f t="shared" si="1"/>
        <v>0</v>
      </c>
      <c r="BS51" s="248">
        <f t="shared" si="4"/>
        <v>0</v>
      </c>
    </row>
    <row r="52" spans="1:71" s="16" customFormat="1" ht="17" hidden="1" x14ac:dyDescent="0.15">
      <c r="A52" s="118" t="s">
        <v>163</v>
      </c>
      <c r="B52" s="162" t="s">
        <v>178</v>
      </c>
      <c r="C52" s="162" t="s">
        <v>185</v>
      </c>
      <c r="D52" s="119" t="s">
        <v>62</v>
      </c>
      <c r="E52" s="117" t="s">
        <v>51</v>
      </c>
      <c r="F52" s="120">
        <v>78.5</v>
      </c>
      <c r="G52" s="120">
        <v>541.93121019108287</v>
      </c>
      <c r="H52" s="120">
        <v>42541.600000000006</v>
      </c>
      <c r="I52" s="121">
        <v>572.5</v>
      </c>
      <c r="J52" s="122">
        <v>44941.25</v>
      </c>
      <c r="K52" s="120"/>
      <c r="L52" s="123"/>
      <c r="M52" s="251"/>
      <c r="N52" s="251"/>
      <c r="O52" s="251"/>
      <c r="P52" s="229"/>
      <c r="Q52" s="229">
        <f>25*2*11.45</f>
        <v>572.5</v>
      </c>
      <c r="R52" s="229">
        <f t="shared" si="8"/>
        <v>44941.25</v>
      </c>
      <c r="S52" s="229"/>
      <c r="T52" s="229"/>
      <c r="U52" s="254"/>
      <c r="V52" s="229"/>
      <c r="W52" s="229"/>
      <c r="X52" s="229"/>
      <c r="Y52" s="229"/>
      <c r="Z52" s="229"/>
      <c r="AA52" s="229"/>
      <c r="AB52" s="229"/>
      <c r="AC52" s="163">
        <f t="shared" si="2"/>
        <v>572.5</v>
      </c>
      <c r="AD52" s="163">
        <f t="shared" si="2"/>
        <v>44941.25</v>
      </c>
      <c r="AE52" s="124" t="s">
        <v>186</v>
      </c>
      <c r="AF52" s="124"/>
      <c r="AG52" s="124"/>
      <c r="AH52" s="124"/>
      <c r="AI52" s="124"/>
      <c r="AJ52" s="124"/>
      <c r="AK52" s="124"/>
      <c r="AL52" s="124"/>
      <c r="AM52" s="124"/>
      <c r="AN52" s="124"/>
      <c r="AO52" s="124"/>
      <c r="AP52" s="124"/>
      <c r="AQ52" s="124"/>
      <c r="AR52" s="124"/>
      <c r="AS52" s="124"/>
      <c r="AT52" s="124"/>
      <c r="AU52" s="124"/>
      <c r="AV52" s="124"/>
      <c r="AW52" s="124"/>
      <c r="AX52" s="124"/>
      <c r="AY52" s="124"/>
      <c r="AZ52" s="233"/>
      <c r="BA52" s="125"/>
      <c r="BB52" s="125"/>
      <c r="BC52" s="125"/>
      <c r="BD52" s="125">
        <v>270.96560509554143</v>
      </c>
      <c r="BE52" s="125">
        <v>21270.800000000003</v>
      </c>
      <c r="BF52" s="125"/>
      <c r="BG52" s="125"/>
      <c r="BH52" s="125"/>
      <c r="BI52" s="125"/>
      <c r="BJ52" s="125"/>
      <c r="BK52" s="125"/>
      <c r="BL52" s="125"/>
      <c r="BM52" s="125"/>
      <c r="BN52" s="125"/>
      <c r="BO52" s="125"/>
      <c r="BP52" s="244">
        <f t="shared" si="0"/>
        <v>270.96560509554143</v>
      </c>
      <c r="BQ52" s="248">
        <f t="shared" si="3"/>
        <v>541.93121019108287</v>
      </c>
      <c r="BR52" s="105">
        <f t="shared" si="1"/>
        <v>21270.800000000003</v>
      </c>
      <c r="BS52" s="248">
        <f t="shared" si="4"/>
        <v>42541.600000000006</v>
      </c>
    </row>
    <row r="53" spans="1:71" s="16" customFormat="1" ht="17" hidden="1" x14ac:dyDescent="0.15">
      <c r="A53" s="118" t="s">
        <v>164</v>
      </c>
      <c r="B53" s="162" t="s">
        <v>178</v>
      </c>
      <c r="C53" s="162" t="s">
        <v>187</v>
      </c>
      <c r="D53" s="119" t="s">
        <v>62</v>
      </c>
      <c r="E53" s="117" t="s">
        <v>51</v>
      </c>
      <c r="F53" s="120">
        <v>94.199999999999989</v>
      </c>
      <c r="G53" s="311">
        <f>+H53/F53</f>
        <v>438.20594479830152</v>
      </c>
      <c r="H53" s="311">
        <v>41279</v>
      </c>
      <c r="I53" s="121">
        <v>91.6</v>
      </c>
      <c r="J53" s="122">
        <v>8628.7199999999975</v>
      </c>
      <c r="K53" s="120"/>
      <c r="L53" s="123"/>
      <c r="M53" s="251"/>
      <c r="N53" s="251"/>
      <c r="O53" s="251"/>
      <c r="P53" s="229"/>
      <c r="Q53" s="229">
        <f>4*2*11.45</f>
        <v>91.6</v>
      </c>
      <c r="R53" s="229">
        <f t="shared" si="8"/>
        <v>8628.7199999999975</v>
      </c>
      <c r="S53" s="229"/>
      <c r="T53" s="229"/>
      <c r="U53" s="254"/>
      <c r="V53" s="229"/>
      <c r="W53" s="229"/>
      <c r="X53" s="229"/>
      <c r="Y53" s="229"/>
      <c r="Z53" s="229"/>
      <c r="AA53" s="229"/>
      <c r="AB53" s="229"/>
      <c r="AC53" s="163">
        <f t="shared" si="2"/>
        <v>91.6</v>
      </c>
      <c r="AD53" s="163">
        <f t="shared" si="2"/>
        <v>8628.7199999999975</v>
      </c>
      <c r="AE53" s="124" t="s">
        <v>188</v>
      </c>
      <c r="AF53" s="124"/>
      <c r="AG53" s="124"/>
      <c r="AH53" s="124"/>
      <c r="AI53" s="124"/>
      <c r="AJ53" s="124"/>
      <c r="AK53" s="124"/>
      <c r="AL53" s="124"/>
      <c r="AM53" s="124"/>
      <c r="AN53" s="124"/>
      <c r="AO53" s="124"/>
      <c r="AP53" s="124"/>
      <c r="AQ53" s="124"/>
      <c r="AR53" s="124"/>
      <c r="AS53" s="124"/>
      <c r="AT53" s="124"/>
      <c r="AU53" s="124"/>
      <c r="AV53" s="124"/>
      <c r="AW53" s="124"/>
      <c r="AX53" s="124"/>
      <c r="AY53" s="124"/>
      <c r="AZ53" s="233"/>
      <c r="BA53" s="125"/>
      <c r="BB53" s="241"/>
      <c r="BC53" s="241"/>
      <c r="BD53" s="313">
        <v>219.10392781316349</v>
      </c>
      <c r="BE53" s="309">
        <v>20639.59</v>
      </c>
      <c r="BF53" s="236"/>
      <c r="BG53" s="236"/>
      <c r="BH53" s="236"/>
      <c r="BI53" s="236"/>
      <c r="BJ53" s="236"/>
      <c r="BK53" s="236"/>
      <c r="BL53" s="236"/>
      <c r="BM53" s="236"/>
      <c r="BN53" s="236"/>
      <c r="BO53" s="236"/>
      <c r="BP53" s="244">
        <f t="shared" si="0"/>
        <v>219.10392781316349</v>
      </c>
      <c r="BQ53" s="248">
        <f t="shared" si="3"/>
        <v>438.20785562632699</v>
      </c>
      <c r="BR53" s="105">
        <f t="shared" si="1"/>
        <v>20639.59</v>
      </c>
      <c r="BS53" s="248">
        <f t="shared" si="4"/>
        <v>41279.18</v>
      </c>
    </row>
    <row r="54" spans="1:71" s="16" customFormat="1" ht="17" hidden="1" x14ac:dyDescent="0.15">
      <c r="A54" s="118" t="s">
        <v>165</v>
      </c>
      <c r="B54" s="162" t="s">
        <v>178</v>
      </c>
      <c r="C54" s="162" t="s">
        <v>189</v>
      </c>
      <c r="D54" s="119" t="s">
        <v>62</v>
      </c>
      <c r="E54" s="117" t="s">
        <v>51</v>
      </c>
      <c r="F54" s="120">
        <v>94.199999999999989</v>
      </c>
      <c r="G54" s="312"/>
      <c r="H54" s="312"/>
      <c r="I54" s="121">
        <v>216.04000000000002</v>
      </c>
      <c r="J54" s="122">
        <v>20350.968000000001</v>
      </c>
      <c r="K54" s="120"/>
      <c r="L54" s="123"/>
      <c r="M54" s="251"/>
      <c r="N54" s="251"/>
      <c r="O54" s="251"/>
      <c r="P54" s="229"/>
      <c r="Q54" s="229">
        <f>11*2*9.82</f>
        <v>216.04000000000002</v>
      </c>
      <c r="R54" s="229">
        <f t="shared" si="8"/>
        <v>20350.968000000001</v>
      </c>
      <c r="S54" s="229"/>
      <c r="T54" s="229"/>
      <c r="U54" s="254"/>
      <c r="V54" s="229"/>
      <c r="W54" s="229"/>
      <c r="X54" s="229"/>
      <c r="Y54" s="229"/>
      <c r="Z54" s="229"/>
      <c r="AA54" s="229"/>
      <c r="AB54" s="229"/>
      <c r="AC54" s="163">
        <f t="shared" si="2"/>
        <v>216.04000000000002</v>
      </c>
      <c r="AD54" s="163">
        <f t="shared" si="2"/>
        <v>20350.968000000001</v>
      </c>
      <c r="AE54" s="124" t="s">
        <v>192</v>
      </c>
      <c r="AF54" s="124"/>
      <c r="AG54" s="124"/>
      <c r="AH54" s="124"/>
      <c r="AI54" s="124"/>
      <c r="AJ54" s="124"/>
      <c r="AK54" s="124"/>
      <c r="AL54" s="124"/>
      <c r="AM54" s="124"/>
      <c r="AN54" s="124"/>
      <c r="AO54" s="124"/>
      <c r="AP54" s="124"/>
      <c r="AQ54" s="124"/>
      <c r="AR54" s="124"/>
      <c r="AS54" s="124"/>
      <c r="AT54" s="124"/>
      <c r="AU54" s="124"/>
      <c r="AV54" s="124"/>
      <c r="AW54" s="124"/>
      <c r="AX54" s="124"/>
      <c r="AY54" s="124"/>
      <c r="AZ54" s="233"/>
      <c r="BA54" s="125"/>
      <c r="BB54" s="243"/>
      <c r="BC54" s="243"/>
      <c r="BD54" s="314"/>
      <c r="BE54" s="316"/>
      <c r="BF54" s="237"/>
      <c r="BG54" s="237"/>
      <c r="BH54" s="237"/>
      <c r="BI54" s="237"/>
      <c r="BJ54" s="237"/>
      <c r="BK54" s="237"/>
      <c r="BL54" s="237"/>
      <c r="BM54" s="237"/>
      <c r="BN54" s="237"/>
      <c r="BO54" s="237"/>
      <c r="BP54" s="244">
        <f t="shared" si="0"/>
        <v>0</v>
      </c>
      <c r="BQ54" s="248">
        <f t="shared" si="3"/>
        <v>0</v>
      </c>
      <c r="BR54" s="105">
        <f t="shared" si="1"/>
        <v>0</v>
      </c>
      <c r="BS54" s="248">
        <f t="shared" si="4"/>
        <v>0</v>
      </c>
    </row>
    <row r="55" spans="1:71" s="16" customFormat="1" ht="17" hidden="1" x14ac:dyDescent="0.15">
      <c r="A55" s="118" t="s">
        <v>166</v>
      </c>
      <c r="B55" s="162" t="s">
        <v>178</v>
      </c>
      <c r="C55" s="162" t="s">
        <v>190</v>
      </c>
      <c r="D55" s="119" t="s">
        <v>62</v>
      </c>
      <c r="E55" s="117" t="s">
        <v>51</v>
      </c>
      <c r="F55" s="120">
        <v>94.199999999999989</v>
      </c>
      <c r="G55" s="312"/>
      <c r="H55" s="312"/>
      <c r="I55" s="121">
        <v>156.4</v>
      </c>
      <c r="J55" s="122">
        <v>14732.88</v>
      </c>
      <c r="K55" s="120"/>
      <c r="L55" s="123"/>
      <c r="M55" s="251"/>
      <c r="N55" s="251"/>
      <c r="O55" s="251"/>
      <c r="P55" s="229"/>
      <c r="Q55" s="229">
        <f>10*2*7.82</f>
        <v>156.4</v>
      </c>
      <c r="R55" s="229">
        <f t="shared" si="8"/>
        <v>14732.88</v>
      </c>
      <c r="S55" s="229"/>
      <c r="T55" s="229"/>
      <c r="U55" s="254"/>
      <c r="V55" s="229"/>
      <c r="W55" s="229"/>
      <c r="X55" s="229"/>
      <c r="Y55" s="229"/>
      <c r="Z55" s="229"/>
      <c r="AA55" s="229"/>
      <c r="AB55" s="229"/>
      <c r="AC55" s="163">
        <f t="shared" si="2"/>
        <v>156.4</v>
      </c>
      <c r="AD55" s="163">
        <f t="shared" si="2"/>
        <v>14732.88</v>
      </c>
      <c r="AE55" s="124" t="s">
        <v>191</v>
      </c>
      <c r="AF55" s="124"/>
      <c r="AG55" s="124"/>
      <c r="AH55" s="124"/>
      <c r="AI55" s="124"/>
      <c r="AJ55" s="124"/>
      <c r="AK55" s="124"/>
      <c r="AL55" s="124"/>
      <c r="AM55" s="124"/>
      <c r="AN55" s="124"/>
      <c r="AO55" s="124"/>
      <c r="AP55" s="124"/>
      <c r="AQ55" s="124"/>
      <c r="AR55" s="124"/>
      <c r="AS55" s="124"/>
      <c r="AT55" s="124"/>
      <c r="AU55" s="124"/>
      <c r="AV55" s="124"/>
      <c r="AW55" s="124"/>
      <c r="AX55" s="124"/>
      <c r="AY55" s="124"/>
      <c r="AZ55" s="233"/>
      <c r="BA55" s="125"/>
      <c r="BB55" s="242"/>
      <c r="BC55" s="242"/>
      <c r="BD55" s="315"/>
      <c r="BE55" s="310"/>
      <c r="BF55" s="238"/>
      <c r="BG55" s="238"/>
      <c r="BH55" s="238"/>
      <c r="BI55" s="238"/>
      <c r="BJ55" s="238"/>
      <c r="BK55" s="238"/>
      <c r="BL55" s="238"/>
      <c r="BM55" s="238"/>
      <c r="BN55" s="238"/>
      <c r="BO55" s="238"/>
      <c r="BP55" s="244">
        <f t="shared" si="0"/>
        <v>0</v>
      </c>
      <c r="BQ55" s="248">
        <f t="shared" si="3"/>
        <v>0</v>
      </c>
      <c r="BR55" s="105">
        <f t="shared" si="1"/>
        <v>0</v>
      </c>
      <c r="BS55" s="248">
        <f t="shared" si="4"/>
        <v>0</v>
      </c>
    </row>
    <row r="56" spans="1:71" s="16" customFormat="1" ht="17" hidden="1" x14ac:dyDescent="0.15">
      <c r="A56" s="118" t="s">
        <v>173</v>
      </c>
      <c r="B56" s="162" t="s">
        <v>178</v>
      </c>
      <c r="C56" s="162" t="s">
        <v>198</v>
      </c>
      <c r="D56" s="119" t="s">
        <v>62</v>
      </c>
      <c r="E56" s="117" t="s">
        <v>51</v>
      </c>
      <c r="F56" s="120">
        <v>125.6</v>
      </c>
      <c r="G56" s="311">
        <v>688.59872611464971</v>
      </c>
      <c r="H56" s="311">
        <v>86488</v>
      </c>
      <c r="I56" s="121">
        <v>274.79999999999995</v>
      </c>
      <c r="J56" s="122">
        <v>34514.87999999999</v>
      </c>
      <c r="K56" s="120"/>
      <c r="L56" s="123"/>
      <c r="M56" s="251"/>
      <c r="N56" s="251"/>
      <c r="O56" s="251"/>
      <c r="P56" s="229"/>
      <c r="Q56" s="229">
        <f>12*2*11.45</f>
        <v>274.79999999999995</v>
      </c>
      <c r="R56" s="229">
        <f t="shared" si="8"/>
        <v>34514.87999999999</v>
      </c>
      <c r="S56" s="229"/>
      <c r="T56" s="229"/>
      <c r="U56" s="254"/>
      <c r="V56" s="229"/>
      <c r="W56" s="229"/>
      <c r="X56" s="229"/>
      <c r="Y56" s="229"/>
      <c r="Z56" s="229"/>
      <c r="AA56" s="229"/>
      <c r="AB56" s="229"/>
      <c r="AC56" s="163">
        <f t="shared" si="2"/>
        <v>274.79999999999995</v>
      </c>
      <c r="AD56" s="163">
        <f t="shared" si="2"/>
        <v>34514.87999999999</v>
      </c>
      <c r="AE56" s="124" t="s">
        <v>199</v>
      </c>
      <c r="AF56" s="124"/>
      <c r="AG56" s="124"/>
      <c r="AH56" s="124"/>
      <c r="AI56" s="124"/>
      <c r="AJ56" s="124"/>
      <c r="AK56" s="124"/>
      <c r="AL56" s="124"/>
      <c r="AM56" s="124"/>
      <c r="AN56" s="124"/>
      <c r="AO56" s="124"/>
      <c r="AP56" s="124"/>
      <c r="AQ56" s="124"/>
      <c r="AR56" s="124"/>
      <c r="AS56" s="124"/>
      <c r="AT56" s="124"/>
      <c r="AU56" s="124"/>
      <c r="AV56" s="124"/>
      <c r="AW56" s="124"/>
      <c r="AX56" s="124"/>
      <c r="AY56" s="124"/>
      <c r="AZ56" s="233"/>
      <c r="BA56" s="125"/>
      <c r="BB56" s="241"/>
      <c r="BC56" s="241"/>
      <c r="BD56" s="313">
        <v>344.2983280254777</v>
      </c>
      <c r="BE56" s="309">
        <v>43243.869999999995</v>
      </c>
      <c r="BF56" s="236"/>
      <c r="BG56" s="236"/>
      <c r="BH56" s="236"/>
      <c r="BI56" s="236"/>
      <c r="BJ56" s="236"/>
      <c r="BK56" s="236"/>
      <c r="BL56" s="236"/>
      <c r="BM56" s="236"/>
      <c r="BN56" s="236"/>
      <c r="BO56" s="236"/>
      <c r="BP56" s="244">
        <f t="shared" si="0"/>
        <v>344.2983280254777</v>
      </c>
      <c r="BQ56" s="248">
        <f t="shared" si="3"/>
        <v>688.5966560509554</v>
      </c>
      <c r="BR56" s="105">
        <f t="shared" si="1"/>
        <v>43243.869999999995</v>
      </c>
      <c r="BS56" s="248">
        <f t="shared" si="4"/>
        <v>86487.739999999991</v>
      </c>
    </row>
    <row r="57" spans="1:71" s="16" customFormat="1" ht="17" hidden="1" x14ac:dyDescent="0.15">
      <c r="A57" s="118" t="s">
        <v>193</v>
      </c>
      <c r="B57" s="162" t="s">
        <v>178</v>
      </c>
      <c r="C57" s="162" t="s">
        <v>200</v>
      </c>
      <c r="D57" s="119" t="s">
        <v>62</v>
      </c>
      <c r="E57" s="117" t="s">
        <v>51</v>
      </c>
      <c r="F57" s="120">
        <v>125.6</v>
      </c>
      <c r="G57" s="312"/>
      <c r="H57" s="312"/>
      <c r="I57" s="121">
        <v>255.32</v>
      </c>
      <c r="J57" s="122">
        <v>32068.191999999999</v>
      </c>
      <c r="K57" s="120"/>
      <c r="L57" s="123"/>
      <c r="M57" s="251"/>
      <c r="N57" s="251"/>
      <c r="O57" s="251"/>
      <c r="P57" s="229"/>
      <c r="Q57" s="229">
        <f>13*2*9.82</f>
        <v>255.32</v>
      </c>
      <c r="R57" s="229">
        <f t="shared" si="8"/>
        <v>32068.191999999999</v>
      </c>
      <c r="S57" s="229"/>
      <c r="T57" s="229"/>
      <c r="U57" s="254"/>
      <c r="V57" s="229"/>
      <c r="W57" s="229"/>
      <c r="X57" s="229"/>
      <c r="Y57" s="229"/>
      <c r="Z57" s="229"/>
      <c r="AA57" s="229"/>
      <c r="AB57" s="229"/>
      <c r="AC57" s="163">
        <f t="shared" si="2"/>
        <v>255.32</v>
      </c>
      <c r="AD57" s="163">
        <f t="shared" si="2"/>
        <v>32068.191999999999</v>
      </c>
      <c r="AE57" s="124" t="s">
        <v>202</v>
      </c>
      <c r="AF57" s="124"/>
      <c r="AG57" s="124"/>
      <c r="AH57" s="124"/>
      <c r="AI57" s="124"/>
      <c r="AJ57" s="124"/>
      <c r="AK57" s="124"/>
      <c r="AL57" s="124"/>
      <c r="AM57" s="124"/>
      <c r="AN57" s="124"/>
      <c r="AO57" s="124"/>
      <c r="AP57" s="124"/>
      <c r="AQ57" s="124"/>
      <c r="AR57" s="124"/>
      <c r="AS57" s="124"/>
      <c r="AT57" s="124"/>
      <c r="AU57" s="124"/>
      <c r="AV57" s="124"/>
      <c r="AW57" s="124"/>
      <c r="AX57" s="124"/>
      <c r="AY57" s="124"/>
      <c r="AZ57" s="233"/>
      <c r="BA57" s="125"/>
      <c r="BB57" s="243"/>
      <c r="BC57" s="243"/>
      <c r="BD57" s="314"/>
      <c r="BE57" s="316"/>
      <c r="BF57" s="237"/>
      <c r="BG57" s="237"/>
      <c r="BH57" s="237"/>
      <c r="BI57" s="237"/>
      <c r="BJ57" s="237"/>
      <c r="BK57" s="237"/>
      <c r="BL57" s="237"/>
      <c r="BM57" s="237"/>
      <c r="BN57" s="237"/>
      <c r="BO57" s="237"/>
      <c r="BP57" s="244">
        <f t="shared" si="0"/>
        <v>0</v>
      </c>
      <c r="BQ57" s="248">
        <f t="shared" si="3"/>
        <v>0</v>
      </c>
      <c r="BR57" s="105">
        <f t="shared" si="1"/>
        <v>0</v>
      </c>
      <c r="BS57" s="248">
        <f t="shared" si="4"/>
        <v>0</v>
      </c>
    </row>
    <row r="58" spans="1:71" s="16" customFormat="1" ht="17" hidden="1" x14ac:dyDescent="0.15">
      <c r="A58" s="118" t="s">
        <v>194</v>
      </c>
      <c r="B58" s="162" t="s">
        <v>178</v>
      </c>
      <c r="C58" s="162" t="s">
        <v>201</v>
      </c>
      <c r="D58" s="119" t="s">
        <v>62</v>
      </c>
      <c r="E58" s="117" t="s">
        <v>51</v>
      </c>
      <c r="F58" s="120">
        <v>125.6</v>
      </c>
      <c r="G58" s="319"/>
      <c r="H58" s="319"/>
      <c r="I58" s="121">
        <v>187.68</v>
      </c>
      <c r="J58" s="122">
        <v>23572.608</v>
      </c>
      <c r="K58" s="120"/>
      <c r="L58" s="123"/>
      <c r="M58" s="251"/>
      <c r="N58" s="251"/>
      <c r="O58" s="251"/>
      <c r="P58" s="229"/>
      <c r="Q58" s="229">
        <f>12*2*7.82</f>
        <v>187.68</v>
      </c>
      <c r="R58" s="229">
        <f t="shared" si="8"/>
        <v>23572.608</v>
      </c>
      <c r="S58" s="229"/>
      <c r="T58" s="229"/>
      <c r="U58" s="254"/>
      <c r="V58" s="229"/>
      <c r="W58" s="229"/>
      <c r="X58" s="229"/>
      <c r="Y58" s="229"/>
      <c r="Z58" s="229"/>
      <c r="AA58" s="229"/>
      <c r="AB58" s="229"/>
      <c r="AC58" s="163">
        <f t="shared" si="2"/>
        <v>187.68</v>
      </c>
      <c r="AD58" s="163">
        <f t="shared" si="2"/>
        <v>23572.608</v>
      </c>
      <c r="AE58" s="124" t="s">
        <v>203</v>
      </c>
      <c r="AF58" s="124"/>
      <c r="AG58" s="124"/>
      <c r="AH58" s="124"/>
      <c r="AI58" s="124"/>
      <c r="AJ58" s="124"/>
      <c r="AK58" s="124"/>
      <c r="AL58" s="124"/>
      <c r="AM58" s="124"/>
      <c r="AN58" s="124"/>
      <c r="AO58" s="124"/>
      <c r="AP58" s="124"/>
      <c r="AQ58" s="124"/>
      <c r="AR58" s="124"/>
      <c r="AS58" s="124"/>
      <c r="AT58" s="124"/>
      <c r="AU58" s="124"/>
      <c r="AV58" s="124"/>
      <c r="AW58" s="124"/>
      <c r="AX58" s="124"/>
      <c r="AY58" s="124"/>
      <c r="AZ58" s="233"/>
      <c r="BA58" s="125"/>
      <c r="BB58" s="242"/>
      <c r="BC58" s="242"/>
      <c r="BD58" s="315"/>
      <c r="BE58" s="310"/>
      <c r="BF58" s="238"/>
      <c r="BG58" s="238"/>
      <c r="BH58" s="238"/>
      <c r="BI58" s="238"/>
      <c r="BJ58" s="238"/>
      <c r="BK58" s="238"/>
      <c r="BL58" s="238"/>
      <c r="BM58" s="238"/>
      <c r="BN58" s="238"/>
      <c r="BO58" s="238"/>
      <c r="BP58" s="244">
        <f t="shared" si="0"/>
        <v>0</v>
      </c>
      <c r="BQ58" s="248">
        <f t="shared" si="3"/>
        <v>0</v>
      </c>
      <c r="BR58" s="105">
        <f t="shared" si="1"/>
        <v>0</v>
      </c>
      <c r="BS58" s="248">
        <f t="shared" si="4"/>
        <v>0</v>
      </c>
    </row>
    <row r="59" spans="1:71" s="16" customFormat="1" ht="17" x14ac:dyDescent="0.15">
      <c r="A59" s="118" t="s">
        <v>195</v>
      </c>
      <c r="B59" s="162" t="s">
        <v>206</v>
      </c>
      <c r="C59" s="162" t="s">
        <v>90</v>
      </c>
      <c r="D59" s="119" t="s">
        <v>62</v>
      </c>
      <c r="E59" s="117" t="s">
        <v>51</v>
      </c>
      <c r="F59" s="120">
        <v>196.25</v>
      </c>
      <c r="G59" s="120">
        <v>124.37069484840762</v>
      </c>
      <c r="H59" s="120">
        <v>24407.748863999994</v>
      </c>
      <c r="I59" s="121">
        <v>97.679324399999985</v>
      </c>
      <c r="J59" s="122">
        <v>19169.567413499997</v>
      </c>
      <c r="K59" s="120"/>
      <c r="L59" s="123"/>
      <c r="M59" s="251"/>
      <c r="N59" s="251"/>
      <c r="O59" s="251"/>
      <c r="P59" s="229"/>
      <c r="Q59" s="229">
        <f>+G59*1.13</f>
        <v>140.53888517870061</v>
      </c>
      <c r="R59" s="229">
        <f t="shared" si="8"/>
        <v>27580.756216319995</v>
      </c>
      <c r="S59" s="229"/>
      <c r="T59" s="229"/>
      <c r="U59" s="254"/>
      <c r="V59" s="229"/>
      <c r="W59" s="229"/>
      <c r="X59" s="229"/>
      <c r="Y59" s="229"/>
      <c r="Z59" s="229"/>
      <c r="AA59" s="229">
        <v>43</v>
      </c>
      <c r="AB59" s="229">
        <f>+AA59*F59</f>
        <v>8438.75</v>
      </c>
      <c r="AC59" s="163">
        <f t="shared" si="2"/>
        <v>140.67932439999998</v>
      </c>
      <c r="AD59" s="163">
        <f t="shared" si="2"/>
        <v>27608.317413499997</v>
      </c>
      <c r="AE59" s="124" t="s">
        <v>725</v>
      </c>
      <c r="AF59" s="124"/>
      <c r="AG59" s="124"/>
      <c r="AH59" s="124">
        <v>0.15307006369426751</v>
      </c>
      <c r="AI59" s="124">
        <v>30.04</v>
      </c>
      <c r="AJ59" s="124"/>
      <c r="AK59" s="124"/>
      <c r="AL59" s="124"/>
      <c r="AM59" s="124"/>
      <c r="AN59" s="124">
        <v>4.3159235668789819E-2</v>
      </c>
      <c r="AO59" s="124">
        <v>8.4700000000000006</v>
      </c>
      <c r="AP59" s="124"/>
      <c r="AQ59" s="124"/>
      <c r="AR59" s="124"/>
      <c r="AS59" s="124"/>
      <c r="AT59" s="124"/>
      <c r="AU59" s="124"/>
      <c r="AV59" s="124"/>
      <c r="AW59" s="124"/>
      <c r="AX59" s="124">
        <v>1.1321273885350318</v>
      </c>
      <c r="AY59" s="124">
        <v>222.18</v>
      </c>
      <c r="AZ59" s="233">
        <v>1.0827006369426753</v>
      </c>
      <c r="BA59" s="125">
        <v>212.48</v>
      </c>
      <c r="BB59" s="125">
        <v>1.0219334399999997</v>
      </c>
      <c r="BC59" s="125">
        <v>200.55443759999997</v>
      </c>
      <c r="BD59" s="125">
        <v>49.629554140127375</v>
      </c>
      <c r="BE59" s="125">
        <v>9739.7999999999975</v>
      </c>
      <c r="BF59" s="125">
        <v>8.2866751592356689</v>
      </c>
      <c r="BG59" s="125">
        <v>1626.26</v>
      </c>
      <c r="BH59" s="125">
        <v>0.83612736000000021</v>
      </c>
      <c r="BI59" s="125">
        <v>164.08999440000002</v>
      </c>
      <c r="BJ59" s="125"/>
      <c r="BK59" s="125"/>
      <c r="BL59" s="125"/>
      <c r="BM59" s="125"/>
      <c r="BN59" s="125"/>
      <c r="BO59" s="125"/>
      <c r="BP59" s="244">
        <f t="shared" si="0"/>
        <v>62.185347424203812</v>
      </c>
      <c r="BQ59" s="248">
        <f t="shared" si="3"/>
        <v>124.37069484840762</v>
      </c>
      <c r="BR59" s="105">
        <f t="shared" si="1"/>
        <v>12203.874431999997</v>
      </c>
      <c r="BS59" s="248">
        <f t="shared" si="4"/>
        <v>24407.748863999994</v>
      </c>
    </row>
    <row r="60" spans="1:71" s="16" customFormat="1" ht="17" x14ac:dyDescent="0.15">
      <c r="A60" s="118" t="s">
        <v>196</v>
      </c>
      <c r="B60" s="162" t="s">
        <v>206</v>
      </c>
      <c r="C60" s="162" t="s">
        <v>204</v>
      </c>
      <c r="D60" s="119" t="s">
        <v>62</v>
      </c>
      <c r="E60" s="117" t="s">
        <v>51</v>
      </c>
      <c r="F60" s="120">
        <v>298.3</v>
      </c>
      <c r="G60" s="120">
        <v>64.021186724773727</v>
      </c>
      <c r="H60" s="120">
        <v>19097.52</v>
      </c>
      <c r="I60" s="121">
        <v>70.747159999999994</v>
      </c>
      <c r="J60" s="122">
        <v>21103.877827999997</v>
      </c>
      <c r="K60" s="120"/>
      <c r="L60" s="123"/>
      <c r="M60" s="251"/>
      <c r="N60" s="251"/>
      <c r="O60" s="251"/>
      <c r="P60" s="229"/>
      <c r="Q60" s="229">
        <f>+G60*1.13</f>
        <v>72.343940998994299</v>
      </c>
      <c r="R60" s="229">
        <f t="shared" si="8"/>
        <v>21580.1976</v>
      </c>
      <c r="S60" s="229"/>
      <c r="T60" s="229"/>
      <c r="U60" s="254"/>
      <c r="V60" s="229"/>
      <c r="W60" s="229"/>
      <c r="X60" s="229"/>
      <c r="Y60" s="229">
        <v>2.12</v>
      </c>
      <c r="Z60" s="229">
        <f>+Y60*F60</f>
        <v>632.39600000000007</v>
      </c>
      <c r="AA60" s="229">
        <v>1.25</v>
      </c>
      <c r="AB60" s="229">
        <f>+AA60*F60</f>
        <v>372.875</v>
      </c>
      <c r="AC60" s="163">
        <f t="shared" si="2"/>
        <v>71.997159999999994</v>
      </c>
      <c r="AD60" s="163">
        <f t="shared" si="2"/>
        <v>21476.752827999997</v>
      </c>
      <c r="AE60" s="124" t="s">
        <v>725</v>
      </c>
      <c r="AF60" s="124"/>
      <c r="AG60" s="124"/>
      <c r="AH60" s="124">
        <v>0.9560844787127053</v>
      </c>
      <c r="AI60" s="124">
        <v>285.2</v>
      </c>
      <c r="AJ60" s="124"/>
      <c r="AK60" s="124"/>
      <c r="AL60" s="124"/>
      <c r="AM60" s="124"/>
      <c r="AN60" s="124"/>
      <c r="AO60" s="124"/>
      <c r="AP60" s="124"/>
      <c r="AQ60" s="124"/>
      <c r="AR60" s="124"/>
      <c r="AS60" s="124"/>
      <c r="AT60" s="124"/>
      <c r="AU60" s="124"/>
      <c r="AV60" s="124"/>
      <c r="AW60" s="124"/>
      <c r="AX60" s="124">
        <v>0.58229969829031181</v>
      </c>
      <c r="AY60" s="124">
        <v>173.7</v>
      </c>
      <c r="AZ60" s="233"/>
      <c r="BA60" s="125"/>
      <c r="BB60" s="125"/>
      <c r="BC60" s="125"/>
      <c r="BD60" s="235">
        <v>30.365504525645328</v>
      </c>
      <c r="BE60" s="235">
        <v>9058.0300000000007</v>
      </c>
      <c r="BF60" s="235">
        <v>0.10670465973851827</v>
      </c>
      <c r="BG60" s="235">
        <v>31.83</v>
      </c>
      <c r="BH60" s="235"/>
      <c r="BI60" s="235"/>
      <c r="BJ60" s="235"/>
      <c r="BK60" s="235"/>
      <c r="BL60" s="235"/>
      <c r="BM60" s="235"/>
      <c r="BN60" s="235"/>
      <c r="BO60" s="235"/>
      <c r="BP60" s="244">
        <f t="shared" si="0"/>
        <v>32.010593362386864</v>
      </c>
      <c r="BQ60" s="248">
        <f t="shared" si="3"/>
        <v>64.021186724773727</v>
      </c>
      <c r="BR60" s="105">
        <f t="shared" si="1"/>
        <v>9548.76</v>
      </c>
      <c r="BS60" s="248">
        <f t="shared" si="4"/>
        <v>19097.52</v>
      </c>
    </row>
    <row r="61" spans="1:71" s="16" customFormat="1" ht="17" hidden="1" x14ac:dyDescent="0.15">
      <c r="A61" s="118" t="s">
        <v>197</v>
      </c>
      <c r="B61" s="162" t="s">
        <v>205</v>
      </c>
      <c r="C61" s="162" t="s">
        <v>91</v>
      </c>
      <c r="D61" s="119" t="s">
        <v>62</v>
      </c>
      <c r="E61" s="117" t="s">
        <v>51</v>
      </c>
      <c r="F61" s="120">
        <v>431.75</v>
      </c>
      <c r="G61" s="120">
        <v>30.484910248986687</v>
      </c>
      <c r="H61" s="120">
        <v>13161.86</v>
      </c>
      <c r="I61" s="121">
        <v>42.4</v>
      </c>
      <c r="J61" s="122">
        <v>18306.2</v>
      </c>
      <c r="K61" s="120"/>
      <c r="L61" s="123"/>
      <c r="M61" s="251"/>
      <c r="N61" s="251"/>
      <c r="O61" s="251"/>
      <c r="P61" s="229"/>
      <c r="Q61" s="229">
        <f>24+9.2*2</f>
        <v>42.4</v>
      </c>
      <c r="R61" s="229">
        <f t="shared" si="8"/>
        <v>18306.2</v>
      </c>
      <c r="S61" s="229"/>
      <c r="T61" s="229"/>
      <c r="U61" s="254"/>
      <c r="V61" s="229"/>
      <c r="W61" s="229"/>
      <c r="X61" s="229"/>
      <c r="Y61" s="229"/>
      <c r="Z61" s="229"/>
      <c r="AA61" s="229"/>
      <c r="AB61" s="229"/>
      <c r="AC61" s="163">
        <f t="shared" si="2"/>
        <v>42.4</v>
      </c>
      <c r="AD61" s="163">
        <f t="shared" si="2"/>
        <v>18306.2</v>
      </c>
      <c r="AE61" s="124" t="s">
        <v>168</v>
      </c>
      <c r="AF61" s="124"/>
      <c r="AG61" s="124"/>
      <c r="AH61" s="124"/>
      <c r="AI61" s="124"/>
      <c r="AJ61" s="124"/>
      <c r="AK61" s="124"/>
      <c r="AL61" s="124"/>
      <c r="AM61" s="124"/>
      <c r="AN61" s="124"/>
      <c r="AO61" s="124"/>
      <c r="AP61" s="124"/>
      <c r="AQ61" s="124"/>
      <c r="AR61" s="124"/>
      <c r="AS61" s="124"/>
      <c r="AT61" s="124"/>
      <c r="AU61" s="124"/>
      <c r="AV61" s="124"/>
      <c r="AW61" s="124"/>
      <c r="AX61" s="124"/>
      <c r="AY61" s="124"/>
      <c r="AZ61" s="233"/>
      <c r="BA61" s="125"/>
      <c r="BB61" s="125"/>
      <c r="BC61" s="125"/>
      <c r="BD61" s="125">
        <v>15.242455124493343</v>
      </c>
      <c r="BE61" s="125">
        <v>6580.93</v>
      </c>
      <c r="BF61" s="125"/>
      <c r="BG61" s="125"/>
      <c r="BH61" s="125"/>
      <c r="BI61" s="125"/>
      <c r="BJ61" s="125"/>
      <c r="BK61" s="125"/>
      <c r="BL61" s="125"/>
      <c r="BM61" s="125"/>
      <c r="BN61" s="125"/>
      <c r="BO61" s="125"/>
      <c r="BP61" s="244">
        <f t="shared" si="0"/>
        <v>15.242455124493343</v>
      </c>
      <c r="BQ61" s="248">
        <f t="shared" si="3"/>
        <v>30.484910248986687</v>
      </c>
      <c r="BR61" s="105">
        <f t="shared" si="1"/>
        <v>6580.93</v>
      </c>
      <c r="BS61" s="248">
        <f t="shared" si="4"/>
        <v>13161.86</v>
      </c>
    </row>
    <row r="62" spans="1:71" s="16" customFormat="1" ht="17" hidden="1" x14ac:dyDescent="0.15">
      <c r="A62" s="118" t="s">
        <v>207</v>
      </c>
      <c r="B62" s="162" t="s">
        <v>208</v>
      </c>
      <c r="C62" s="162" t="s">
        <v>209</v>
      </c>
      <c r="D62" s="119" t="s">
        <v>62</v>
      </c>
      <c r="E62" s="117" t="s">
        <v>51</v>
      </c>
      <c r="F62" s="120">
        <v>78.5</v>
      </c>
      <c r="G62" s="120">
        <v>1430.3892993630577</v>
      </c>
      <c r="H62" s="120">
        <v>112285.56000000003</v>
      </c>
      <c r="I62" s="121">
        <v>1601.577070063694</v>
      </c>
      <c r="J62" s="122">
        <v>125723.79999999997</v>
      </c>
      <c r="K62" s="120"/>
      <c r="L62" s="123"/>
      <c r="M62" s="251"/>
      <c r="N62" s="251"/>
      <c r="O62" s="251"/>
      <c r="P62" s="229"/>
      <c r="Q62" s="229">
        <f>+G62*1.13</f>
        <v>1616.339908280255</v>
      </c>
      <c r="R62" s="229">
        <f t="shared" si="8"/>
        <v>126882.68280000002</v>
      </c>
      <c r="S62" s="229"/>
      <c r="T62" s="229"/>
      <c r="U62" s="254"/>
      <c r="V62" s="229"/>
      <c r="W62" s="229"/>
      <c r="X62" s="229"/>
      <c r="Y62" s="229"/>
      <c r="Z62" s="229"/>
      <c r="AA62" s="229"/>
      <c r="AB62" s="229"/>
      <c r="AC62" s="163">
        <f t="shared" si="2"/>
        <v>1601.577070063694</v>
      </c>
      <c r="AD62" s="163">
        <f t="shared" si="2"/>
        <v>125723.79999999997</v>
      </c>
      <c r="AE62" s="124" t="s">
        <v>210</v>
      </c>
      <c r="AF62" s="124">
        <v>715.19464968152886</v>
      </c>
      <c r="AG62" s="124">
        <v>56142.780000000013</v>
      </c>
      <c r="AH62" s="124"/>
      <c r="AI62" s="124"/>
      <c r="AJ62" s="124"/>
      <c r="AK62" s="124"/>
      <c r="AL62" s="124"/>
      <c r="AM62" s="124"/>
      <c r="AN62" s="124"/>
      <c r="AO62" s="124"/>
      <c r="AP62" s="124"/>
      <c r="AQ62" s="124"/>
      <c r="AR62" s="124"/>
      <c r="AS62" s="124"/>
      <c r="AT62" s="124"/>
      <c r="AU62" s="124"/>
      <c r="AV62" s="124"/>
      <c r="AW62" s="124"/>
      <c r="AX62" s="124"/>
      <c r="AY62" s="124"/>
      <c r="AZ62" s="233"/>
      <c r="BA62" s="125"/>
      <c r="BB62" s="125"/>
      <c r="BC62" s="125"/>
      <c r="BD62" s="125"/>
      <c r="BE62" s="125"/>
      <c r="BF62" s="125"/>
      <c r="BG62" s="125"/>
      <c r="BH62" s="125"/>
      <c r="BI62" s="125"/>
      <c r="BJ62" s="125"/>
      <c r="BK62" s="125"/>
      <c r="BL62" s="125"/>
      <c r="BM62" s="125"/>
      <c r="BN62" s="125"/>
      <c r="BO62" s="125"/>
      <c r="BP62" s="244">
        <f t="shared" si="0"/>
        <v>715.19464968152886</v>
      </c>
      <c r="BQ62" s="248">
        <f t="shared" si="3"/>
        <v>1430.3892993630577</v>
      </c>
      <c r="BR62" s="105">
        <f t="shared" si="1"/>
        <v>56142.780000000013</v>
      </c>
      <c r="BS62" s="248">
        <f t="shared" si="4"/>
        <v>112285.56000000003</v>
      </c>
    </row>
    <row r="63" spans="1:71" s="16" customFormat="1" ht="17" hidden="1" x14ac:dyDescent="0.15">
      <c r="A63" s="118" t="s">
        <v>250</v>
      </c>
      <c r="B63" s="162" t="s">
        <v>120</v>
      </c>
      <c r="C63" s="162" t="s">
        <v>255</v>
      </c>
      <c r="D63" s="119" t="s">
        <v>62</v>
      </c>
      <c r="E63" s="117" t="s">
        <v>121</v>
      </c>
      <c r="F63" s="164">
        <v>4.4304686951022418</v>
      </c>
      <c r="G63" s="120">
        <v>244.49600000000004</v>
      </c>
      <c r="H63" s="120">
        <v>1083.24</v>
      </c>
      <c r="I63" s="121">
        <v>150</v>
      </c>
      <c r="J63" s="122">
        <v>664.57030426533629</v>
      </c>
      <c r="K63" s="120"/>
      <c r="L63" s="123"/>
      <c r="M63" s="251"/>
      <c r="N63" s="251"/>
      <c r="O63" s="251"/>
      <c r="P63" s="229"/>
      <c r="Q63" s="229"/>
      <c r="R63" s="229"/>
      <c r="S63" s="229">
        <v>150</v>
      </c>
      <c r="T63" s="251">
        <f t="shared" ref="T63:T79" si="9">+S63*F63</f>
        <v>664.57030426533629</v>
      </c>
      <c r="U63" s="252"/>
      <c r="V63" s="251"/>
      <c r="W63" s="251"/>
      <c r="X63" s="251"/>
      <c r="Y63" s="251"/>
      <c r="Z63" s="251"/>
      <c r="AA63" s="251">
        <v>109</v>
      </c>
      <c r="AB63" s="251">
        <f t="shared" ref="AB63:AB68" si="10">+AA63*F63</f>
        <v>482.92108776614435</v>
      </c>
      <c r="AC63" s="163">
        <f t="shared" si="2"/>
        <v>259</v>
      </c>
      <c r="AD63" s="163">
        <f t="shared" si="2"/>
        <v>1147.4913920314807</v>
      </c>
      <c r="AE63" s="124" t="s">
        <v>725</v>
      </c>
      <c r="AF63" s="124"/>
      <c r="AG63" s="124"/>
      <c r="AH63" s="124"/>
      <c r="AI63" s="124"/>
      <c r="AJ63" s="124"/>
      <c r="AK63" s="124"/>
      <c r="AL63" s="124"/>
      <c r="AM63" s="124"/>
      <c r="AN63" s="124"/>
      <c r="AO63" s="124"/>
      <c r="AP63" s="124"/>
      <c r="AQ63" s="124"/>
      <c r="AR63" s="124"/>
      <c r="AS63" s="124"/>
      <c r="AT63" s="124"/>
      <c r="AU63" s="124"/>
      <c r="AV63" s="124"/>
      <c r="AW63" s="124"/>
      <c r="AX63" s="124">
        <v>56.923999999999999</v>
      </c>
      <c r="AY63" s="124">
        <v>252.2</v>
      </c>
      <c r="AZ63" s="233">
        <v>56.924000000000007</v>
      </c>
      <c r="BA63" s="125">
        <v>252.20000000000002</v>
      </c>
      <c r="BB63" s="125"/>
      <c r="BC63" s="125"/>
      <c r="BD63" s="125"/>
      <c r="BE63" s="125"/>
      <c r="BF63" s="125">
        <v>8.4</v>
      </c>
      <c r="BG63" s="125">
        <v>37.22</v>
      </c>
      <c r="BH63" s="125"/>
      <c r="BI63" s="125"/>
      <c r="BJ63" s="125"/>
      <c r="BK63" s="125"/>
      <c r="BL63" s="125"/>
      <c r="BM63" s="125"/>
      <c r="BN63" s="125"/>
      <c r="BO63" s="125"/>
      <c r="BP63" s="244">
        <f t="shared" si="0"/>
        <v>122.24800000000002</v>
      </c>
      <c r="BQ63" s="248">
        <f t="shared" si="3"/>
        <v>244.49600000000004</v>
      </c>
      <c r="BR63" s="105">
        <f t="shared" si="1"/>
        <v>541.62</v>
      </c>
      <c r="BS63" s="248">
        <f t="shared" si="4"/>
        <v>1083.24</v>
      </c>
    </row>
    <row r="64" spans="1:71" s="16" customFormat="1" ht="17" x14ac:dyDescent="0.15">
      <c r="A64" s="118" t="s">
        <v>251</v>
      </c>
      <c r="B64" s="162" t="s">
        <v>120</v>
      </c>
      <c r="C64" s="162" t="s">
        <v>254</v>
      </c>
      <c r="D64" s="119" t="s">
        <v>62</v>
      </c>
      <c r="E64" s="117" t="s">
        <v>121</v>
      </c>
      <c r="F64" s="164">
        <v>14.83</v>
      </c>
      <c r="G64" s="120">
        <v>940.70799999999986</v>
      </c>
      <c r="H64" s="120">
        <v>13437.12</v>
      </c>
      <c r="I64" s="121">
        <v>963.74997280000002</v>
      </c>
      <c r="J64" s="122">
        <v>14292.412096624001</v>
      </c>
      <c r="K64" s="120"/>
      <c r="L64" s="123"/>
      <c r="M64" s="251"/>
      <c r="N64" s="251"/>
      <c r="O64" s="251"/>
      <c r="P64" s="229"/>
      <c r="Q64" s="229"/>
      <c r="R64" s="229"/>
      <c r="S64" s="229">
        <f>+G64*1.07</f>
        <v>1006.5575599999999</v>
      </c>
      <c r="T64" s="251">
        <f t="shared" si="9"/>
        <v>14927.248614799997</v>
      </c>
      <c r="U64" s="252">
        <v>400</v>
      </c>
      <c r="V64" s="251">
        <f>+U64*F64</f>
        <v>5932</v>
      </c>
      <c r="W64" s="251"/>
      <c r="X64" s="251"/>
      <c r="Y64" s="251">
        <v>297</v>
      </c>
      <c r="Z64" s="251">
        <f>+Y64*F64</f>
        <v>4404.51</v>
      </c>
      <c r="AA64" s="251">
        <v>33</v>
      </c>
      <c r="AB64" s="251">
        <f t="shared" si="10"/>
        <v>489.39</v>
      </c>
      <c r="AC64" s="163">
        <f t="shared" si="2"/>
        <v>996.74997280000002</v>
      </c>
      <c r="AD64" s="163">
        <f t="shared" si="2"/>
        <v>14781.802096624</v>
      </c>
      <c r="AE64" s="124" t="s">
        <v>725</v>
      </c>
      <c r="AF64" s="124">
        <v>282.62599999999998</v>
      </c>
      <c r="AG64" s="124">
        <v>4177.8599999999997</v>
      </c>
      <c r="AH64" s="124">
        <v>122.872</v>
      </c>
      <c r="AI64" s="124">
        <v>1755.9499999999998</v>
      </c>
      <c r="AJ64" s="124">
        <v>15.624000000000002</v>
      </c>
      <c r="AK64" s="124">
        <v>207.47</v>
      </c>
      <c r="AL64" s="124"/>
      <c r="AM64" s="124"/>
      <c r="AN64" s="124">
        <v>7.032</v>
      </c>
      <c r="AO64" s="124">
        <v>80.959999999999994</v>
      </c>
      <c r="AP64" s="124"/>
      <c r="AQ64" s="124"/>
      <c r="AR64" s="124">
        <v>7.04</v>
      </c>
      <c r="AS64" s="124">
        <v>91.52</v>
      </c>
      <c r="AT64" s="124">
        <v>7.032</v>
      </c>
      <c r="AU64" s="124">
        <v>80.959999999999994</v>
      </c>
      <c r="AV64" s="124">
        <v>7.032</v>
      </c>
      <c r="AW64" s="124">
        <v>80.959999999999994</v>
      </c>
      <c r="AX64" s="124">
        <v>7.032</v>
      </c>
      <c r="AY64" s="124">
        <v>80.959999999999994</v>
      </c>
      <c r="AZ64" s="233">
        <v>7.032</v>
      </c>
      <c r="BA64" s="125">
        <v>80.959999999999994</v>
      </c>
      <c r="BB64" s="125">
        <v>7.032</v>
      </c>
      <c r="BC64" s="125">
        <v>80.959999999999994</v>
      </c>
      <c r="BD64" s="125"/>
      <c r="BE64" s="125"/>
      <c r="BF64" s="125"/>
      <c r="BG64" s="125"/>
      <c r="BH64" s="125"/>
      <c r="BI64" s="125"/>
      <c r="BJ64" s="125"/>
      <c r="BK64" s="125"/>
      <c r="BL64" s="125"/>
      <c r="BM64" s="125"/>
      <c r="BN64" s="125"/>
      <c r="BO64" s="125"/>
      <c r="BP64" s="244">
        <f t="shared" si="0"/>
        <v>470.35399999999993</v>
      </c>
      <c r="BQ64" s="248">
        <f t="shared" si="3"/>
        <v>940.70799999999986</v>
      </c>
      <c r="BR64" s="105">
        <f t="shared" si="1"/>
        <v>6718.56</v>
      </c>
      <c r="BS64" s="248">
        <f t="shared" si="4"/>
        <v>13437.12</v>
      </c>
    </row>
    <row r="65" spans="1:71" s="16" customFormat="1" ht="17" x14ac:dyDescent="0.15">
      <c r="A65" s="118" t="s">
        <v>252</v>
      </c>
      <c r="B65" s="162" t="s">
        <v>60</v>
      </c>
      <c r="C65" s="162" t="s">
        <v>256</v>
      </c>
      <c r="D65" s="119" t="s">
        <v>62</v>
      </c>
      <c r="E65" s="117" t="s">
        <v>51</v>
      </c>
      <c r="F65" s="120">
        <v>39.25</v>
      </c>
      <c r="G65" s="120">
        <v>63.83157322191083</v>
      </c>
      <c r="H65" s="120">
        <v>2505.3892489599998</v>
      </c>
      <c r="I65" s="121">
        <v>9</v>
      </c>
      <c r="J65" s="122">
        <v>353.25</v>
      </c>
      <c r="K65" s="120"/>
      <c r="L65" s="123"/>
      <c r="M65" s="251"/>
      <c r="N65" s="251"/>
      <c r="O65" s="251"/>
      <c r="P65" s="229"/>
      <c r="Q65" s="229"/>
      <c r="R65" s="229"/>
      <c r="S65" s="229">
        <v>9</v>
      </c>
      <c r="T65" s="251">
        <f t="shared" si="9"/>
        <v>353.25</v>
      </c>
      <c r="U65" s="252"/>
      <c r="V65" s="251"/>
      <c r="W65" s="251"/>
      <c r="X65" s="251"/>
      <c r="Y65" s="251"/>
      <c r="Z65" s="251"/>
      <c r="AA65" s="251">
        <v>63</v>
      </c>
      <c r="AB65" s="251">
        <f t="shared" si="10"/>
        <v>2472.75</v>
      </c>
      <c r="AC65" s="163">
        <f t="shared" si="2"/>
        <v>72</v>
      </c>
      <c r="AD65" s="163">
        <f t="shared" si="2"/>
        <v>2826</v>
      </c>
      <c r="AE65" s="124" t="s">
        <v>725</v>
      </c>
      <c r="AF65" s="124"/>
      <c r="AG65" s="124"/>
      <c r="AH65" s="124">
        <v>0.20611464968152865</v>
      </c>
      <c r="AI65" s="124">
        <v>8.09</v>
      </c>
      <c r="AJ65" s="124"/>
      <c r="AK65" s="124"/>
      <c r="AL65" s="124"/>
      <c r="AM65" s="124"/>
      <c r="AN65" s="124"/>
      <c r="AO65" s="124"/>
      <c r="AP65" s="124"/>
      <c r="AQ65" s="124"/>
      <c r="AR65" s="124"/>
      <c r="AS65" s="124"/>
      <c r="AT65" s="124"/>
      <c r="AU65" s="124"/>
      <c r="AV65" s="222">
        <v>7.1847133757961798E-2</v>
      </c>
      <c r="AW65" s="222">
        <v>2.8200000000000003</v>
      </c>
      <c r="AX65" s="222">
        <v>7.1847133757961798E-2</v>
      </c>
      <c r="AY65" s="222">
        <v>2.8200000000000003</v>
      </c>
      <c r="AZ65" s="233">
        <v>7.1847133757961798E-2</v>
      </c>
      <c r="BA65" s="125">
        <v>2.8200000000000003</v>
      </c>
      <c r="BB65" s="125"/>
      <c r="BC65" s="125"/>
      <c r="BD65" s="125"/>
      <c r="BE65" s="125"/>
      <c r="BF65" s="125"/>
      <c r="BG65" s="125"/>
      <c r="BH65" s="125">
        <v>31.494130560000002</v>
      </c>
      <c r="BI65" s="125">
        <v>1236.1446244799999</v>
      </c>
      <c r="BJ65" s="125"/>
      <c r="BK65" s="125"/>
      <c r="BL65" s="125"/>
      <c r="BM65" s="125"/>
      <c r="BN65" s="125"/>
      <c r="BO65" s="125"/>
      <c r="BP65" s="244">
        <f t="shared" si="0"/>
        <v>31.915786610955415</v>
      </c>
      <c r="BQ65" s="248">
        <f t="shared" si="3"/>
        <v>63.83157322191083</v>
      </c>
      <c r="BR65" s="105">
        <f t="shared" si="1"/>
        <v>1252.6946244799999</v>
      </c>
      <c r="BS65" s="248">
        <f t="shared" si="4"/>
        <v>2505.3892489599998</v>
      </c>
    </row>
    <row r="66" spans="1:71" s="16" customFormat="1" ht="17" hidden="1" x14ac:dyDescent="0.15">
      <c r="A66" s="118" t="s">
        <v>257</v>
      </c>
      <c r="B66" s="162" t="s">
        <v>60</v>
      </c>
      <c r="C66" s="162" t="s">
        <v>260</v>
      </c>
      <c r="D66" s="119" t="s">
        <v>218</v>
      </c>
      <c r="E66" s="117" t="s">
        <v>51</v>
      </c>
      <c r="F66" s="120">
        <v>94.199999999999989</v>
      </c>
      <c r="G66" s="120">
        <v>2.310615711252654</v>
      </c>
      <c r="H66" s="120">
        <v>217.66000000000005</v>
      </c>
      <c r="I66" s="121">
        <v>2</v>
      </c>
      <c r="J66" s="122">
        <v>188.39999999999998</v>
      </c>
      <c r="K66" s="120"/>
      <c r="L66" s="123"/>
      <c r="M66" s="251"/>
      <c r="N66" s="251"/>
      <c r="O66" s="251"/>
      <c r="P66" s="229"/>
      <c r="Q66" s="229"/>
      <c r="R66" s="229"/>
      <c r="S66" s="229">
        <v>2</v>
      </c>
      <c r="T66" s="251">
        <f t="shared" si="9"/>
        <v>188.39999999999998</v>
      </c>
      <c r="U66" s="252"/>
      <c r="V66" s="251"/>
      <c r="W66" s="251"/>
      <c r="X66" s="251"/>
      <c r="Y66" s="251"/>
      <c r="Z66" s="251"/>
      <c r="AA66" s="251">
        <v>2</v>
      </c>
      <c r="AB66" s="251">
        <f t="shared" si="10"/>
        <v>188.39999999999998</v>
      </c>
      <c r="AC66" s="163">
        <f t="shared" si="2"/>
        <v>4</v>
      </c>
      <c r="AD66" s="163">
        <f t="shared" si="2"/>
        <v>376.79999999999995</v>
      </c>
      <c r="AE66" s="124" t="s">
        <v>725</v>
      </c>
      <c r="AF66" s="124">
        <v>0.687791932059448</v>
      </c>
      <c r="AG66" s="124">
        <v>64.790000000000006</v>
      </c>
      <c r="AH66" s="124"/>
      <c r="AI66" s="124"/>
      <c r="AJ66" s="222">
        <v>0.22929936305732485</v>
      </c>
      <c r="AK66" s="222">
        <v>21.6</v>
      </c>
      <c r="AL66" s="222"/>
      <c r="AM66" s="222"/>
      <c r="AN66" s="222"/>
      <c r="AO66" s="222"/>
      <c r="AP66" s="222"/>
      <c r="AQ66" s="222"/>
      <c r="AR66" s="222"/>
      <c r="AS66" s="222"/>
      <c r="AT66" s="222"/>
      <c r="AU66" s="222"/>
      <c r="AV66" s="222">
        <v>7.940552016985139E-2</v>
      </c>
      <c r="AW66" s="222">
        <v>7.48</v>
      </c>
      <c r="AX66" s="222">
        <v>7.940552016985139E-2</v>
      </c>
      <c r="AY66" s="222">
        <v>7.48</v>
      </c>
      <c r="AZ66" s="233">
        <v>7.940552016985139E-2</v>
      </c>
      <c r="BA66" s="125">
        <v>7.48</v>
      </c>
      <c r="BB66" s="125"/>
      <c r="BC66" s="125"/>
      <c r="BD66" s="125"/>
      <c r="BE66" s="125"/>
      <c r="BF66" s="125"/>
      <c r="BG66" s="125"/>
      <c r="BH66" s="125"/>
      <c r="BI66" s="125"/>
      <c r="BJ66" s="125"/>
      <c r="BK66" s="125"/>
      <c r="BL66" s="125"/>
      <c r="BM66" s="125"/>
      <c r="BN66" s="125"/>
      <c r="BO66" s="125"/>
      <c r="BP66" s="244">
        <f t="shared" si="0"/>
        <v>1.155307855626327</v>
      </c>
      <c r="BQ66" s="248">
        <f t="shared" si="3"/>
        <v>2.310615711252654</v>
      </c>
      <c r="BR66" s="105">
        <f t="shared" si="1"/>
        <v>108.83000000000003</v>
      </c>
      <c r="BS66" s="248">
        <f t="shared" si="4"/>
        <v>217.66000000000005</v>
      </c>
    </row>
    <row r="67" spans="1:71" s="16" customFormat="1" ht="17" hidden="1" x14ac:dyDescent="0.15">
      <c r="A67" s="118" t="s">
        <v>258</v>
      </c>
      <c r="B67" s="162" t="s">
        <v>60</v>
      </c>
      <c r="C67" s="162" t="s">
        <v>265</v>
      </c>
      <c r="D67" s="119" t="s">
        <v>218</v>
      </c>
      <c r="E67" s="117" t="s">
        <v>51</v>
      </c>
      <c r="F67" s="120">
        <v>196.25</v>
      </c>
      <c r="G67" s="120">
        <v>3.8756687898089175</v>
      </c>
      <c r="H67" s="120">
        <v>760.6</v>
      </c>
      <c r="I67" s="121">
        <v>4</v>
      </c>
      <c r="J67" s="122">
        <v>785</v>
      </c>
      <c r="K67" s="120"/>
      <c r="L67" s="123"/>
      <c r="M67" s="251"/>
      <c r="N67" s="251"/>
      <c r="O67" s="251"/>
      <c r="P67" s="229"/>
      <c r="Q67" s="229"/>
      <c r="R67" s="229"/>
      <c r="S67" s="229">
        <v>4</v>
      </c>
      <c r="T67" s="251">
        <f t="shared" si="9"/>
        <v>785</v>
      </c>
      <c r="U67" s="252"/>
      <c r="V67" s="251"/>
      <c r="W67" s="251"/>
      <c r="X67" s="251"/>
      <c r="Y67" s="251"/>
      <c r="Z67" s="251"/>
      <c r="AA67" s="251">
        <v>2</v>
      </c>
      <c r="AB67" s="251">
        <f t="shared" si="10"/>
        <v>392.5</v>
      </c>
      <c r="AC67" s="163">
        <f t="shared" si="2"/>
        <v>6</v>
      </c>
      <c r="AD67" s="163">
        <f t="shared" si="2"/>
        <v>1177.5</v>
      </c>
      <c r="AE67" s="124" t="s">
        <v>725</v>
      </c>
      <c r="AF67" s="124">
        <v>1.638675159235669</v>
      </c>
      <c r="AG67" s="124">
        <v>321.59000000000003</v>
      </c>
      <c r="AH67" s="124"/>
      <c r="AI67" s="124"/>
      <c r="AJ67" s="221">
        <v>0.29915923566878982</v>
      </c>
      <c r="AK67" s="221">
        <v>58.709999999999994</v>
      </c>
      <c r="AL67" s="221"/>
      <c r="AM67" s="221"/>
      <c r="AN67" s="221"/>
      <c r="AO67" s="221"/>
      <c r="AP67" s="221"/>
      <c r="AQ67" s="221"/>
      <c r="AR67" s="221"/>
      <c r="AS67" s="221"/>
      <c r="AT67" s="221"/>
      <c r="AU67" s="221"/>
      <c r="AV67" s="221"/>
      <c r="AW67" s="221"/>
      <c r="AX67" s="221"/>
      <c r="AY67" s="221"/>
      <c r="AZ67" s="233"/>
      <c r="BA67" s="125"/>
      <c r="BB67" s="125"/>
      <c r="BC67" s="125"/>
      <c r="BD67" s="125"/>
      <c r="BE67" s="125"/>
      <c r="BF67" s="125"/>
      <c r="BG67" s="125"/>
      <c r="BH67" s="125"/>
      <c r="BI67" s="125"/>
      <c r="BJ67" s="125"/>
      <c r="BK67" s="125"/>
      <c r="BL67" s="125"/>
      <c r="BM67" s="125"/>
      <c r="BN67" s="125"/>
      <c r="BO67" s="125"/>
      <c r="BP67" s="244">
        <f t="shared" si="0"/>
        <v>1.9378343949044587</v>
      </c>
      <c r="BQ67" s="248">
        <f t="shared" si="3"/>
        <v>3.8756687898089175</v>
      </c>
      <c r="BR67" s="105">
        <f t="shared" si="1"/>
        <v>380.3</v>
      </c>
      <c r="BS67" s="248">
        <f t="shared" si="4"/>
        <v>760.6</v>
      </c>
    </row>
    <row r="68" spans="1:71" s="16" customFormat="1" ht="17" hidden="1" x14ac:dyDescent="0.15">
      <c r="A68" s="118" t="s">
        <v>262</v>
      </c>
      <c r="B68" s="162" t="s">
        <v>60</v>
      </c>
      <c r="C68" s="162" t="s">
        <v>259</v>
      </c>
      <c r="D68" s="119" t="s">
        <v>218</v>
      </c>
      <c r="E68" s="117" t="s">
        <v>51</v>
      </c>
      <c r="F68" s="120">
        <v>298.3</v>
      </c>
      <c r="G68" s="120">
        <v>5.1938844183171318</v>
      </c>
      <c r="H68" s="120">
        <v>1549.335721984</v>
      </c>
      <c r="I68" s="121">
        <v>6</v>
      </c>
      <c r="J68" s="122">
        <v>1789.8000000000002</v>
      </c>
      <c r="K68" s="120"/>
      <c r="L68" s="123"/>
      <c r="M68" s="251"/>
      <c r="N68" s="251"/>
      <c r="O68" s="251"/>
      <c r="P68" s="229"/>
      <c r="Q68" s="229"/>
      <c r="R68" s="229"/>
      <c r="S68" s="229">
        <v>6</v>
      </c>
      <c r="T68" s="251">
        <f t="shared" si="9"/>
        <v>1789.8000000000002</v>
      </c>
      <c r="U68" s="252"/>
      <c r="V68" s="251"/>
      <c r="W68" s="251"/>
      <c r="X68" s="251"/>
      <c r="Y68" s="251"/>
      <c r="Z68" s="251"/>
      <c r="AA68" s="251">
        <v>1</v>
      </c>
      <c r="AB68" s="251">
        <f t="shared" si="10"/>
        <v>298.3</v>
      </c>
      <c r="AC68" s="163">
        <f t="shared" si="2"/>
        <v>7</v>
      </c>
      <c r="AD68" s="163">
        <f t="shared" si="2"/>
        <v>2088.1000000000004</v>
      </c>
      <c r="AE68" s="124" t="s">
        <v>725</v>
      </c>
      <c r="AF68" s="124"/>
      <c r="AG68" s="124"/>
      <c r="AH68" s="124"/>
      <c r="AI68" s="124"/>
      <c r="AJ68" s="124"/>
      <c r="AK68" s="124"/>
      <c r="AL68" s="124"/>
      <c r="AM68" s="124"/>
      <c r="AN68" s="124"/>
      <c r="AO68" s="124"/>
      <c r="AP68" s="124"/>
      <c r="AQ68" s="124"/>
      <c r="AR68" s="124">
        <v>0.45000000000000007</v>
      </c>
      <c r="AS68" s="124">
        <v>134.23500000000001</v>
      </c>
      <c r="AT68" s="124">
        <v>0.45000000000000007</v>
      </c>
      <c r="AU68" s="124">
        <v>134.23500000000001</v>
      </c>
      <c r="AV68" s="124">
        <v>0.58229969829031181</v>
      </c>
      <c r="AW68" s="124">
        <v>173.7</v>
      </c>
      <c r="AX68" s="124"/>
      <c r="AY68" s="124"/>
      <c r="AZ68" s="233">
        <v>0.55722427086825355</v>
      </c>
      <c r="BA68" s="125">
        <v>166.22</v>
      </c>
      <c r="BB68" s="125">
        <v>0.55741824000000006</v>
      </c>
      <c r="BC68" s="125">
        <v>166.277860992</v>
      </c>
      <c r="BD68" s="125"/>
      <c r="BE68" s="125"/>
      <c r="BF68" s="125"/>
      <c r="BG68" s="125"/>
      <c r="BH68" s="125"/>
      <c r="BI68" s="125"/>
      <c r="BJ68" s="125"/>
      <c r="BK68" s="125"/>
      <c r="BL68" s="125"/>
      <c r="BM68" s="125"/>
      <c r="BN68" s="125"/>
      <c r="BO68" s="125"/>
      <c r="BP68" s="244">
        <f t="shared" si="0"/>
        <v>2.5969422091585659</v>
      </c>
      <c r="BQ68" s="248">
        <f t="shared" si="3"/>
        <v>5.1938844183171318</v>
      </c>
      <c r="BR68" s="105">
        <f t="shared" si="1"/>
        <v>774.66786099199999</v>
      </c>
      <c r="BS68" s="248">
        <f t="shared" si="4"/>
        <v>1549.335721984</v>
      </c>
    </row>
    <row r="69" spans="1:71" s="16" customFormat="1" ht="17" x14ac:dyDescent="0.15">
      <c r="A69" s="118" t="s">
        <v>264</v>
      </c>
      <c r="B69" s="162" t="s">
        <v>60</v>
      </c>
      <c r="C69" s="162" t="s">
        <v>263</v>
      </c>
      <c r="D69" s="119" t="s">
        <v>81</v>
      </c>
      <c r="E69" s="117" t="s">
        <v>51</v>
      </c>
      <c r="F69" s="120">
        <v>109.89999999999999</v>
      </c>
      <c r="G69" s="120">
        <v>62.550500454959057</v>
      </c>
      <c r="H69" s="120">
        <v>6874.3000000000011</v>
      </c>
      <c r="I69" s="121">
        <v>72</v>
      </c>
      <c r="J69" s="122">
        <v>7912.7999999999993</v>
      </c>
      <c r="K69" s="120"/>
      <c r="L69" s="123"/>
      <c r="M69" s="251"/>
      <c r="N69" s="251"/>
      <c r="O69" s="251"/>
      <c r="P69" s="229"/>
      <c r="Q69" s="229"/>
      <c r="R69" s="229"/>
      <c r="S69" s="229">
        <v>30</v>
      </c>
      <c r="T69" s="251">
        <f t="shared" si="9"/>
        <v>3296.9999999999995</v>
      </c>
      <c r="U69" s="252"/>
      <c r="V69" s="251"/>
      <c r="W69" s="251"/>
      <c r="X69" s="251"/>
      <c r="Y69" s="251">
        <v>42</v>
      </c>
      <c r="Z69" s="251">
        <f>+Y69*F69</f>
        <v>4615.7999999999993</v>
      </c>
      <c r="AA69" s="251"/>
      <c r="AB69" s="251"/>
      <c r="AC69" s="163">
        <f t="shared" si="2"/>
        <v>72</v>
      </c>
      <c r="AD69" s="163">
        <f t="shared" si="2"/>
        <v>7912.7999999999993</v>
      </c>
      <c r="AE69" s="124" t="s">
        <v>703</v>
      </c>
      <c r="AF69" s="124">
        <v>12.441947224749773</v>
      </c>
      <c r="AG69" s="124">
        <v>1367.3700000000001</v>
      </c>
      <c r="AH69" s="124">
        <v>12.569608735213832</v>
      </c>
      <c r="AI69" s="124">
        <v>1381.4</v>
      </c>
      <c r="AJ69" s="124">
        <v>6.2636942675159242</v>
      </c>
      <c r="AK69" s="124">
        <v>688.38</v>
      </c>
      <c r="AL69" s="124"/>
      <c r="AM69" s="124"/>
      <c r="AN69" s="124"/>
      <c r="AO69" s="124"/>
      <c r="AP69" s="124"/>
      <c r="AQ69" s="124"/>
      <c r="AR69" s="124"/>
      <c r="AS69" s="124"/>
      <c r="AT69" s="124"/>
      <c r="AU69" s="124"/>
      <c r="AV69" s="124"/>
      <c r="AW69" s="124"/>
      <c r="AX69" s="124"/>
      <c r="AY69" s="124"/>
      <c r="AZ69" s="233"/>
      <c r="BA69" s="125"/>
      <c r="BB69" s="125"/>
      <c r="BC69" s="125"/>
      <c r="BD69" s="125"/>
      <c r="BE69" s="125"/>
      <c r="BF69" s="125"/>
      <c r="BG69" s="125"/>
      <c r="BH69" s="125"/>
      <c r="BI69" s="125"/>
      <c r="BJ69" s="125"/>
      <c r="BK69" s="125"/>
      <c r="BL69" s="125"/>
      <c r="BM69" s="125"/>
      <c r="BN69" s="125"/>
      <c r="BO69" s="125"/>
      <c r="BP69" s="244">
        <f t="shared" si="0"/>
        <v>31.275250227479528</v>
      </c>
      <c r="BQ69" s="248">
        <f t="shared" si="3"/>
        <v>62.550500454959057</v>
      </c>
      <c r="BR69" s="105">
        <f t="shared" si="1"/>
        <v>3437.1500000000005</v>
      </c>
      <c r="BS69" s="248">
        <f t="shared" si="4"/>
        <v>6874.3000000000011</v>
      </c>
    </row>
    <row r="70" spans="1:71" s="16" customFormat="1" ht="17" hidden="1" x14ac:dyDescent="0.15">
      <c r="A70" s="118" t="s">
        <v>266</v>
      </c>
      <c r="B70" s="162" t="s">
        <v>60</v>
      </c>
      <c r="C70" s="162" t="s">
        <v>268</v>
      </c>
      <c r="D70" s="119" t="s">
        <v>81</v>
      </c>
      <c r="E70" s="117" t="s">
        <v>51</v>
      </c>
      <c r="F70" s="120">
        <v>329.7</v>
      </c>
      <c r="G70" s="120">
        <v>7.0000000000000009</v>
      </c>
      <c r="H70" s="120">
        <v>2307.9</v>
      </c>
      <c r="I70" s="121">
        <v>9</v>
      </c>
      <c r="J70" s="122">
        <v>2967.2999999999997</v>
      </c>
      <c r="K70" s="120"/>
      <c r="L70" s="123"/>
      <c r="M70" s="251"/>
      <c r="N70" s="251"/>
      <c r="O70" s="251"/>
      <c r="P70" s="229"/>
      <c r="Q70" s="229"/>
      <c r="R70" s="229"/>
      <c r="S70" s="229">
        <v>9</v>
      </c>
      <c r="T70" s="251">
        <f t="shared" si="9"/>
        <v>2967.2999999999997</v>
      </c>
      <c r="U70" s="252"/>
      <c r="V70" s="251"/>
      <c r="W70" s="251"/>
      <c r="X70" s="251"/>
      <c r="Y70" s="251"/>
      <c r="Z70" s="251"/>
      <c r="AA70" s="251"/>
      <c r="AB70" s="251"/>
      <c r="AC70" s="163">
        <f t="shared" si="2"/>
        <v>9</v>
      </c>
      <c r="AD70" s="163">
        <f t="shared" si="2"/>
        <v>2967.2999999999997</v>
      </c>
      <c r="AE70" s="124" t="s">
        <v>253</v>
      </c>
      <c r="AF70" s="124">
        <v>3.5000000000000004</v>
      </c>
      <c r="AG70" s="124">
        <v>1153.95</v>
      </c>
      <c r="AH70" s="124"/>
      <c r="AI70" s="124"/>
      <c r="AJ70" s="124"/>
      <c r="AK70" s="124"/>
      <c r="AL70" s="124"/>
      <c r="AM70" s="124"/>
      <c r="AN70" s="124"/>
      <c r="AO70" s="124"/>
      <c r="AP70" s="124"/>
      <c r="AQ70" s="124"/>
      <c r="AR70" s="124"/>
      <c r="AS70" s="124"/>
      <c r="AT70" s="124"/>
      <c r="AU70" s="124"/>
      <c r="AV70" s="124"/>
      <c r="AW70" s="124"/>
      <c r="AX70" s="124"/>
      <c r="AY70" s="124"/>
      <c r="AZ70" s="233"/>
      <c r="BA70" s="125"/>
      <c r="BB70" s="125"/>
      <c r="BC70" s="125"/>
      <c r="BD70" s="125"/>
      <c r="BE70" s="125"/>
      <c r="BF70" s="125"/>
      <c r="BG70" s="125"/>
      <c r="BH70" s="125"/>
      <c r="BI70" s="125"/>
      <c r="BJ70" s="125"/>
      <c r="BK70" s="125"/>
      <c r="BL70" s="125"/>
      <c r="BM70" s="125"/>
      <c r="BN70" s="125"/>
      <c r="BO70" s="125"/>
      <c r="BP70" s="244">
        <f t="shared" si="0"/>
        <v>3.5000000000000004</v>
      </c>
      <c r="BQ70" s="248">
        <f t="shared" si="3"/>
        <v>7.0000000000000009</v>
      </c>
      <c r="BR70" s="105">
        <f t="shared" si="1"/>
        <v>1153.95</v>
      </c>
      <c r="BS70" s="248">
        <f t="shared" si="4"/>
        <v>2307.9</v>
      </c>
    </row>
    <row r="71" spans="1:71" s="16" customFormat="1" ht="17" x14ac:dyDescent="0.2">
      <c r="A71" s="118" t="s">
        <v>267</v>
      </c>
      <c r="B71" s="162" t="s">
        <v>60</v>
      </c>
      <c r="C71" s="162" t="s">
        <v>269</v>
      </c>
      <c r="D71" s="119" t="s">
        <v>81</v>
      </c>
      <c r="E71" s="117" t="s">
        <v>51</v>
      </c>
      <c r="F71" s="120">
        <v>235.5</v>
      </c>
      <c r="G71" s="255">
        <v>22.498428874734607</v>
      </c>
      <c r="H71" s="255">
        <v>5298.38</v>
      </c>
      <c r="I71" s="121">
        <v>26</v>
      </c>
      <c r="J71" s="122">
        <v>6123</v>
      </c>
      <c r="K71" s="120"/>
      <c r="L71" s="123"/>
      <c r="M71" s="251"/>
      <c r="N71" s="251"/>
      <c r="O71" s="251"/>
      <c r="P71" s="229"/>
      <c r="Q71" s="229"/>
      <c r="R71" s="229"/>
      <c r="S71" s="229">
        <v>12</v>
      </c>
      <c r="T71" s="251">
        <f t="shared" si="9"/>
        <v>2826</v>
      </c>
      <c r="U71" s="252"/>
      <c r="V71" s="251"/>
      <c r="W71" s="251"/>
      <c r="X71" s="251"/>
      <c r="Y71" s="251">
        <v>14</v>
      </c>
      <c r="Z71" s="251">
        <f>+Y71*F71</f>
        <v>3297</v>
      </c>
      <c r="AA71" s="251"/>
      <c r="AB71" s="251"/>
      <c r="AC71" s="163">
        <f t="shared" si="2"/>
        <v>26</v>
      </c>
      <c r="AD71" s="163">
        <f t="shared" si="2"/>
        <v>6123</v>
      </c>
      <c r="AE71" s="124" t="s">
        <v>703</v>
      </c>
      <c r="AF71" s="124">
        <v>5.2492144373673035</v>
      </c>
      <c r="AG71" s="124">
        <v>1236.19</v>
      </c>
      <c r="AH71" s="124">
        <v>4</v>
      </c>
      <c r="AI71" s="124">
        <v>942</v>
      </c>
      <c r="AJ71" s="124">
        <v>2</v>
      </c>
      <c r="AK71" s="124">
        <v>471</v>
      </c>
      <c r="AL71" s="124"/>
      <c r="AM71" s="124"/>
      <c r="AN71" s="124"/>
      <c r="AO71" s="124"/>
      <c r="AP71" s="124"/>
      <c r="AQ71" s="124"/>
      <c r="AR71" s="124"/>
      <c r="AS71" s="124"/>
      <c r="AT71" s="124"/>
      <c r="AU71" s="124"/>
      <c r="AV71" s="124"/>
      <c r="AW71" s="124"/>
      <c r="AX71" s="124"/>
      <c r="AY71" s="124"/>
      <c r="AZ71" s="233"/>
      <c r="BA71" s="125"/>
      <c r="BB71" s="125"/>
      <c r="BC71" s="125"/>
      <c r="BD71" s="125"/>
      <c r="BE71" s="125"/>
      <c r="BF71" s="125"/>
      <c r="BG71" s="125"/>
      <c r="BH71" s="125"/>
      <c r="BI71" s="125"/>
      <c r="BJ71" s="125"/>
      <c r="BK71" s="125"/>
      <c r="BL71" s="125"/>
      <c r="BM71" s="125"/>
      <c r="BN71" s="125"/>
      <c r="BO71" s="125"/>
      <c r="BP71" s="244">
        <f t="shared" si="0"/>
        <v>11.249214437367304</v>
      </c>
      <c r="BQ71" s="248">
        <f t="shared" si="3"/>
        <v>22.498428874734607</v>
      </c>
      <c r="BR71" s="105">
        <f t="shared" si="1"/>
        <v>2649.19</v>
      </c>
      <c r="BS71" s="248">
        <f t="shared" si="4"/>
        <v>5298.38</v>
      </c>
    </row>
    <row r="72" spans="1:71" s="16" customFormat="1" ht="17" hidden="1" x14ac:dyDescent="0.15">
      <c r="A72" s="118" t="s">
        <v>270</v>
      </c>
      <c r="B72" s="162" t="s">
        <v>60</v>
      </c>
      <c r="C72" s="162" t="s">
        <v>273</v>
      </c>
      <c r="D72" s="119" t="s">
        <v>218</v>
      </c>
      <c r="E72" s="117" t="s">
        <v>51</v>
      </c>
      <c r="F72" s="120">
        <v>47.099999999999994</v>
      </c>
      <c r="G72" s="120">
        <v>0.99278131634819533</v>
      </c>
      <c r="H72" s="120">
        <v>46.76</v>
      </c>
      <c r="I72" s="121">
        <v>3</v>
      </c>
      <c r="J72" s="122">
        <v>141.29999999999998</v>
      </c>
      <c r="K72" s="120"/>
      <c r="L72" s="123"/>
      <c r="M72" s="251"/>
      <c r="N72" s="251"/>
      <c r="O72" s="251"/>
      <c r="P72" s="229"/>
      <c r="Q72" s="229"/>
      <c r="R72" s="229"/>
      <c r="S72" s="229">
        <v>3</v>
      </c>
      <c r="T72" s="251">
        <f t="shared" si="9"/>
        <v>141.29999999999998</v>
      </c>
      <c r="U72" s="252"/>
      <c r="V72" s="251"/>
      <c r="W72" s="251"/>
      <c r="X72" s="251"/>
      <c r="Y72" s="251"/>
      <c r="Z72" s="251"/>
      <c r="AA72" s="251"/>
      <c r="AB72" s="251"/>
      <c r="AC72" s="163">
        <f t="shared" si="2"/>
        <v>3</v>
      </c>
      <c r="AD72" s="163">
        <f t="shared" si="2"/>
        <v>141.29999999999998</v>
      </c>
      <c r="AE72" s="124" t="s">
        <v>253</v>
      </c>
      <c r="AF72" s="221">
        <v>0.49639065817409767</v>
      </c>
      <c r="AG72" s="124">
        <v>23.38</v>
      </c>
      <c r="AH72" s="124"/>
      <c r="AI72" s="124"/>
      <c r="AJ72" s="124"/>
      <c r="AK72" s="124"/>
      <c r="AL72" s="124"/>
      <c r="AM72" s="124"/>
      <c r="AN72" s="124"/>
      <c r="AO72" s="124"/>
      <c r="AP72" s="124"/>
      <c r="AQ72" s="124"/>
      <c r="AR72" s="124"/>
      <c r="AS72" s="124"/>
      <c r="AT72" s="124"/>
      <c r="AU72" s="124"/>
      <c r="AV72" s="124"/>
      <c r="AW72" s="124"/>
      <c r="AX72" s="124"/>
      <c r="AY72" s="124"/>
      <c r="AZ72" s="233"/>
      <c r="BA72" s="125"/>
      <c r="BB72" s="125"/>
      <c r="BC72" s="125"/>
      <c r="BD72" s="125"/>
      <c r="BE72" s="125"/>
      <c r="BF72" s="125"/>
      <c r="BG72" s="125"/>
      <c r="BH72" s="125"/>
      <c r="BI72" s="125"/>
      <c r="BJ72" s="125"/>
      <c r="BK72" s="125"/>
      <c r="BL72" s="125"/>
      <c r="BM72" s="125"/>
      <c r="BN72" s="125"/>
      <c r="BO72" s="125"/>
      <c r="BP72" s="244">
        <f t="shared" si="0"/>
        <v>0.49639065817409767</v>
      </c>
      <c r="BQ72" s="248">
        <f t="shared" si="3"/>
        <v>0.99278131634819533</v>
      </c>
      <c r="BR72" s="105">
        <f t="shared" si="1"/>
        <v>23.38</v>
      </c>
      <c r="BS72" s="248">
        <f t="shared" si="4"/>
        <v>46.76</v>
      </c>
    </row>
    <row r="73" spans="1:71" s="16" customFormat="1" ht="17" x14ac:dyDescent="0.15">
      <c r="A73" s="118" t="s">
        <v>271</v>
      </c>
      <c r="B73" s="162" t="s">
        <v>120</v>
      </c>
      <c r="C73" s="162" t="s">
        <v>274</v>
      </c>
      <c r="D73" s="119" t="s">
        <v>62</v>
      </c>
      <c r="E73" s="117" t="s">
        <v>121</v>
      </c>
      <c r="F73" s="120">
        <v>6.85</v>
      </c>
      <c r="G73" s="120">
        <v>754.22399999999993</v>
      </c>
      <c r="H73" s="120">
        <v>5166.5400000000009</v>
      </c>
      <c r="I73" s="121">
        <v>302</v>
      </c>
      <c r="J73" s="122">
        <v>2068.6999999999998</v>
      </c>
      <c r="K73" s="120"/>
      <c r="L73" s="123"/>
      <c r="M73" s="251"/>
      <c r="N73" s="251"/>
      <c r="O73" s="251"/>
      <c r="P73" s="229"/>
      <c r="Q73" s="229"/>
      <c r="R73" s="229"/>
      <c r="S73" s="229">
        <v>100</v>
      </c>
      <c r="T73" s="251">
        <f t="shared" si="9"/>
        <v>685</v>
      </c>
      <c r="U73" s="252">
        <v>115</v>
      </c>
      <c r="V73" s="251">
        <f>+U73*F73</f>
        <v>787.75</v>
      </c>
      <c r="W73" s="251"/>
      <c r="X73" s="251"/>
      <c r="Y73" s="251">
        <v>87</v>
      </c>
      <c r="Z73" s="251">
        <f>+Y73*F73</f>
        <v>595.94999999999993</v>
      </c>
      <c r="AA73" s="251">
        <v>495</v>
      </c>
      <c r="AB73" s="251">
        <f>+AA73*F73</f>
        <v>3390.75</v>
      </c>
      <c r="AC73" s="163">
        <f t="shared" si="2"/>
        <v>797</v>
      </c>
      <c r="AD73" s="163">
        <f t="shared" si="2"/>
        <v>5459.45</v>
      </c>
      <c r="AE73" s="124" t="s">
        <v>725</v>
      </c>
      <c r="AF73" s="124">
        <v>16.68</v>
      </c>
      <c r="AG73" s="124">
        <v>114.27000000000001</v>
      </c>
      <c r="AH73" s="124">
        <v>40.631</v>
      </c>
      <c r="AI73" s="124">
        <v>278.33</v>
      </c>
      <c r="AJ73" s="124"/>
      <c r="AK73" s="124"/>
      <c r="AL73" s="124"/>
      <c r="AM73" s="124"/>
      <c r="AN73" s="124"/>
      <c r="AO73" s="124"/>
      <c r="AP73" s="124"/>
      <c r="AQ73" s="124"/>
      <c r="AR73" s="124"/>
      <c r="AS73" s="124"/>
      <c r="AT73" s="124"/>
      <c r="AU73" s="124"/>
      <c r="AV73" s="124"/>
      <c r="AW73" s="124"/>
      <c r="AX73" s="124"/>
      <c r="AY73" s="124"/>
      <c r="AZ73" s="233"/>
      <c r="BA73" s="125"/>
      <c r="BB73" s="125"/>
      <c r="BC73" s="125"/>
      <c r="BD73" s="125">
        <v>259.35500000000002</v>
      </c>
      <c r="BE73" s="125">
        <v>1776.6200000000001</v>
      </c>
      <c r="BF73" s="125">
        <v>60.445999999999998</v>
      </c>
      <c r="BG73" s="125">
        <v>414.05</v>
      </c>
      <c r="BH73" s="125"/>
      <c r="BI73" s="125"/>
      <c r="BJ73" s="125"/>
      <c r="BK73" s="125"/>
      <c r="BL73" s="125"/>
      <c r="BM73" s="125"/>
      <c r="BN73" s="125"/>
      <c r="BO73" s="125"/>
      <c r="BP73" s="244">
        <f t="shared" si="0"/>
        <v>377.11199999999997</v>
      </c>
      <c r="BQ73" s="248">
        <f t="shared" si="3"/>
        <v>754.22399999999993</v>
      </c>
      <c r="BR73" s="105">
        <f t="shared" si="1"/>
        <v>2583.2700000000004</v>
      </c>
      <c r="BS73" s="248">
        <f t="shared" si="4"/>
        <v>5166.5400000000009</v>
      </c>
    </row>
    <row r="74" spans="1:71" s="16" customFormat="1" ht="17" x14ac:dyDescent="0.15">
      <c r="A74" s="118" t="s">
        <v>272</v>
      </c>
      <c r="B74" s="162" t="s">
        <v>120</v>
      </c>
      <c r="C74" s="162" t="s">
        <v>275</v>
      </c>
      <c r="D74" s="119" t="s">
        <v>62</v>
      </c>
      <c r="E74" s="117" t="s">
        <v>121</v>
      </c>
      <c r="F74" s="120">
        <v>13.35</v>
      </c>
      <c r="G74" s="120">
        <v>512.30400000000009</v>
      </c>
      <c r="H74" s="120">
        <v>6838.2800000000007</v>
      </c>
      <c r="I74" s="121">
        <v>548.62501999999995</v>
      </c>
      <c r="J74" s="122">
        <v>7324.1440169999996</v>
      </c>
      <c r="K74" s="120"/>
      <c r="L74" s="123"/>
      <c r="M74" s="251"/>
      <c r="N74" s="251"/>
      <c r="O74" s="251"/>
      <c r="P74" s="229"/>
      <c r="Q74" s="229"/>
      <c r="R74" s="229"/>
      <c r="S74" s="229">
        <f>+G74*1.07</f>
        <v>548.16528000000017</v>
      </c>
      <c r="T74" s="251">
        <f t="shared" si="9"/>
        <v>7318.0064880000018</v>
      </c>
      <c r="U74" s="252"/>
      <c r="V74" s="251"/>
      <c r="W74" s="251"/>
      <c r="X74" s="251"/>
      <c r="Y74" s="251">
        <v>386</v>
      </c>
      <c r="Z74" s="251">
        <f>+Y74*F74</f>
        <v>5153.0999999999995</v>
      </c>
      <c r="AA74" s="251"/>
      <c r="AB74" s="251"/>
      <c r="AC74" s="163">
        <f t="shared" si="2"/>
        <v>548.62501999999995</v>
      </c>
      <c r="AD74" s="163">
        <f t="shared" si="2"/>
        <v>7324.1440169999996</v>
      </c>
      <c r="AE74" s="124" t="s">
        <v>703</v>
      </c>
      <c r="AF74" s="124">
        <v>76.02000000000001</v>
      </c>
      <c r="AG74" s="124">
        <v>1014.76</v>
      </c>
      <c r="AH74" s="124">
        <v>36.04</v>
      </c>
      <c r="AI74" s="124">
        <v>481.06000000000006</v>
      </c>
      <c r="AJ74" s="124">
        <v>144.09200000000001</v>
      </c>
      <c r="AK74" s="124">
        <v>1923.3200000000002</v>
      </c>
      <c r="AL74" s="124"/>
      <c r="AM74" s="124"/>
      <c r="AN74" s="124"/>
      <c r="AO74" s="124"/>
      <c r="AP74" s="124"/>
      <c r="AQ74" s="124"/>
      <c r="AR74" s="124"/>
      <c r="AS74" s="124"/>
      <c r="AT74" s="124"/>
      <c r="AU74" s="124"/>
      <c r="AV74" s="124"/>
      <c r="AW74" s="124"/>
      <c r="AX74" s="124"/>
      <c r="AY74" s="124"/>
      <c r="AZ74" s="233"/>
      <c r="BA74" s="125"/>
      <c r="BB74" s="125"/>
      <c r="BC74" s="125"/>
      <c r="BD74" s="125"/>
      <c r="BE74" s="125"/>
      <c r="BF74" s="125"/>
      <c r="BG74" s="125"/>
      <c r="BH74" s="125"/>
      <c r="BI74" s="125"/>
      <c r="BJ74" s="125"/>
      <c r="BK74" s="125"/>
      <c r="BL74" s="125"/>
      <c r="BM74" s="125"/>
      <c r="BN74" s="125"/>
      <c r="BO74" s="125"/>
      <c r="BP74" s="244">
        <f t="shared" si="0"/>
        <v>256.15200000000004</v>
      </c>
      <c r="BQ74" s="248">
        <f t="shared" si="3"/>
        <v>512.30400000000009</v>
      </c>
      <c r="BR74" s="105">
        <f t="shared" si="1"/>
        <v>3419.1400000000003</v>
      </c>
      <c r="BS74" s="248">
        <f t="shared" si="4"/>
        <v>6838.2800000000007</v>
      </c>
    </row>
    <row r="75" spans="1:71" s="16" customFormat="1" ht="17" hidden="1" x14ac:dyDescent="0.15">
      <c r="A75" s="118" t="s">
        <v>276</v>
      </c>
      <c r="B75" s="162" t="s">
        <v>119</v>
      </c>
      <c r="C75" s="162" t="s">
        <v>280</v>
      </c>
      <c r="D75" s="119" t="s">
        <v>62</v>
      </c>
      <c r="E75" s="117" t="s">
        <v>121</v>
      </c>
      <c r="F75" s="120">
        <v>29.6</v>
      </c>
      <c r="G75" s="120">
        <v>110.15599999999999</v>
      </c>
      <c r="H75" s="120">
        <v>3256.52</v>
      </c>
      <c r="I75" s="121">
        <v>118.54744000000001</v>
      </c>
      <c r="J75" s="122">
        <v>3509.0042240000002</v>
      </c>
      <c r="K75" s="120"/>
      <c r="L75" s="123"/>
      <c r="M75" s="251"/>
      <c r="N75" s="251"/>
      <c r="O75" s="251"/>
      <c r="P75" s="229"/>
      <c r="Q75" s="229"/>
      <c r="R75" s="229"/>
      <c r="S75" s="229">
        <f>+G75*1.07</f>
        <v>117.86691999999999</v>
      </c>
      <c r="T75" s="251">
        <f t="shared" si="9"/>
        <v>3488.8608319999998</v>
      </c>
      <c r="U75" s="252"/>
      <c r="V75" s="251"/>
      <c r="W75" s="251"/>
      <c r="X75" s="251"/>
      <c r="Y75" s="251"/>
      <c r="Z75" s="251"/>
      <c r="AA75" s="251"/>
      <c r="AB75" s="251"/>
      <c r="AC75" s="163">
        <f t="shared" si="2"/>
        <v>118.54744000000001</v>
      </c>
      <c r="AD75" s="163">
        <f t="shared" si="2"/>
        <v>3509.0042240000002</v>
      </c>
      <c r="AE75" s="124" t="s">
        <v>253</v>
      </c>
      <c r="AF75" s="124">
        <v>55.077999999999996</v>
      </c>
      <c r="AG75" s="124">
        <v>1628.26</v>
      </c>
      <c r="AH75" s="124"/>
      <c r="AI75" s="124"/>
      <c r="AJ75" s="124"/>
      <c r="AK75" s="124"/>
      <c r="AL75" s="124"/>
      <c r="AM75" s="124"/>
      <c r="AN75" s="124"/>
      <c r="AO75" s="124"/>
      <c r="AP75" s="124"/>
      <c r="AQ75" s="124"/>
      <c r="AR75" s="124"/>
      <c r="AS75" s="124"/>
      <c r="AT75" s="124"/>
      <c r="AU75" s="124"/>
      <c r="AV75" s="124"/>
      <c r="AW75" s="124"/>
      <c r="AX75" s="124"/>
      <c r="AY75" s="124"/>
      <c r="AZ75" s="233"/>
      <c r="BA75" s="125"/>
      <c r="BB75" s="125"/>
      <c r="BC75" s="125"/>
      <c r="BD75" s="125"/>
      <c r="BE75" s="125"/>
      <c r="BF75" s="125"/>
      <c r="BG75" s="125"/>
      <c r="BH75" s="125"/>
      <c r="BI75" s="125"/>
      <c r="BJ75" s="125"/>
      <c r="BK75" s="125"/>
      <c r="BL75" s="125"/>
      <c r="BM75" s="125"/>
      <c r="BN75" s="125"/>
      <c r="BO75" s="125"/>
      <c r="BP75" s="244">
        <f t="shared" si="0"/>
        <v>55.077999999999996</v>
      </c>
      <c r="BQ75" s="248">
        <f t="shared" si="3"/>
        <v>110.15599999999999</v>
      </c>
      <c r="BR75" s="105">
        <f t="shared" si="1"/>
        <v>1628.26</v>
      </c>
      <c r="BS75" s="248">
        <f t="shared" si="4"/>
        <v>3256.52</v>
      </c>
    </row>
    <row r="76" spans="1:71" s="16" customFormat="1" ht="17" x14ac:dyDescent="0.15">
      <c r="A76" s="118" t="s">
        <v>277</v>
      </c>
      <c r="B76" s="162" t="s">
        <v>119</v>
      </c>
      <c r="C76" s="162" t="s">
        <v>279</v>
      </c>
      <c r="D76" s="119" t="s">
        <v>62</v>
      </c>
      <c r="E76" s="117" t="s">
        <v>121</v>
      </c>
      <c r="F76" s="120">
        <v>66</v>
      </c>
      <c r="G76" s="120">
        <v>146.82799999999997</v>
      </c>
      <c r="H76" s="120">
        <v>9361.9</v>
      </c>
      <c r="I76" s="121">
        <v>157.94846000000001</v>
      </c>
      <c r="J76" s="122">
        <v>10424.59836</v>
      </c>
      <c r="K76" s="120"/>
      <c r="L76" s="123"/>
      <c r="M76" s="251"/>
      <c r="N76" s="251"/>
      <c r="O76" s="251"/>
      <c r="P76" s="229"/>
      <c r="Q76" s="229"/>
      <c r="R76" s="229"/>
      <c r="S76" s="229">
        <f t="shared" ref="S76:S77" si="11">+G76*1.07</f>
        <v>157.10595999999998</v>
      </c>
      <c r="T76" s="251">
        <f t="shared" si="9"/>
        <v>10368.993359999999</v>
      </c>
      <c r="U76" s="252"/>
      <c r="V76" s="251"/>
      <c r="W76" s="251"/>
      <c r="X76" s="251"/>
      <c r="Y76" s="251">
        <v>30</v>
      </c>
      <c r="Z76" s="251">
        <f>+Y76*F76</f>
        <v>1980</v>
      </c>
      <c r="AA76" s="251"/>
      <c r="AB76" s="251"/>
      <c r="AC76" s="163">
        <f t="shared" si="2"/>
        <v>157.94846000000001</v>
      </c>
      <c r="AD76" s="163">
        <f t="shared" si="2"/>
        <v>10424.59836</v>
      </c>
      <c r="AE76" s="124" t="s">
        <v>703</v>
      </c>
      <c r="AF76" s="124">
        <v>59.669999999999995</v>
      </c>
      <c r="AG76" s="124">
        <v>3818.02</v>
      </c>
      <c r="AH76" s="124">
        <v>13.744</v>
      </c>
      <c r="AI76" s="124">
        <v>862.93</v>
      </c>
      <c r="AJ76" s="124"/>
      <c r="AK76" s="124"/>
      <c r="AL76" s="124"/>
      <c r="AM76" s="124"/>
      <c r="AN76" s="124"/>
      <c r="AO76" s="124"/>
      <c r="AP76" s="124"/>
      <c r="AQ76" s="124"/>
      <c r="AR76" s="124"/>
      <c r="AS76" s="124"/>
      <c r="AT76" s="124"/>
      <c r="AU76" s="124"/>
      <c r="AV76" s="124"/>
      <c r="AW76" s="124"/>
      <c r="AX76" s="124"/>
      <c r="AY76" s="124"/>
      <c r="AZ76" s="233"/>
      <c r="BA76" s="125"/>
      <c r="BB76" s="125"/>
      <c r="BC76" s="125"/>
      <c r="BD76" s="125"/>
      <c r="BE76" s="125"/>
      <c r="BF76" s="125"/>
      <c r="BG76" s="125"/>
      <c r="BH76" s="125"/>
      <c r="BI76" s="125"/>
      <c r="BJ76" s="125"/>
      <c r="BK76" s="125"/>
      <c r="BL76" s="125"/>
      <c r="BM76" s="125"/>
      <c r="BN76" s="125"/>
      <c r="BO76" s="125"/>
      <c r="BP76" s="244">
        <f t="shared" si="0"/>
        <v>73.413999999999987</v>
      </c>
      <c r="BQ76" s="248">
        <f t="shared" si="3"/>
        <v>146.82799999999997</v>
      </c>
      <c r="BR76" s="105">
        <f t="shared" si="1"/>
        <v>4680.95</v>
      </c>
      <c r="BS76" s="248">
        <f t="shared" si="4"/>
        <v>9361.9</v>
      </c>
    </row>
    <row r="77" spans="1:71" s="16" customFormat="1" ht="17" hidden="1" x14ac:dyDescent="0.15">
      <c r="A77" s="118" t="s">
        <v>278</v>
      </c>
      <c r="B77" s="162" t="s">
        <v>119</v>
      </c>
      <c r="C77" s="162" t="s">
        <v>281</v>
      </c>
      <c r="D77" s="119" t="s">
        <v>62</v>
      </c>
      <c r="E77" s="117" t="s">
        <v>121</v>
      </c>
      <c r="F77" s="120">
        <v>89.6</v>
      </c>
      <c r="G77" s="120">
        <v>167.77600000000001</v>
      </c>
      <c r="H77" s="120">
        <v>15040.62</v>
      </c>
      <c r="I77" s="121">
        <v>192.03026</v>
      </c>
      <c r="J77" s="122">
        <v>17205.911295999998</v>
      </c>
      <c r="K77" s="120"/>
      <c r="L77" s="123"/>
      <c r="M77" s="251"/>
      <c r="N77" s="251"/>
      <c r="O77" s="251"/>
      <c r="P77" s="229"/>
      <c r="Q77" s="229"/>
      <c r="R77" s="229"/>
      <c r="S77" s="229">
        <f t="shared" si="11"/>
        <v>179.52032000000003</v>
      </c>
      <c r="T77" s="251">
        <f t="shared" si="9"/>
        <v>16085.020672000001</v>
      </c>
      <c r="U77" s="252"/>
      <c r="V77" s="251"/>
      <c r="W77" s="251">
        <v>13</v>
      </c>
      <c r="X77" s="251">
        <f>+W77*F77</f>
        <v>1164.8</v>
      </c>
      <c r="Y77" s="251"/>
      <c r="Z77" s="251"/>
      <c r="AA77" s="251"/>
      <c r="AB77" s="251"/>
      <c r="AC77" s="163">
        <f t="shared" si="2"/>
        <v>192.03026</v>
      </c>
      <c r="AD77" s="163">
        <f t="shared" si="2"/>
        <v>17205.911295999998</v>
      </c>
      <c r="AE77" s="124" t="s">
        <v>601</v>
      </c>
      <c r="AF77" s="124">
        <v>83.888000000000005</v>
      </c>
      <c r="AG77" s="124">
        <v>7520.31</v>
      </c>
      <c r="AH77" s="124"/>
      <c r="AI77" s="124"/>
      <c r="AJ77" s="124"/>
      <c r="AK77" s="124"/>
      <c r="AL77" s="124"/>
      <c r="AM77" s="124"/>
      <c r="AN77" s="124"/>
      <c r="AO77" s="124"/>
      <c r="AP77" s="124"/>
      <c r="AQ77" s="124"/>
      <c r="AR77" s="124"/>
      <c r="AS77" s="124"/>
      <c r="AT77" s="124"/>
      <c r="AU77" s="124"/>
      <c r="AV77" s="124"/>
      <c r="AW77" s="124"/>
      <c r="AX77" s="124"/>
      <c r="AY77" s="124"/>
      <c r="AZ77" s="233"/>
      <c r="BA77" s="125"/>
      <c r="BB77" s="125"/>
      <c r="BC77" s="125"/>
      <c r="BD77" s="125"/>
      <c r="BE77" s="125"/>
      <c r="BF77" s="125"/>
      <c r="BG77" s="125"/>
      <c r="BH77" s="125"/>
      <c r="BI77" s="125"/>
      <c r="BJ77" s="125"/>
      <c r="BK77" s="125"/>
      <c r="BL77" s="125"/>
      <c r="BM77" s="125"/>
      <c r="BN77" s="125"/>
      <c r="BO77" s="125"/>
      <c r="BP77" s="244">
        <f t="shared" ref="BP77:BP141" si="12">+AF77+AH77+AJ77+AL77+AN77+AP77+AR77+AT77+AV77+AX77+AZ77+BB77+BD77+BF77+BH77+BJ77+BL77+BN77</f>
        <v>83.888000000000005</v>
      </c>
      <c r="BQ77" s="248">
        <f t="shared" si="3"/>
        <v>167.77600000000001</v>
      </c>
      <c r="BR77" s="105">
        <f t="shared" ref="BR77:BR141" si="13">+AG77+AI77+AK77+AM77+AO77+AQ77+AS77+AU77+AW77+AY77+BA77+BC77+BE77+BG77+BI77+BK77+BM77+BO77</f>
        <v>7520.31</v>
      </c>
      <c r="BS77" s="248">
        <f t="shared" si="4"/>
        <v>15040.62</v>
      </c>
    </row>
    <row r="78" spans="1:71" s="16" customFormat="1" ht="17" x14ac:dyDescent="0.15">
      <c r="A78" s="118" t="s">
        <v>282</v>
      </c>
      <c r="B78" s="162" t="s">
        <v>118</v>
      </c>
      <c r="C78" s="162" t="s">
        <v>283</v>
      </c>
      <c r="D78" s="119" t="s">
        <v>62</v>
      </c>
      <c r="E78" s="117" t="s">
        <v>121</v>
      </c>
      <c r="F78" s="120">
        <v>38.1</v>
      </c>
      <c r="G78" s="120">
        <v>354.57400000000001</v>
      </c>
      <c r="H78" s="120">
        <v>13519.02</v>
      </c>
      <c r="I78" s="121">
        <v>255.40000000000003</v>
      </c>
      <c r="J78" s="122">
        <v>9730.7400000000016</v>
      </c>
      <c r="K78" s="120"/>
      <c r="L78" s="123"/>
      <c r="M78" s="251"/>
      <c r="N78" s="251"/>
      <c r="O78" s="251"/>
      <c r="P78" s="229"/>
      <c r="Q78" s="229"/>
      <c r="R78" s="229"/>
      <c r="S78" s="229">
        <f>+G78*1.1</f>
        <v>390.03140000000002</v>
      </c>
      <c r="T78" s="251">
        <f t="shared" si="9"/>
        <v>14860.19634</v>
      </c>
      <c r="U78" s="252"/>
      <c r="V78" s="251"/>
      <c r="W78" s="251"/>
      <c r="X78" s="251"/>
      <c r="Y78" s="251">
        <v>121.2</v>
      </c>
      <c r="Z78" s="251">
        <f>+Y78*F78</f>
        <v>4617.72</v>
      </c>
      <c r="AA78" s="251">
        <v>132</v>
      </c>
      <c r="AB78" s="251">
        <f>+AA78*F78</f>
        <v>5029.2</v>
      </c>
      <c r="AC78" s="163">
        <f t="shared" ref="AC78:AD113" si="14">+I78+AA78</f>
        <v>387.40000000000003</v>
      </c>
      <c r="AD78" s="163">
        <f t="shared" si="14"/>
        <v>14759.940000000002</v>
      </c>
      <c r="AE78" s="124" t="s">
        <v>725</v>
      </c>
      <c r="AF78" s="124"/>
      <c r="AG78" s="124"/>
      <c r="AH78" s="124">
        <v>33.128999999999998</v>
      </c>
      <c r="AI78" s="124">
        <v>1263.1199999999999</v>
      </c>
      <c r="AJ78" s="209">
        <v>23.495999999999999</v>
      </c>
      <c r="AK78" s="209">
        <v>895.84</v>
      </c>
      <c r="AL78" s="209"/>
      <c r="AM78" s="209"/>
      <c r="AN78" s="209">
        <v>59.67</v>
      </c>
      <c r="AO78" s="209">
        <v>2275.08</v>
      </c>
      <c r="AP78" s="209"/>
      <c r="AQ78" s="209"/>
      <c r="AR78" s="209"/>
      <c r="AS78" s="209"/>
      <c r="AT78" s="209"/>
      <c r="AU78" s="209"/>
      <c r="AV78" s="209"/>
      <c r="AW78" s="209"/>
      <c r="AX78" s="209"/>
      <c r="AY78" s="209"/>
      <c r="AZ78" s="233"/>
      <c r="BA78" s="125"/>
      <c r="BB78" s="125"/>
      <c r="BC78" s="125"/>
      <c r="BD78" s="125"/>
      <c r="BE78" s="125"/>
      <c r="BF78" s="125">
        <v>60.991999999999997</v>
      </c>
      <c r="BG78" s="125">
        <v>2325.4699999999998</v>
      </c>
      <c r="BH78" s="125"/>
      <c r="BI78" s="125"/>
      <c r="BJ78" s="125"/>
      <c r="BK78" s="125"/>
      <c r="BL78" s="125"/>
      <c r="BM78" s="125"/>
      <c r="BN78" s="125"/>
      <c r="BO78" s="125"/>
      <c r="BP78" s="244">
        <f t="shared" si="12"/>
        <v>177.28700000000001</v>
      </c>
      <c r="BQ78" s="248">
        <f t="shared" ref="BQ78:BQ143" si="15">+BP78*2</f>
        <v>354.57400000000001</v>
      </c>
      <c r="BR78" s="105">
        <f t="shared" si="13"/>
        <v>6759.51</v>
      </c>
      <c r="BS78" s="248">
        <f t="shared" ref="BS78:BS143" si="16">+BR78*2</f>
        <v>13519.02</v>
      </c>
    </row>
    <row r="79" spans="1:71" s="16" customFormat="1" ht="17" hidden="1" x14ac:dyDescent="0.15">
      <c r="A79" s="118" t="s">
        <v>284</v>
      </c>
      <c r="B79" s="162" t="s">
        <v>285</v>
      </c>
      <c r="C79" s="162" t="s">
        <v>715</v>
      </c>
      <c r="D79" s="119" t="s">
        <v>410</v>
      </c>
      <c r="E79" s="117" t="s">
        <v>121</v>
      </c>
      <c r="F79" s="120">
        <v>11.29</v>
      </c>
      <c r="G79" s="120">
        <v>64.360799999999983</v>
      </c>
      <c r="H79" s="120">
        <v>711.54729200000008</v>
      </c>
      <c r="I79" s="121">
        <v>48</v>
      </c>
      <c r="J79" s="122">
        <v>541.91999999999996</v>
      </c>
      <c r="K79" s="120"/>
      <c r="L79" s="123"/>
      <c r="M79" s="251"/>
      <c r="N79" s="251"/>
      <c r="O79" s="251"/>
      <c r="P79" s="229"/>
      <c r="Q79" s="229"/>
      <c r="R79" s="229"/>
      <c r="S79" s="229">
        <v>48</v>
      </c>
      <c r="T79" s="251">
        <f t="shared" si="9"/>
        <v>541.91999999999996</v>
      </c>
      <c r="U79" s="252"/>
      <c r="V79" s="251"/>
      <c r="W79" s="251"/>
      <c r="X79" s="251"/>
      <c r="Y79" s="251"/>
      <c r="Z79" s="251"/>
      <c r="AA79" s="251">
        <v>21</v>
      </c>
      <c r="AB79" s="251">
        <f>+AA79*F79</f>
        <v>237.08999999999997</v>
      </c>
      <c r="AC79" s="163">
        <f t="shared" si="14"/>
        <v>69</v>
      </c>
      <c r="AD79" s="163">
        <f t="shared" si="14"/>
        <v>779.01</v>
      </c>
      <c r="AE79" s="124" t="s">
        <v>725</v>
      </c>
      <c r="AF79" s="124">
        <v>2.9250000000000003</v>
      </c>
      <c r="AG79" s="124">
        <v>32.22</v>
      </c>
      <c r="AH79" s="124"/>
      <c r="AI79" s="124"/>
      <c r="AJ79" s="124"/>
      <c r="AK79" s="124"/>
      <c r="AL79" s="124"/>
      <c r="AM79" s="124"/>
      <c r="AN79" s="124">
        <v>20.607999999999997</v>
      </c>
      <c r="AO79" s="124">
        <v>226.19</v>
      </c>
      <c r="AP79" s="124"/>
      <c r="AQ79" s="124"/>
      <c r="AR79" s="222">
        <v>0.22900000000000001</v>
      </c>
      <c r="AS79" s="124">
        <v>2.58541</v>
      </c>
      <c r="AT79" s="222">
        <v>0.22900000000000001</v>
      </c>
      <c r="AU79" s="222">
        <v>2.58541</v>
      </c>
      <c r="AV79" s="222">
        <v>0.22900000000000001</v>
      </c>
      <c r="AW79" s="222">
        <v>2.52</v>
      </c>
      <c r="AX79" s="222">
        <v>0.22900000000000001</v>
      </c>
      <c r="AY79" s="222">
        <v>2.52</v>
      </c>
      <c r="AZ79" s="233">
        <v>0.22900000000000001</v>
      </c>
      <c r="BA79" s="125">
        <v>2.58541</v>
      </c>
      <c r="BB79" s="125"/>
      <c r="BC79" s="125"/>
      <c r="BD79" s="125">
        <v>0.49199999999999999</v>
      </c>
      <c r="BE79" s="125">
        <v>5.42</v>
      </c>
      <c r="BF79" s="125"/>
      <c r="BG79" s="125"/>
      <c r="BH79" s="125">
        <v>7.0104000000000006</v>
      </c>
      <c r="BI79" s="125">
        <v>79.147416000000007</v>
      </c>
      <c r="BJ79" s="125"/>
      <c r="BK79" s="125"/>
      <c r="BL79" s="125"/>
      <c r="BM79" s="125"/>
      <c r="BN79" s="125"/>
      <c r="BO79" s="125"/>
      <c r="BP79" s="244">
        <f t="shared" si="12"/>
        <v>32.180399999999992</v>
      </c>
      <c r="BQ79" s="248">
        <f t="shared" si="15"/>
        <v>64.360799999999983</v>
      </c>
      <c r="BR79" s="105">
        <f t="shared" si="13"/>
        <v>355.77364600000004</v>
      </c>
      <c r="BS79" s="248">
        <f t="shared" si="16"/>
        <v>711.54729200000008</v>
      </c>
    </row>
    <row r="80" spans="1:71" s="16" customFormat="1" ht="17" hidden="1" x14ac:dyDescent="0.15">
      <c r="A80" s="118" t="s">
        <v>422</v>
      </c>
      <c r="B80" s="162" t="s">
        <v>285</v>
      </c>
      <c r="C80" s="162" t="s">
        <v>409</v>
      </c>
      <c r="D80" s="119" t="s">
        <v>410</v>
      </c>
      <c r="E80" s="117" t="s">
        <v>121</v>
      </c>
      <c r="F80" s="120">
        <v>15.978154014199893</v>
      </c>
      <c r="G80" s="120">
        <v>81.942399999999992</v>
      </c>
      <c r="H80" s="120">
        <v>1312.0886720000001</v>
      </c>
      <c r="I80" s="121">
        <v>39.183399999999999</v>
      </c>
      <c r="J80" s="122">
        <v>626.0784000000001</v>
      </c>
      <c r="K80" s="120"/>
      <c r="L80" s="123"/>
      <c r="M80" s="251"/>
      <c r="N80" s="251"/>
      <c r="O80" s="251"/>
      <c r="P80" s="229"/>
      <c r="Q80" s="229"/>
      <c r="R80" s="229"/>
      <c r="S80" s="229"/>
      <c r="T80" s="251"/>
      <c r="U80" s="252">
        <f>+G80*1.07</f>
        <v>87.678367999999992</v>
      </c>
      <c r="V80" s="251">
        <f>+U80*F80</f>
        <v>1400.9384676176953</v>
      </c>
      <c r="W80" s="251"/>
      <c r="X80" s="251"/>
      <c r="Y80" s="251"/>
      <c r="Z80" s="251"/>
      <c r="AA80" s="251">
        <v>48</v>
      </c>
      <c r="AB80" s="251">
        <f>+AA80*F80</f>
        <v>766.95139268159483</v>
      </c>
      <c r="AC80" s="163">
        <f t="shared" si="14"/>
        <v>87.183400000000006</v>
      </c>
      <c r="AD80" s="163">
        <f t="shared" si="14"/>
        <v>1393.0297926815949</v>
      </c>
      <c r="AE80" s="124" t="s">
        <v>725</v>
      </c>
      <c r="AF80" s="124"/>
      <c r="AG80" s="124"/>
      <c r="AH80" s="124"/>
      <c r="AI80" s="124"/>
      <c r="AJ80" s="124"/>
      <c r="AK80" s="124"/>
      <c r="AL80" s="124"/>
      <c r="AM80" s="124"/>
      <c r="AN80" s="124"/>
      <c r="AO80" s="124"/>
      <c r="AP80" s="124"/>
      <c r="AQ80" s="124"/>
      <c r="AR80" s="124"/>
      <c r="AS80" s="124"/>
      <c r="AT80" s="124"/>
      <c r="AU80" s="124"/>
      <c r="AV80" s="124"/>
      <c r="AW80" s="124"/>
      <c r="AX80" s="124">
        <v>1.3280000000000001</v>
      </c>
      <c r="AY80" s="124">
        <v>20.94</v>
      </c>
      <c r="AZ80" s="233">
        <v>1.3280000000000001</v>
      </c>
      <c r="BA80" s="125">
        <v>20.94</v>
      </c>
      <c r="BB80" s="125"/>
      <c r="BC80" s="125"/>
      <c r="BD80" s="125">
        <v>29.475999999999999</v>
      </c>
      <c r="BE80" s="125">
        <v>472.03000000000003</v>
      </c>
      <c r="BF80" s="125"/>
      <c r="BG80" s="125"/>
      <c r="BH80" s="125">
        <v>8.8391999999999999</v>
      </c>
      <c r="BI80" s="125">
        <v>142.13433599999999</v>
      </c>
      <c r="BJ80" s="125"/>
      <c r="BK80" s="125"/>
      <c r="BL80" s="125"/>
      <c r="BM80" s="125"/>
      <c r="BN80" s="125"/>
      <c r="BO80" s="125"/>
      <c r="BP80" s="244">
        <f t="shared" si="12"/>
        <v>40.971199999999996</v>
      </c>
      <c r="BQ80" s="248">
        <f t="shared" si="15"/>
        <v>81.942399999999992</v>
      </c>
      <c r="BR80" s="105">
        <f t="shared" si="13"/>
        <v>656.04433600000004</v>
      </c>
      <c r="BS80" s="248">
        <f t="shared" si="16"/>
        <v>1312.0886720000001</v>
      </c>
    </row>
    <row r="81" spans="1:71" s="16" customFormat="1" ht="17" hidden="1" x14ac:dyDescent="0.15">
      <c r="A81" s="118" t="s">
        <v>423</v>
      </c>
      <c r="B81" s="162" t="s">
        <v>285</v>
      </c>
      <c r="C81" s="162" t="s">
        <v>411</v>
      </c>
      <c r="D81" s="119" t="s">
        <v>410</v>
      </c>
      <c r="E81" s="117" t="s">
        <v>121</v>
      </c>
      <c r="F81" s="120">
        <v>22.32</v>
      </c>
      <c r="G81" s="120">
        <v>32.04</v>
      </c>
      <c r="H81" s="120">
        <v>566.55999999999995</v>
      </c>
      <c r="I81" s="121">
        <v>68.565600000000003</v>
      </c>
      <c r="J81" s="122">
        <v>606.19780000000003</v>
      </c>
      <c r="K81" s="120"/>
      <c r="L81" s="123"/>
      <c r="M81" s="251"/>
      <c r="N81" s="251"/>
      <c r="O81" s="251"/>
      <c r="P81" s="229"/>
      <c r="Q81" s="229"/>
      <c r="R81" s="229"/>
      <c r="S81" s="229"/>
      <c r="T81" s="251"/>
      <c r="U81" s="252">
        <f t="shared" ref="U81:U93" si="17">+G81*1.07</f>
        <v>34.282800000000002</v>
      </c>
      <c r="V81" s="251">
        <f t="shared" ref="V81:V93" si="18">+U81*F81</f>
        <v>765.19209599999999</v>
      </c>
      <c r="W81" s="251"/>
      <c r="X81" s="251"/>
      <c r="Y81" s="251"/>
      <c r="Z81" s="251"/>
      <c r="AA81" s="251">
        <v>-33</v>
      </c>
      <c r="AB81" s="251">
        <f>+AA81*F81</f>
        <v>-736.56000000000006</v>
      </c>
      <c r="AC81" s="163">
        <f t="shared" si="14"/>
        <v>35.565600000000003</v>
      </c>
      <c r="AD81" s="163">
        <f t="shared" si="14"/>
        <v>-130.36220000000003</v>
      </c>
      <c r="AE81" s="124" t="s">
        <v>725</v>
      </c>
      <c r="AF81" s="124"/>
      <c r="AG81" s="124"/>
      <c r="AH81" s="124"/>
      <c r="AI81" s="124"/>
      <c r="AJ81" s="124"/>
      <c r="AK81" s="124"/>
      <c r="AL81" s="124"/>
      <c r="AM81" s="124"/>
      <c r="AN81" s="124"/>
      <c r="AO81" s="124"/>
      <c r="AP81" s="124"/>
      <c r="AQ81" s="124"/>
      <c r="AR81" s="124"/>
      <c r="AS81" s="124"/>
      <c r="AT81" s="124"/>
      <c r="AU81" s="124"/>
      <c r="AV81" s="124"/>
      <c r="AW81" s="124"/>
      <c r="AX81" s="124"/>
      <c r="AY81" s="124"/>
      <c r="AZ81" s="233">
        <v>16.02</v>
      </c>
      <c r="BA81" s="125">
        <v>283.27999999999997</v>
      </c>
      <c r="BB81" s="125"/>
      <c r="BC81" s="125"/>
      <c r="BD81" s="125"/>
      <c r="BE81" s="125"/>
      <c r="BF81" s="125"/>
      <c r="BG81" s="125"/>
      <c r="BH81" s="125"/>
      <c r="BI81" s="125"/>
      <c r="BJ81" s="125"/>
      <c r="BK81" s="125"/>
      <c r="BL81" s="125"/>
      <c r="BM81" s="125"/>
      <c r="BN81" s="125"/>
      <c r="BO81" s="125"/>
      <c r="BP81" s="244">
        <f t="shared" si="12"/>
        <v>16.02</v>
      </c>
      <c r="BQ81" s="248">
        <f t="shared" si="15"/>
        <v>32.04</v>
      </c>
      <c r="BR81" s="105">
        <f t="shared" si="13"/>
        <v>283.27999999999997</v>
      </c>
      <c r="BS81" s="248">
        <f t="shared" si="16"/>
        <v>566.55999999999995</v>
      </c>
    </row>
    <row r="82" spans="1:71" s="16" customFormat="1" ht="17" hidden="1" x14ac:dyDescent="0.15">
      <c r="A82" s="118" t="s">
        <v>424</v>
      </c>
      <c r="B82" s="162" t="s">
        <v>285</v>
      </c>
      <c r="C82" s="162" t="s">
        <v>412</v>
      </c>
      <c r="D82" s="119" t="s">
        <v>410</v>
      </c>
      <c r="E82" s="117" t="s">
        <v>121</v>
      </c>
      <c r="F82" s="120">
        <v>27.906836055656385</v>
      </c>
      <c r="G82" s="120">
        <v>4.1400000000000006</v>
      </c>
      <c r="H82" s="120">
        <v>115.52000000000001</v>
      </c>
      <c r="I82" s="121">
        <v>6</v>
      </c>
      <c r="J82" s="122">
        <v>167.44101633393831</v>
      </c>
      <c r="K82" s="120"/>
      <c r="L82" s="123"/>
      <c r="M82" s="251"/>
      <c r="N82" s="251"/>
      <c r="O82" s="251"/>
      <c r="P82" s="229"/>
      <c r="Q82" s="229"/>
      <c r="R82" s="229"/>
      <c r="S82" s="229"/>
      <c r="T82" s="251"/>
      <c r="U82" s="252">
        <v>6</v>
      </c>
      <c r="V82" s="251">
        <f t="shared" si="18"/>
        <v>167.44101633393831</v>
      </c>
      <c r="W82" s="251"/>
      <c r="X82" s="251"/>
      <c r="Y82" s="251"/>
      <c r="Z82" s="251"/>
      <c r="AA82" s="251"/>
      <c r="AB82" s="251"/>
      <c r="AC82" s="163">
        <f t="shared" si="14"/>
        <v>6</v>
      </c>
      <c r="AD82" s="163">
        <f t="shared" si="14"/>
        <v>167.44101633393831</v>
      </c>
      <c r="AE82" s="124" t="s">
        <v>365</v>
      </c>
      <c r="AF82" s="124">
        <v>1.0860000000000001</v>
      </c>
      <c r="AG82" s="124">
        <v>30.3</v>
      </c>
      <c r="AH82" s="124"/>
      <c r="AI82" s="124"/>
      <c r="AJ82" s="124"/>
      <c r="AK82" s="124"/>
      <c r="AL82" s="124"/>
      <c r="AM82" s="124"/>
      <c r="AN82" s="124"/>
      <c r="AO82" s="124"/>
      <c r="AP82" s="124"/>
      <c r="AQ82" s="124"/>
      <c r="AR82" s="124"/>
      <c r="AS82" s="124"/>
      <c r="AT82" s="124"/>
      <c r="AU82" s="124"/>
      <c r="AV82" s="124"/>
      <c r="AW82" s="124"/>
      <c r="AX82" s="124"/>
      <c r="AY82" s="124"/>
      <c r="AZ82" s="233"/>
      <c r="BA82" s="125"/>
      <c r="BB82" s="125"/>
      <c r="BC82" s="125"/>
      <c r="BD82" s="125">
        <v>0.98399999999999999</v>
      </c>
      <c r="BE82" s="125">
        <v>27.46</v>
      </c>
      <c r="BF82" s="125"/>
      <c r="BG82" s="125"/>
      <c r="BH82" s="125"/>
      <c r="BI82" s="125"/>
      <c r="BJ82" s="125"/>
      <c r="BK82" s="125"/>
      <c r="BL82" s="125"/>
      <c r="BM82" s="125"/>
      <c r="BN82" s="125"/>
      <c r="BO82" s="125"/>
      <c r="BP82" s="244">
        <f t="shared" si="12"/>
        <v>2.0700000000000003</v>
      </c>
      <c r="BQ82" s="248">
        <f t="shared" si="15"/>
        <v>4.1400000000000006</v>
      </c>
      <c r="BR82" s="105">
        <f t="shared" si="13"/>
        <v>57.760000000000005</v>
      </c>
      <c r="BS82" s="248">
        <f t="shared" si="16"/>
        <v>115.52000000000001</v>
      </c>
    </row>
    <row r="83" spans="1:71" s="16" customFormat="1" ht="17" hidden="1" x14ac:dyDescent="0.15">
      <c r="A83" s="118" t="s">
        <v>425</v>
      </c>
      <c r="B83" s="208" t="s">
        <v>119</v>
      </c>
      <c r="C83" s="162" t="s">
        <v>413</v>
      </c>
      <c r="D83" s="119" t="s">
        <v>218</v>
      </c>
      <c r="E83" s="117" t="s">
        <v>121</v>
      </c>
      <c r="F83" s="120">
        <v>27.294936708860757</v>
      </c>
      <c r="G83" s="120">
        <v>15.8</v>
      </c>
      <c r="H83" s="120">
        <v>431.26</v>
      </c>
      <c r="I83" s="121">
        <v>16.906000000000002</v>
      </c>
      <c r="J83" s="122">
        <v>461.44820000000004</v>
      </c>
      <c r="K83" s="120"/>
      <c r="L83" s="123"/>
      <c r="M83" s="251"/>
      <c r="N83" s="251"/>
      <c r="O83" s="251"/>
      <c r="P83" s="229"/>
      <c r="Q83" s="229"/>
      <c r="R83" s="229"/>
      <c r="S83" s="229"/>
      <c r="T83" s="251"/>
      <c r="U83" s="252">
        <f t="shared" si="17"/>
        <v>16.906000000000002</v>
      </c>
      <c r="V83" s="251">
        <f t="shared" si="18"/>
        <v>461.44820000000004</v>
      </c>
      <c r="W83" s="251"/>
      <c r="X83" s="251"/>
      <c r="Y83" s="251"/>
      <c r="Z83" s="251"/>
      <c r="AA83" s="251"/>
      <c r="AB83" s="251"/>
      <c r="AC83" s="163">
        <f t="shared" si="14"/>
        <v>16.906000000000002</v>
      </c>
      <c r="AD83" s="163">
        <f t="shared" si="14"/>
        <v>461.44820000000004</v>
      </c>
      <c r="AE83" s="124" t="s">
        <v>365</v>
      </c>
      <c r="AF83" s="124">
        <v>7.9</v>
      </c>
      <c r="AG83" s="124">
        <v>215.63</v>
      </c>
      <c r="AH83" s="124"/>
      <c r="AI83" s="124"/>
      <c r="AJ83" s="124"/>
      <c r="AK83" s="124"/>
      <c r="AL83" s="124"/>
      <c r="AM83" s="124"/>
      <c r="AN83" s="124"/>
      <c r="AO83" s="124"/>
      <c r="AP83" s="124"/>
      <c r="AQ83" s="124"/>
      <c r="AR83" s="124"/>
      <c r="AS83" s="124"/>
      <c r="AT83" s="124"/>
      <c r="AU83" s="124"/>
      <c r="AV83" s="124"/>
      <c r="AW83" s="124"/>
      <c r="AX83" s="124"/>
      <c r="AY83" s="124"/>
      <c r="AZ83" s="233"/>
      <c r="BA83" s="125"/>
      <c r="BB83" s="125"/>
      <c r="BC83" s="125"/>
      <c r="BD83" s="125"/>
      <c r="BE83" s="125"/>
      <c r="BF83" s="125"/>
      <c r="BG83" s="125"/>
      <c r="BH83" s="125"/>
      <c r="BI83" s="125"/>
      <c r="BJ83" s="125"/>
      <c r="BK83" s="125"/>
      <c r="BL83" s="125"/>
      <c r="BM83" s="125"/>
      <c r="BN83" s="125"/>
      <c r="BO83" s="125"/>
      <c r="BP83" s="244">
        <f t="shared" si="12"/>
        <v>7.9</v>
      </c>
      <c r="BQ83" s="248">
        <f t="shared" si="15"/>
        <v>15.8</v>
      </c>
      <c r="BR83" s="105">
        <f t="shared" si="13"/>
        <v>215.63</v>
      </c>
      <c r="BS83" s="248">
        <f t="shared" si="16"/>
        <v>431.26</v>
      </c>
    </row>
    <row r="84" spans="1:71" s="16" customFormat="1" ht="17" x14ac:dyDescent="0.15">
      <c r="A84" s="118" t="s">
        <v>426</v>
      </c>
      <c r="B84" s="208" t="s">
        <v>119</v>
      </c>
      <c r="C84" s="162" t="s">
        <v>413</v>
      </c>
      <c r="D84" s="119" t="s">
        <v>62</v>
      </c>
      <c r="E84" s="117" t="s">
        <v>121</v>
      </c>
      <c r="F84" s="120">
        <v>31.5</v>
      </c>
      <c r="G84" s="120">
        <v>8.5500000000000007</v>
      </c>
      <c r="H84" s="120">
        <v>226.32</v>
      </c>
      <c r="I84" s="121">
        <v>12</v>
      </c>
      <c r="J84" s="122">
        <v>334.44320140982853</v>
      </c>
      <c r="K84" s="120"/>
      <c r="L84" s="123"/>
      <c r="M84" s="251"/>
      <c r="N84" s="251"/>
      <c r="O84" s="251"/>
      <c r="P84" s="229"/>
      <c r="Q84" s="229"/>
      <c r="R84" s="229"/>
      <c r="S84" s="229"/>
      <c r="T84" s="251"/>
      <c r="U84" s="252">
        <v>6</v>
      </c>
      <c r="V84" s="251">
        <f t="shared" si="18"/>
        <v>189</v>
      </c>
      <c r="W84" s="251"/>
      <c r="X84" s="251"/>
      <c r="Y84" s="251">
        <v>6</v>
      </c>
      <c r="Z84" s="251">
        <f>+Y84*F84</f>
        <v>189</v>
      </c>
      <c r="AA84" s="251"/>
      <c r="AB84" s="251"/>
      <c r="AC84" s="163">
        <f t="shared" si="14"/>
        <v>12</v>
      </c>
      <c r="AD84" s="163">
        <f t="shared" si="14"/>
        <v>334.44320140982853</v>
      </c>
      <c r="AE84" s="124" t="s">
        <v>703</v>
      </c>
      <c r="AF84" s="124"/>
      <c r="AG84" s="124"/>
      <c r="AH84" s="124">
        <v>2.9159999999999999</v>
      </c>
      <c r="AI84" s="124">
        <v>73.39</v>
      </c>
      <c r="AJ84" s="124"/>
      <c r="AK84" s="124"/>
      <c r="AL84" s="124"/>
      <c r="AM84" s="124"/>
      <c r="AN84" s="124"/>
      <c r="AO84" s="124"/>
      <c r="AP84" s="124"/>
      <c r="AQ84" s="124"/>
      <c r="AR84" s="124"/>
      <c r="AS84" s="124"/>
      <c r="AT84" s="124"/>
      <c r="AU84" s="124"/>
      <c r="AV84" s="124"/>
      <c r="AW84" s="124"/>
      <c r="AX84" s="124"/>
      <c r="AY84" s="124"/>
      <c r="AZ84" s="233"/>
      <c r="BA84" s="125"/>
      <c r="BB84" s="125"/>
      <c r="BC84" s="125"/>
      <c r="BD84" s="125">
        <v>1.359</v>
      </c>
      <c r="BE84" s="125">
        <v>39.770000000000003</v>
      </c>
      <c r="BF84" s="125"/>
      <c r="BG84" s="125"/>
      <c r="BH84" s="125"/>
      <c r="BI84" s="125"/>
      <c r="BJ84" s="125"/>
      <c r="BK84" s="125"/>
      <c r="BL84" s="125"/>
      <c r="BM84" s="125"/>
      <c r="BN84" s="125"/>
      <c r="BO84" s="125"/>
      <c r="BP84" s="244">
        <f t="shared" si="12"/>
        <v>4.2750000000000004</v>
      </c>
      <c r="BQ84" s="248">
        <f t="shared" si="15"/>
        <v>8.5500000000000007</v>
      </c>
      <c r="BR84" s="105">
        <f t="shared" si="13"/>
        <v>113.16</v>
      </c>
      <c r="BS84" s="248">
        <f t="shared" si="16"/>
        <v>226.32</v>
      </c>
    </row>
    <row r="85" spans="1:71" s="16" customFormat="1" ht="17" hidden="1" x14ac:dyDescent="0.15">
      <c r="A85" s="118" t="s">
        <v>427</v>
      </c>
      <c r="B85" s="208" t="s">
        <v>119</v>
      </c>
      <c r="C85" s="162" t="s">
        <v>716</v>
      </c>
      <c r="D85" s="119" t="s">
        <v>218</v>
      </c>
      <c r="E85" s="117" t="s">
        <v>121</v>
      </c>
      <c r="F85" s="120">
        <v>49.842350203606756</v>
      </c>
      <c r="G85" s="120">
        <v>43.879999999999995</v>
      </c>
      <c r="H85" s="120">
        <v>2187.8296</v>
      </c>
      <c r="I85" s="121">
        <v>38.835599999999999</v>
      </c>
      <c r="J85" s="122">
        <v>1935.8222024432814</v>
      </c>
      <c r="K85" s="120"/>
      <c r="L85" s="123"/>
      <c r="M85" s="251"/>
      <c r="N85" s="251"/>
      <c r="O85" s="251"/>
      <c r="P85" s="229"/>
      <c r="Q85" s="229"/>
      <c r="R85" s="229"/>
      <c r="S85" s="229"/>
      <c r="T85" s="251"/>
      <c r="U85" s="252">
        <f t="shared" si="17"/>
        <v>46.951599999999999</v>
      </c>
      <c r="V85" s="251">
        <f t="shared" si="18"/>
        <v>2340.178089819663</v>
      </c>
      <c r="W85" s="251"/>
      <c r="X85" s="251"/>
      <c r="Y85" s="251">
        <v>12</v>
      </c>
      <c r="Z85" s="251">
        <f>+Y85*F85</f>
        <v>598.10820244328102</v>
      </c>
      <c r="AA85" s="251">
        <v>8</v>
      </c>
      <c r="AB85" s="251">
        <f>+AA85*F85</f>
        <v>398.73880162885405</v>
      </c>
      <c r="AC85" s="163">
        <f t="shared" si="14"/>
        <v>46.835599999999999</v>
      </c>
      <c r="AD85" s="163">
        <f t="shared" si="14"/>
        <v>2334.5610040721353</v>
      </c>
      <c r="AE85" s="124" t="s">
        <v>725</v>
      </c>
      <c r="AF85" s="124">
        <v>10.591999999999999</v>
      </c>
      <c r="AG85" s="124">
        <v>528.00000000000011</v>
      </c>
      <c r="AH85" s="124"/>
      <c r="AI85" s="124"/>
      <c r="AJ85" s="124">
        <v>4.6479999999999997</v>
      </c>
      <c r="AK85" s="124">
        <v>231.69</v>
      </c>
      <c r="AL85" s="124"/>
      <c r="AM85" s="124"/>
      <c r="AN85" s="124"/>
      <c r="AO85" s="124"/>
      <c r="AP85" s="124"/>
      <c r="AQ85" s="124"/>
      <c r="AR85" s="124">
        <v>1.6879999999999999</v>
      </c>
      <c r="AS85" s="124">
        <v>84.231200000000001</v>
      </c>
      <c r="AT85" s="124">
        <v>2.3319999999999999</v>
      </c>
      <c r="AU85" s="124">
        <v>116.3668</v>
      </c>
      <c r="AV85" s="124">
        <v>1.036</v>
      </c>
      <c r="AW85" s="124">
        <v>51.64</v>
      </c>
      <c r="AX85" s="124">
        <v>0.91200000000000003</v>
      </c>
      <c r="AY85" s="124">
        <v>45.46</v>
      </c>
      <c r="AZ85" s="233">
        <v>0.73199999999999998</v>
      </c>
      <c r="BA85" s="125">
        <v>36.526799999999994</v>
      </c>
      <c r="BB85" s="125"/>
      <c r="BC85" s="125"/>
      <c r="BD85" s="125"/>
      <c r="BE85" s="125"/>
      <c r="BF85" s="125"/>
      <c r="BG85" s="125"/>
      <c r="BH85" s="125"/>
      <c r="BI85" s="125"/>
      <c r="BJ85" s="125"/>
      <c r="BK85" s="125"/>
      <c r="BL85" s="125"/>
      <c r="BM85" s="125"/>
      <c r="BN85" s="125"/>
      <c r="BO85" s="125"/>
      <c r="BP85" s="244">
        <f t="shared" si="12"/>
        <v>21.939999999999998</v>
      </c>
      <c r="BQ85" s="248">
        <f t="shared" si="15"/>
        <v>43.879999999999995</v>
      </c>
      <c r="BR85" s="105">
        <f t="shared" si="13"/>
        <v>1093.9148</v>
      </c>
      <c r="BS85" s="248">
        <f t="shared" si="16"/>
        <v>2187.8296</v>
      </c>
    </row>
    <row r="86" spans="1:71" s="16" customFormat="1" ht="17" hidden="1" x14ac:dyDescent="0.15">
      <c r="A86" s="118" t="s">
        <v>428</v>
      </c>
      <c r="B86" s="208" t="s">
        <v>120</v>
      </c>
      <c r="C86" s="162" t="s">
        <v>436</v>
      </c>
      <c r="D86" s="119" t="s">
        <v>62</v>
      </c>
      <c r="E86" s="117" t="s">
        <v>121</v>
      </c>
      <c r="F86" s="120">
        <v>7.0394736842105265</v>
      </c>
      <c r="G86" s="120">
        <v>0.30399999999999999</v>
      </c>
      <c r="H86" s="120">
        <v>2.14</v>
      </c>
      <c r="I86" s="121">
        <v>3</v>
      </c>
      <c r="J86" s="122">
        <v>21.118421052631579</v>
      </c>
      <c r="K86" s="120"/>
      <c r="L86" s="123"/>
      <c r="M86" s="251"/>
      <c r="N86" s="251"/>
      <c r="O86" s="251"/>
      <c r="P86" s="229"/>
      <c r="Q86" s="229"/>
      <c r="R86" s="229"/>
      <c r="S86" s="229"/>
      <c r="T86" s="251"/>
      <c r="U86" s="252">
        <v>3</v>
      </c>
      <c r="V86" s="251">
        <f t="shared" si="18"/>
        <v>21.118421052631579</v>
      </c>
      <c r="W86" s="251"/>
      <c r="X86" s="251"/>
      <c r="Y86" s="251"/>
      <c r="Z86" s="251"/>
      <c r="AA86" s="251"/>
      <c r="AB86" s="251"/>
      <c r="AC86" s="163">
        <f t="shared" si="14"/>
        <v>3</v>
      </c>
      <c r="AD86" s="163">
        <f t="shared" si="14"/>
        <v>21.118421052631579</v>
      </c>
      <c r="AE86" s="124" t="s">
        <v>365</v>
      </c>
      <c r="AF86" s="124"/>
      <c r="AG86" s="124"/>
      <c r="AH86" s="124"/>
      <c r="AI86" s="124"/>
      <c r="AJ86" s="124"/>
      <c r="AK86" s="124"/>
      <c r="AL86" s="124"/>
      <c r="AM86" s="124"/>
      <c r="AN86" s="124"/>
      <c r="AO86" s="124"/>
      <c r="AP86" s="124"/>
      <c r="AQ86" s="124"/>
      <c r="AR86" s="124"/>
      <c r="AS86" s="124"/>
      <c r="AT86" s="124"/>
      <c r="AU86" s="124"/>
      <c r="AV86" s="124"/>
      <c r="AW86" s="124"/>
      <c r="AX86" s="124"/>
      <c r="AY86" s="124"/>
      <c r="AZ86" s="233"/>
      <c r="BA86" s="125"/>
      <c r="BB86" s="125"/>
      <c r="BC86" s="125"/>
      <c r="BD86" s="125">
        <v>0.152</v>
      </c>
      <c r="BE86" s="125">
        <v>1.07</v>
      </c>
      <c r="BF86" s="125"/>
      <c r="BG86" s="125"/>
      <c r="BH86" s="125"/>
      <c r="BI86" s="125"/>
      <c r="BJ86" s="125"/>
      <c r="BK86" s="125"/>
      <c r="BL86" s="125"/>
      <c r="BM86" s="125"/>
      <c r="BN86" s="125"/>
      <c r="BO86" s="125"/>
      <c r="BP86" s="244">
        <f t="shared" si="12"/>
        <v>0.152</v>
      </c>
      <c r="BQ86" s="248">
        <f t="shared" si="15"/>
        <v>0.30399999999999999</v>
      </c>
      <c r="BR86" s="105">
        <f t="shared" si="13"/>
        <v>1.07</v>
      </c>
      <c r="BS86" s="248">
        <f t="shared" si="16"/>
        <v>2.14</v>
      </c>
    </row>
    <row r="87" spans="1:71" s="16" customFormat="1" ht="17" hidden="1" x14ac:dyDescent="0.15">
      <c r="A87" s="118" t="s">
        <v>429</v>
      </c>
      <c r="B87" s="208" t="s">
        <v>120</v>
      </c>
      <c r="C87" s="162" t="s">
        <v>414</v>
      </c>
      <c r="D87" s="119" t="s">
        <v>62</v>
      </c>
      <c r="E87" s="117" t="s">
        <v>121</v>
      </c>
      <c r="F87" s="120">
        <v>7.6616616616616611</v>
      </c>
      <c r="G87" s="120">
        <v>39.960000000000008</v>
      </c>
      <c r="H87" s="120">
        <v>306.16000000000003</v>
      </c>
      <c r="I87" s="121">
        <v>42.757200000000005</v>
      </c>
      <c r="J87" s="122">
        <v>327.59120000000001</v>
      </c>
      <c r="K87" s="120"/>
      <c r="L87" s="123"/>
      <c r="M87" s="251"/>
      <c r="N87" s="251"/>
      <c r="O87" s="251"/>
      <c r="P87" s="229"/>
      <c r="Q87" s="229"/>
      <c r="R87" s="229"/>
      <c r="S87" s="229"/>
      <c r="T87" s="251"/>
      <c r="U87" s="252">
        <f t="shared" si="17"/>
        <v>42.757200000000012</v>
      </c>
      <c r="V87" s="251">
        <f t="shared" si="18"/>
        <v>327.59120000000007</v>
      </c>
      <c r="W87" s="251"/>
      <c r="X87" s="251"/>
      <c r="Y87" s="251"/>
      <c r="Z87" s="251"/>
      <c r="AA87" s="251"/>
      <c r="AB87" s="251"/>
      <c r="AC87" s="163">
        <f t="shared" si="14"/>
        <v>42.757200000000005</v>
      </c>
      <c r="AD87" s="163">
        <f t="shared" si="14"/>
        <v>327.59120000000001</v>
      </c>
      <c r="AE87" s="124" t="s">
        <v>365</v>
      </c>
      <c r="AF87" s="124"/>
      <c r="AG87" s="124"/>
      <c r="AH87" s="124"/>
      <c r="AI87" s="124"/>
      <c r="AJ87" s="124"/>
      <c r="AK87" s="124"/>
      <c r="AL87" s="124"/>
      <c r="AM87" s="124"/>
      <c r="AN87" s="124">
        <v>19.980000000000004</v>
      </c>
      <c r="AO87" s="124">
        <v>153.08000000000001</v>
      </c>
      <c r="AP87" s="124"/>
      <c r="AQ87" s="124"/>
      <c r="AR87" s="124"/>
      <c r="AS87" s="124"/>
      <c r="AT87" s="124"/>
      <c r="AU87" s="124"/>
      <c r="AV87" s="124"/>
      <c r="AW87" s="124"/>
      <c r="AX87" s="124"/>
      <c r="AY87" s="124"/>
      <c r="AZ87" s="233"/>
      <c r="BA87" s="125"/>
      <c r="BB87" s="125"/>
      <c r="BC87" s="125"/>
      <c r="BD87" s="125"/>
      <c r="BE87" s="125"/>
      <c r="BF87" s="125"/>
      <c r="BG87" s="125"/>
      <c r="BH87" s="125"/>
      <c r="BI87" s="125"/>
      <c r="BJ87" s="125"/>
      <c r="BK87" s="125"/>
      <c r="BL87" s="125"/>
      <c r="BM87" s="125"/>
      <c r="BN87" s="125"/>
      <c r="BO87" s="125"/>
      <c r="BP87" s="244">
        <f t="shared" si="12"/>
        <v>19.980000000000004</v>
      </c>
      <c r="BQ87" s="248">
        <f t="shared" si="15"/>
        <v>39.960000000000008</v>
      </c>
      <c r="BR87" s="105">
        <f t="shared" si="13"/>
        <v>153.08000000000001</v>
      </c>
      <c r="BS87" s="248">
        <f t="shared" si="16"/>
        <v>306.16000000000003</v>
      </c>
    </row>
    <row r="88" spans="1:71" s="16" customFormat="1" ht="17" hidden="1" x14ac:dyDescent="0.15">
      <c r="A88" s="118" t="s">
        <v>430</v>
      </c>
      <c r="B88" s="208" t="s">
        <v>420</v>
      </c>
      <c r="C88" s="162" t="s">
        <v>89</v>
      </c>
      <c r="D88" s="119" t="s">
        <v>62</v>
      </c>
      <c r="E88" s="117" t="s">
        <v>51</v>
      </c>
      <c r="F88" s="120">
        <v>23.549999999999997</v>
      </c>
      <c r="G88" s="120">
        <v>47.427600849256898</v>
      </c>
      <c r="H88" s="120">
        <v>1116.9199999999998</v>
      </c>
      <c r="I88" s="121">
        <v>3</v>
      </c>
      <c r="J88" s="122">
        <v>70.650000000000006</v>
      </c>
      <c r="K88" s="120"/>
      <c r="L88" s="123"/>
      <c r="M88" s="251"/>
      <c r="N88" s="251"/>
      <c r="O88" s="251"/>
      <c r="P88" s="229"/>
      <c r="Q88" s="229"/>
      <c r="R88" s="229"/>
      <c r="S88" s="229"/>
      <c r="T88" s="251"/>
      <c r="U88" s="252">
        <v>3</v>
      </c>
      <c r="V88" s="251">
        <f t="shared" si="18"/>
        <v>70.649999999999991</v>
      </c>
      <c r="W88" s="251"/>
      <c r="X88" s="251"/>
      <c r="Y88" s="251"/>
      <c r="Z88" s="251"/>
      <c r="AA88" s="251">
        <v>51</v>
      </c>
      <c r="AB88" s="251">
        <f>+AA88*F88</f>
        <v>1201.05</v>
      </c>
      <c r="AC88" s="163">
        <f t="shared" si="14"/>
        <v>54</v>
      </c>
      <c r="AD88" s="163">
        <f t="shared" si="14"/>
        <v>1271.7</v>
      </c>
      <c r="AE88" s="124" t="s">
        <v>725</v>
      </c>
      <c r="AF88" s="124"/>
      <c r="AG88" s="124"/>
      <c r="AH88" s="124"/>
      <c r="AI88" s="124"/>
      <c r="AJ88" s="124"/>
      <c r="AK88" s="124"/>
      <c r="AL88" s="124"/>
      <c r="AM88" s="124"/>
      <c r="AN88" s="124"/>
      <c r="AO88" s="124"/>
      <c r="AP88" s="124"/>
      <c r="AQ88" s="124"/>
      <c r="AR88" s="124"/>
      <c r="AS88" s="124"/>
      <c r="AT88" s="124"/>
      <c r="AU88" s="124"/>
      <c r="AV88" s="124"/>
      <c r="AW88" s="124"/>
      <c r="AX88" s="124"/>
      <c r="AY88" s="124"/>
      <c r="AZ88" s="233"/>
      <c r="BA88" s="125"/>
      <c r="BB88" s="125"/>
      <c r="BC88" s="125"/>
      <c r="BD88" s="125">
        <v>0.66581740976645432</v>
      </c>
      <c r="BE88" s="125">
        <v>15.68</v>
      </c>
      <c r="BF88" s="125">
        <v>23.047983014861995</v>
      </c>
      <c r="BG88" s="125">
        <v>542.78</v>
      </c>
      <c r="BH88" s="125"/>
      <c r="BI88" s="125"/>
      <c r="BJ88" s="125"/>
      <c r="BK88" s="125"/>
      <c r="BL88" s="125"/>
      <c r="BM88" s="125"/>
      <c r="BN88" s="125"/>
      <c r="BO88" s="125"/>
      <c r="BP88" s="244">
        <f t="shared" si="12"/>
        <v>23.713800424628449</v>
      </c>
      <c r="BQ88" s="248">
        <f t="shared" si="15"/>
        <v>47.427600849256898</v>
      </c>
      <c r="BR88" s="105">
        <f t="shared" si="13"/>
        <v>558.45999999999992</v>
      </c>
      <c r="BS88" s="248">
        <f t="shared" si="16"/>
        <v>1116.9199999999998</v>
      </c>
    </row>
    <row r="89" spans="1:71" s="16" customFormat="1" ht="17" hidden="1" x14ac:dyDescent="0.15">
      <c r="A89" s="118" t="s">
        <v>431</v>
      </c>
      <c r="B89" s="208" t="s">
        <v>420</v>
      </c>
      <c r="C89" s="162" t="s">
        <v>415</v>
      </c>
      <c r="D89" s="119" t="s">
        <v>218</v>
      </c>
      <c r="E89" s="117" t="s">
        <v>51</v>
      </c>
      <c r="F89" s="120">
        <v>62.8</v>
      </c>
      <c r="G89" s="120">
        <v>0.49872611464968153</v>
      </c>
      <c r="H89" s="120">
        <v>31.32</v>
      </c>
      <c r="I89" s="121">
        <v>3</v>
      </c>
      <c r="J89" s="122">
        <v>188.39999999999998</v>
      </c>
      <c r="K89" s="120"/>
      <c r="L89" s="123"/>
      <c r="M89" s="251"/>
      <c r="N89" s="251"/>
      <c r="O89" s="251"/>
      <c r="P89" s="229"/>
      <c r="Q89" s="229"/>
      <c r="R89" s="229"/>
      <c r="S89" s="229"/>
      <c r="T89" s="251"/>
      <c r="U89" s="252">
        <v>3</v>
      </c>
      <c r="V89" s="251">
        <f t="shared" si="18"/>
        <v>188.39999999999998</v>
      </c>
      <c r="W89" s="251"/>
      <c r="X89" s="251"/>
      <c r="Y89" s="251"/>
      <c r="Z89" s="251"/>
      <c r="AA89" s="251"/>
      <c r="AB89" s="251"/>
      <c r="AC89" s="163">
        <f t="shared" si="14"/>
        <v>3</v>
      </c>
      <c r="AD89" s="163">
        <f t="shared" si="14"/>
        <v>188.39999999999998</v>
      </c>
      <c r="AE89" s="124" t="s">
        <v>365</v>
      </c>
      <c r="AF89" s="221">
        <v>0.24936305732484076</v>
      </c>
      <c r="AG89" s="124">
        <v>15.66</v>
      </c>
      <c r="AH89" s="124"/>
      <c r="AI89" s="124"/>
      <c r="AJ89" s="124"/>
      <c r="AK89" s="124"/>
      <c r="AL89" s="124"/>
      <c r="AM89" s="124"/>
      <c r="AN89" s="124"/>
      <c r="AO89" s="124"/>
      <c r="AP89" s="124"/>
      <c r="AQ89" s="124"/>
      <c r="AR89" s="124"/>
      <c r="AS89" s="124"/>
      <c r="AT89" s="124"/>
      <c r="AU89" s="124"/>
      <c r="AV89" s="124"/>
      <c r="AW89" s="124"/>
      <c r="AX89" s="124"/>
      <c r="AY89" s="124"/>
      <c r="AZ89" s="233"/>
      <c r="BA89" s="125"/>
      <c r="BB89" s="125"/>
      <c r="BC89" s="125"/>
      <c r="BD89" s="125"/>
      <c r="BE89" s="125"/>
      <c r="BF89" s="125"/>
      <c r="BG89" s="125"/>
      <c r="BH89" s="125"/>
      <c r="BI89" s="125"/>
      <c r="BJ89" s="125"/>
      <c r="BK89" s="125"/>
      <c r="BL89" s="125"/>
      <c r="BM89" s="125"/>
      <c r="BN89" s="125"/>
      <c r="BO89" s="125"/>
      <c r="BP89" s="244">
        <f t="shared" si="12"/>
        <v>0.24936305732484076</v>
      </c>
      <c r="BQ89" s="248">
        <f t="shared" si="15"/>
        <v>0.49872611464968153</v>
      </c>
      <c r="BR89" s="105">
        <f t="shared" si="13"/>
        <v>15.66</v>
      </c>
      <c r="BS89" s="248">
        <f t="shared" si="16"/>
        <v>31.32</v>
      </c>
    </row>
    <row r="90" spans="1:71" s="16" customFormat="1" ht="17" hidden="1" x14ac:dyDescent="0.15">
      <c r="A90" s="118" t="s">
        <v>432</v>
      </c>
      <c r="B90" s="208" t="s">
        <v>421</v>
      </c>
      <c r="C90" s="162" t="s">
        <v>416</v>
      </c>
      <c r="D90" s="119" t="s">
        <v>62</v>
      </c>
      <c r="E90" s="117" t="s">
        <v>121</v>
      </c>
      <c r="F90" s="120">
        <v>0.88800000000000001</v>
      </c>
      <c r="G90" s="120">
        <v>0.54200000000000004</v>
      </c>
      <c r="H90" s="120">
        <v>0.42</v>
      </c>
      <c r="I90" s="121">
        <v>2</v>
      </c>
      <c r="J90" s="122">
        <v>1.776</v>
      </c>
      <c r="K90" s="120"/>
      <c r="L90" s="123"/>
      <c r="M90" s="251"/>
      <c r="N90" s="251"/>
      <c r="O90" s="251"/>
      <c r="P90" s="229"/>
      <c r="Q90" s="229"/>
      <c r="R90" s="229"/>
      <c r="S90" s="229"/>
      <c r="T90" s="251"/>
      <c r="U90" s="252">
        <v>2</v>
      </c>
      <c r="V90" s="251">
        <f t="shared" si="18"/>
        <v>1.776</v>
      </c>
      <c r="W90" s="251"/>
      <c r="X90" s="251"/>
      <c r="Y90" s="251"/>
      <c r="Z90" s="251"/>
      <c r="AA90" s="251"/>
      <c r="AB90" s="251"/>
      <c r="AC90" s="163">
        <f t="shared" si="14"/>
        <v>2</v>
      </c>
      <c r="AD90" s="163">
        <f t="shared" si="14"/>
        <v>1.776</v>
      </c>
      <c r="AE90" s="124" t="s">
        <v>365</v>
      </c>
      <c r="AF90" s="124"/>
      <c r="AG90" s="124"/>
      <c r="AH90" s="124"/>
      <c r="AI90" s="124"/>
      <c r="AJ90" s="124"/>
      <c r="AK90" s="124"/>
      <c r="AL90" s="124"/>
      <c r="AM90" s="124"/>
      <c r="AN90" s="124"/>
      <c r="AO90" s="124"/>
      <c r="AP90" s="124"/>
      <c r="AQ90" s="124"/>
      <c r="AR90" s="124"/>
      <c r="AS90" s="124"/>
      <c r="AT90" s="124"/>
      <c r="AU90" s="124"/>
      <c r="AV90" s="124"/>
      <c r="AW90" s="124"/>
      <c r="AX90" s="124"/>
      <c r="AY90" s="124"/>
      <c r="AZ90" s="233"/>
      <c r="BA90" s="125"/>
      <c r="BB90" s="125"/>
      <c r="BC90" s="125"/>
      <c r="BD90" s="235">
        <v>0.27100000000000002</v>
      </c>
      <c r="BE90" s="235">
        <v>0.21</v>
      </c>
      <c r="BF90" s="235"/>
      <c r="BG90" s="235"/>
      <c r="BH90" s="235"/>
      <c r="BI90" s="235"/>
      <c r="BJ90" s="235"/>
      <c r="BK90" s="235"/>
      <c r="BL90" s="235"/>
      <c r="BM90" s="235"/>
      <c r="BN90" s="235"/>
      <c r="BO90" s="235"/>
      <c r="BP90" s="244">
        <f t="shared" si="12"/>
        <v>0.27100000000000002</v>
      </c>
      <c r="BQ90" s="248">
        <f t="shared" si="15"/>
        <v>0.54200000000000004</v>
      </c>
      <c r="BR90" s="105">
        <f t="shared" si="13"/>
        <v>0.21</v>
      </c>
      <c r="BS90" s="248">
        <f t="shared" si="16"/>
        <v>0.42</v>
      </c>
    </row>
    <row r="91" spans="1:71" s="16" customFormat="1" ht="17" x14ac:dyDescent="0.15">
      <c r="A91" s="118" t="s">
        <v>433</v>
      </c>
      <c r="B91" s="208" t="s">
        <v>421</v>
      </c>
      <c r="C91" s="162" t="s">
        <v>417</v>
      </c>
      <c r="D91" s="119" t="s">
        <v>62</v>
      </c>
      <c r="E91" s="117" t="s">
        <v>121</v>
      </c>
      <c r="F91" s="120">
        <v>1</v>
      </c>
      <c r="G91" s="120">
        <v>42.483999999999995</v>
      </c>
      <c r="H91" s="120">
        <v>40.09713580246914</v>
      </c>
      <c r="I91" s="121">
        <v>34.939000000000007</v>
      </c>
      <c r="J91" s="122">
        <v>34.939000000000007</v>
      </c>
      <c r="K91" s="120"/>
      <c r="L91" s="123"/>
      <c r="M91" s="251"/>
      <c r="N91" s="251"/>
      <c r="O91" s="251"/>
      <c r="P91" s="229"/>
      <c r="Q91" s="229"/>
      <c r="R91" s="229"/>
      <c r="S91" s="229"/>
      <c r="T91" s="251"/>
      <c r="U91" s="252">
        <f t="shared" si="17"/>
        <v>45.457879999999996</v>
      </c>
      <c r="V91" s="251">
        <f t="shared" si="18"/>
        <v>45.457879999999996</v>
      </c>
      <c r="W91" s="251"/>
      <c r="X91" s="251"/>
      <c r="Y91" s="251">
        <v>16</v>
      </c>
      <c r="Z91" s="251">
        <f>+Y91*F91</f>
        <v>16</v>
      </c>
      <c r="AA91" s="251">
        <v>12</v>
      </c>
      <c r="AB91" s="251">
        <f>+AA91*F91</f>
        <v>12</v>
      </c>
      <c r="AC91" s="163">
        <f t="shared" si="14"/>
        <v>46.939000000000007</v>
      </c>
      <c r="AD91" s="163">
        <f t="shared" si="14"/>
        <v>46.939000000000007</v>
      </c>
      <c r="AE91" s="124" t="s">
        <v>725</v>
      </c>
      <c r="AF91" s="124">
        <v>1.77</v>
      </c>
      <c r="AG91" s="124">
        <v>1.65</v>
      </c>
      <c r="AH91" s="124">
        <v>5.3100000000000005</v>
      </c>
      <c r="AI91" s="124">
        <v>4.9400000000000004</v>
      </c>
      <c r="AJ91" s="124">
        <v>1.77</v>
      </c>
      <c r="AK91" s="124">
        <v>1.65</v>
      </c>
      <c r="AL91" s="124"/>
      <c r="AM91" s="124"/>
      <c r="AN91" s="124">
        <v>1.77</v>
      </c>
      <c r="AO91" s="124">
        <v>1.6600000000000001</v>
      </c>
      <c r="AP91" s="124"/>
      <c r="AQ91" s="124"/>
      <c r="AR91" s="124">
        <v>1.7720000000000002</v>
      </c>
      <c r="AS91" s="124">
        <v>1.8485679012345677</v>
      </c>
      <c r="AT91" s="124">
        <v>1.77</v>
      </c>
      <c r="AU91" s="124">
        <v>1.6600000000000001</v>
      </c>
      <c r="AV91" s="124">
        <v>1.77</v>
      </c>
      <c r="AW91" s="124">
        <v>1.6600000000000001</v>
      </c>
      <c r="AX91" s="124">
        <v>1.77</v>
      </c>
      <c r="AY91" s="124">
        <v>1.6600000000000001</v>
      </c>
      <c r="AZ91" s="233">
        <v>1.77</v>
      </c>
      <c r="BA91" s="125">
        <v>1.6600000000000001</v>
      </c>
      <c r="BB91" s="125">
        <v>1.77</v>
      </c>
      <c r="BC91" s="125">
        <v>1.6600000000000001</v>
      </c>
      <c r="BD91" s="125"/>
      <c r="BE91" s="125"/>
      <c r="BF91" s="125"/>
      <c r="BG91" s="125"/>
      <c r="BH91" s="125"/>
      <c r="BI91" s="125"/>
      <c r="BJ91" s="125"/>
      <c r="BK91" s="125"/>
      <c r="BL91" s="125"/>
      <c r="BM91" s="125"/>
      <c r="BN91" s="125"/>
      <c r="BO91" s="125"/>
      <c r="BP91" s="244">
        <f t="shared" si="12"/>
        <v>21.241999999999997</v>
      </c>
      <c r="BQ91" s="248">
        <f t="shared" si="15"/>
        <v>42.483999999999995</v>
      </c>
      <c r="BR91" s="105">
        <f t="shared" si="13"/>
        <v>20.04856790123457</v>
      </c>
      <c r="BS91" s="248">
        <f t="shared" si="16"/>
        <v>40.09713580246914</v>
      </c>
    </row>
    <row r="92" spans="1:71" s="16" customFormat="1" ht="17" x14ac:dyDescent="0.15">
      <c r="A92" s="118" t="s">
        <v>434</v>
      </c>
      <c r="B92" s="208" t="s">
        <v>421</v>
      </c>
      <c r="C92" s="162" t="s">
        <v>418</v>
      </c>
      <c r="D92" s="119" t="s">
        <v>62</v>
      </c>
      <c r="E92" s="117" t="s">
        <v>121</v>
      </c>
      <c r="F92" s="120">
        <v>2.2000000000000002</v>
      </c>
      <c r="G92" s="120">
        <v>40.294800000000002</v>
      </c>
      <c r="H92" s="120">
        <v>86.231581432098778</v>
      </c>
      <c r="I92" s="121">
        <v>25.345939999999999</v>
      </c>
      <c r="J92" s="122">
        <v>55.761068000000002</v>
      </c>
      <c r="K92" s="120"/>
      <c r="L92" s="123"/>
      <c r="M92" s="251"/>
      <c r="N92" s="251"/>
      <c r="O92" s="251"/>
      <c r="P92" s="229"/>
      <c r="Q92" s="229"/>
      <c r="R92" s="229"/>
      <c r="S92" s="229"/>
      <c r="T92" s="251"/>
      <c r="U92" s="252">
        <f t="shared" si="17"/>
        <v>43.115436000000003</v>
      </c>
      <c r="V92" s="251">
        <f t="shared" si="18"/>
        <v>94.85395920000002</v>
      </c>
      <c r="W92" s="251"/>
      <c r="X92" s="251"/>
      <c r="Y92" s="251">
        <v>10</v>
      </c>
      <c r="Z92" s="251">
        <f>+Y92*F92</f>
        <v>22</v>
      </c>
      <c r="AA92" s="251">
        <v>18</v>
      </c>
      <c r="AB92" s="251">
        <f t="shared" ref="AB92:AB93" si="19">+AA92*F92</f>
        <v>39.6</v>
      </c>
      <c r="AC92" s="163">
        <f t="shared" si="14"/>
        <v>43.345939999999999</v>
      </c>
      <c r="AD92" s="163">
        <f t="shared" si="14"/>
        <v>95.361068000000003</v>
      </c>
      <c r="AE92" s="124" t="s">
        <v>725</v>
      </c>
      <c r="AF92" s="124">
        <v>1.07</v>
      </c>
      <c r="AG92" s="124">
        <v>2.14</v>
      </c>
      <c r="AH92" s="124">
        <v>3.21</v>
      </c>
      <c r="AI92" s="124">
        <v>6.41</v>
      </c>
      <c r="AJ92" s="209">
        <v>1.07</v>
      </c>
      <c r="AK92" s="209">
        <v>2.14</v>
      </c>
      <c r="AL92" s="209"/>
      <c r="AM92" s="209"/>
      <c r="AN92" s="209">
        <v>1.07</v>
      </c>
      <c r="AO92" s="209">
        <v>2.14</v>
      </c>
      <c r="AP92" s="209"/>
      <c r="AQ92" s="209"/>
      <c r="AR92" s="209">
        <v>1.07</v>
      </c>
      <c r="AS92" s="209">
        <v>2.3843827160493829</v>
      </c>
      <c r="AT92" s="209">
        <v>1.07</v>
      </c>
      <c r="AU92" s="209">
        <v>2.14</v>
      </c>
      <c r="AV92" s="209">
        <v>1.07</v>
      </c>
      <c r="AW92" s="209">
        <v>2.14</v>
      </c>
      <c r="AX92" s="209">
        <v>1.07</v>
      </c>
      <c r="AY92" s="209">
        <v>2.14</v>
      </c>
      <c r="AZ92" s="233">
        <v>1.07</v>
      </c>
      <c r="BA92" s="125">
        <v>2.14</v>
      </c>
      <c r="BB92" s="125">
        <v>1.07</v>
      </c>
      <c r="BC92" s="125">
        <v>2.14</v>
      </c>
      <c r="BD92" s="231">
        <v>1.821</v>
      </c>
      <c r="BE92" s="231">
        <v>3.6500000000000004</v>
      </c>
      <c r="BF92" s="231"/>
      <c r="BG92" s="231"/>
      <c r="BH92" s="231">
        <v>5.4864000000000006</v>
      </c>
      <c r="BI92" s="231">
        <v>13.551408000000002</v>
      </c>
      <c r="BJ92" s="231"/>
      <c r="BK92" s="231"/>
      <c r="BL92" s="231"/>
      <c r="BM92" s="231"/>
      <c r="BN92" s="231"/>
      <c r="BO92" s="231"/>
      <c r="BP92" s="244">
        <f t="shared" si="12"/>
        <v>20.147400000000001</v>
      </c>
      <c r="BQ92" s="248">
        <f t="shared" si="15"/>
        <v>40.294800000000002</v>
      </c>
      <c r="BR92" s="105">
        <f t="shared" si="13"/>
        <v>43.115790716049389</v>
      </c>
      <c r="BS92" s="248">
        <f t="shared" si="16"/>
        <v>86.231581432098778</v>
      </c>
    </row>
    <row r="93" spans="1:71" s="16" customFormat="1" ht="17" x14ac:dyDescent="0.15">
      <c r="A93" s="118" t="s">
        <v>435</v>
      </c>
      <c r="B93" s="208" t="s">
        <v>421</v>
      </c>
      <c r="C93" s="162" t="s">
        <v>419</v>
      </c>
      <c r="D93" s="119" t="s">
        <v>62</v>
      </c>
      <c r="E93" s="117" t="s">
        <v>121</v>
      </c>
      <c r="F93" s="120">
        <v>8.9</v>
      </c>
      <c r="G93" s="120">
        <v>52.359999999999985</v>
      </c>
      <c r="H93" s="120">
        <v>440.00864197530859</v>
      </c>
      <c r="I93" s="121">
        <v>40.746000000000002</v>
      </c>
      <c r="J93" s="122">
        <v>362.63940000000002</v>
      </c>
      <c r="K93" s="120"/>
      <c r="L93" s="123"/>
      <c r="M93" s="251"/>
      <c r="N93" s="251"/>
      <c r="O93" s="251"/>
      <c r="P93" s="229"/>
      <c r="Q93" s="229"/>
      <c r="R93" s="229"/>
      <c r="S93" s="229"/>
      <c r="T93" s="251"/>
      <c r="U93" s="252">
        <f t="shared" si="17"/>
        <v>56.025199999999984</v>
      </c>
      <c r="V93" s="251">
        <f t="shared" si="18"/>
        <v>498.62427999999989</v>
      </c>
      <c r="W93" s="251"/>
      <c r="X93" s="251"/>
      <c r="Y93" s="251">
        <v>15.28</v>
      </c>
      <c r="Z93" s="251">
        <f>+Y93*F93</f>
        <v>135.99199999999999</v>
      </c>
      <c r="AA93" s="251">
        <v>18</v>
      </c>
      <c r="AB93" s="251">
        <f t="shared" si="19"/>
        <v>160.20000000000002</v>
      </c>
      <c r="AC93" s="163">
        <f t="shared" si="14"/>
        <v>58.746000000000002</v>
      </c>
      <c r="AD93" s="163">
        <f t="shared" si="14"/>
        <v>522.83940000000007</v>
      </c>
      <c r="AE93" s="124" t="s">
        <v>725</v>
      </c>
      <c r="AF93" s="124">
        <v>2.38</v>
      </c>
      <c r="AG93" s="124">
        <v>19.88</v>
      </c>
      <c r="AH93" s="124">
        <v>4.76</v>
      </c>
      <c r="AI93" s="124">
        <v>39.75</v>
      </c>
      <c r="AJ93" s="209">
        <v>2.38</v>
      </c>
      <c r="AK93" s="209">
        <v>19.88</v>
      </c>
      <c r="AL93" s="209"/>
      <c r="AM93" s="209"/>
      <c r="AN93" s="209">
        <v>2.38</v>
      </c>
      <c r="AO93" s="209">
        <v>19.88</v>
      </c>
      <c r="AP93" s="209"/>
      <c r="AQ93" s="209"/>
      <c r="AR93" s="209">
        <v>2.38</v>
      </c>
      <c r="AS93" s="209">
        <v>21.214320987654322</v>
      </c>
      <c r="AT93" s="209">
        <v>2.38</v>
      </c>
      <c r="AU93" s="209">
        <v>19.88</v>
      </c>
      <c r="AV93" s="209">
        <v>2.38</v>
      </c>
      <c r="AW93" s="209">
        <v>19.88</v>
      </c>
      <c r="AX93" s="209">
        <v>2.38</v>
      </c>
      <c r="AY93" s="209">
        <v>19.88</v>
      </c>
      <c r="AZ93" s="233">
        <v>2.38</v>
      </c>
      <c r="BA93" s="125">
        <v>19.88</v>
      </c>
      <c r="BB93" s="125">
        <v>2.38</v>
      </c>
      <c r="BC93" s="125">
        <v>19.88</v>
      </c>
      <c r="BD93" s="125"/>
      <c r="BE93" s="125"/>
      <c r="BF93" s="125"/>
      <c r="BG93" s="125"/>
      <c r="BH93" s="125"/>
      <c r="BI93" s="125"/>
      <c r="BJ93" s="125"/>
      <c r="BK93" s="125"/>
      <c r="BL93" s="125"/>
      <c r="BM93" s="125"/>
      <c r="BN93" s="125"/>
      <c r="BO93" s="125"/>
      <c r="BP93" s="244">
        <f t="shared" si="12"/>
        <v>26.179999999999993</v>
      </c>
      <c r="BQ93" s="248">
        <f t="shared" si="15"/>
        <v>52.359999999999985</v>
      </c>
      <c r="BR93" s="105">
        <f t="shared" si="13"/>
        <v>220.0043209876543</v>
      </c>
      <c r="BS93" s="248">
        <f t="shared" si="16"/>
        <v>440.00864197530859</v>
      </c>
    </row>
    <row r="94" spans="1:71" s="16" customFormat="1" ht="17" hidden="1" x14ac:dyDescent="0.15">
      <c r="A94" s="118" t="s">
        <v>602</v>
      </c>
      <c r="B94" s="162" t="s">
        <v>420</v>
      </c>
      <c r="C94" s="162" t="s">
        <v>603</v>
      </c>
      <c r="D94" s="119" t="s">
        <v>218</v>
      </c>
      <c r="E94" s="117" t="s">
        <v>51</v>
      </c>
      <c r="F94" s="120">
        <v>78.5</v>
      </c>
      <c r="G94" s="120">
        <v>1.7792729681528661</v>
      </c>
      <c r="H94" s="120">
        <v>139.67292799999998</v>
      </c>
      <c r="I94" s="121">
        <v>3</v>
      </c>
      <c r="J94" s="122">
        <v>235.5</v>
      </c>
      <c r="K94" s="120"/>
      <c r="L94" s="123"/>
      <c r="M94" s="251"/>
      <c r="N94" s="251"/>
      <c r="O94" s="251"/>
      <c r="P94" s="229"/>
      <c r="Q94" s="229"/>
      <c r="R94" s="229"/>
      <c r="S94" s="229"/>
      <c r="T94" s="251"/>
      <c r="U94" s="252"/>
      <c r="V94" s="251"/>
      <c r="W94" s="251">
        <v>3</v>
      </c>
      <c r="X94" s="251">
        <f>+W94*F94</f>
        <v>235.5</v>
      </c>
      <c r="Y94" s="251"/>
      <c r="Z94" s="251"/>
      <c r="AA94" s="251"/>
      <c r="AB94" s="251"/>
      <c r="AC94" s="163">
        <f t="shared" si="14"/>
        <v>3</v>
      </c>
      <c r="AD94" s="163">
        <f t="shared" si="14"/>
        <v>235.5</v>
      </c>
      <c r="AE94" s="124" t="s">
        <v>601</v>
      </c>
      <c r="AF94" s="124"/>
      <c r="AG94" s="124"/>
      <c r="AH94" s="124"/>
      <c r="AI94" s="124"/>
      <c r="AJ94" s="124">
        <v>0.21643312101910828</v>
      </c>
      <c r="AK94" s="124">
        <v>16.989999999999998</v>
      </c>
      <c r="AL94" s="124"/>
      <c r="AM94" s="124"/>
      <c r="AN94" s="124"/>
      <c r="AO94" s="124"/>
      <c r="AP94" s="124"/>
      <c r="AQ94" s="124"/>
      <c r="AR94" s="222">
        <v>0.14796799999999999</v>
      </c>
      <c r="AS94" s="124">
        <v>11.615487999999999</v>
      </c>
      <c r="AT94" s="124">
        <v>0.14796799999999999</v>
      </c>
      <c r="AU94" s="124">
        <v>11.615487999999999</v>
      </c>
      <c r="AV94" s="124">
        <v>0.11464968152866242</v>
      </c>
      <c r="AW94" s="124">
        <v>9</v>
      </c>
      <c r="AX94" s="124">
        <v>0.11464968152866242</v>
      </c>
      <c r="AY94" s="124">
        <v>9</v>
      </c>
      <c r="AZ94" s="233">
        <v>0.14796799999999999</v>
      </c>
      <c r="BA94" s="125">
        <v>11.615487999999999</v>
      </c>
      <c r="BB94" s="125"/>
      <c r="BC94" s="125"/>
      <c r="BD94" s="125"/>
      <c r="BE94" s="125"/>
      <c r="BF94" s="125"/>
      <c r="BG94" s="125"/>
      <c r="BH94" s="125"/>
      <c r="BI94" s="125"/>
      <c r="BJ94" s="125"/>
      <c r="BK94" s="125"/>
      <c r="BL94" s="125"/>
      <c r="BM94" s="125"/>
      <c r="BN94" s="125"/>
      <c r="BO94" s="125"/>
      <c r="BP94" s="244">
        <f t="shared" si="12"/>
        <v>0.88963648407643303</v>
      </c>
      <c r="BQ94" s="248">
        <f t="shared" si="15"/>
        <v>1.7792729681528661</v>
      </c>
      <c r="BR94" s="105">
        <f t="shared" si="13"/>
        <v>69.836463999999992</v>
      </c>
      <c r="BS94" s="248">
        <f t="shared" si="16"/>
        <v>139.67292799999998</v>
      </c>
    </row>
    <row r="95" spans="1:71" s="16" customFormat="1" ht="17" x14ac:dyDescent="0.15">
      <c r="A95" s="118" t="s">
        <v>619</v>
      </c>
      <c r="B95" s="208" t="s">
        <v>118</v>
      </c>
      <c r="C95" s="162" t="s">
        <v>626</v>
      </c>
      <c r="D95" s="119" t="s">
        <v>62</v>
      </c>
      <c r="E95" s="117" t="s">
        <v>121</v>
      </c>
      <c r="F95" s="120">
        <v>34.6</v>
      </c>
      <c r="G95" s="120">
        <v>660.67600000000004</v>
      </c>
      <c r="H95" s="120">
        <v>22855.120000000003</v>
      </c>
      <c r="I95" s="121">
        <v>333.11026000000004</v>
      </c>
      <c r="J95" s="122">
        <v>11525.614996000002</v>
      </c>
      <c r="K95" s="120"/>
      <c r="L95" s="123"/>
      <c r="M95" s="251"/>
      <c r="N95" s="251"/>
      <c r="O95" s="251"/>
      <c r="P95" s="229"/>
      <c r="Q95" s="229"/>
      <c r="R95" s="229"/>
      <c r="S95" s="229"/>
      <c r="T95" s="251"/>
      <c r="U95" s="252"/>
      <c r="V95" s="251"/>
      <c r="W95" s="251"/>
      <c r="X95" s="251"/>
      <c r="Y95" s="251">
        <v>333.11026000000004</v>
      </c>
      <c r="Z95" s="251">
        <f t="shared" ref="Z95:Z113" si="20">+Y95*F95</f>
        <v>11525.614996000002</v>
      </c>
      <c r="AA95" s="251">
        <v>372</v>
      </c>
      <c r="AB95" s="251">
        <f>+AA95*F95</f>
        <v>12871.2</v>
      </c>
      <c r="AC95" s="163">
        <f t="shared" si="14"/>
        <v>705.11026000000004</v>
      </c>
      <c r="AD95" s="163">
        <f t="shared" si="14"/>
        <v>24396.814996000001</v>
      </c>
      <c r="AE95" s="124" t="s">
        <v>725</v>
      </c>
      <c r="AF95" s="124"/>
      <c r="AG95" s="124"/>
      <c r="AH95" s="124">
        <v>132.16300000000001</v>
      </c>
      <c r="AI95" s="124">
        <v>4572.17</v>
      </c>
      <c r="AJ95" s="209">
        <v>23.495999999999999</v>
      </c>
      <c r="AK95" s="209">
        <v>812.84</v>
      </c>
      <c r="AL95" s="209"/>
      <c r="AM95" s="209"/>
      <c r="AN95" s="209"/>
      <c r="AO95" s="209"/>
      <c r="AP95" s="209"/>
      <c r="AQ95" s="209"/>
      <c r="AR95" s="209"/>
      <c r="AS95" s="209"/>
      <c r="AT95" s="209"/>
      <c r="AU95" s="209"/>
      <c r="AV95" s="209"/>
      <c r="AW95" s="209"/>
      <c r="AX95" s="209"/>
      <c r="AY95" s="209"/>
      <c r="AZ95" s="233"/>
      <c r="BA95" s="125"/>
      <c r="BB95" s="125"/>
      <c r="BC95" s="125"/>
      <c r="BD95" s="125"/>
      <c r="BE95" s="125"/>
      <c r="BF95" s="125">
        <v>174.679</v>
      </c>
      <c r="BG95" s="125">
        <v>6042.55</v>
      </c>
      <c r="BH95" s="125"/>
      <c r="BI95" s="125"/>
      <c r="BJ95" s="125"/>
      <c r="BK95" s="125"/>
      <c r="BL95" s="125"/>
      <c r="BM95" s="125"/>
      <c r="BN95" s="125"/>
      <c r="BO95" s="125"/>
      <c r="BP95" s="244">
        <f t="shared" si="12"/>
        <v>330.33800000000002</v>
      </c>
      <c r="BQ95" s="248">
        <f t="shared" si="15"/>
        <v>660.67600000000004</v>
      </c>
      <c r="BR95" s="105">
        <f t="shared" si="13"/>
        <v>11427.560000000001</v>
      </c>
      <c r="BS95" s="248">
        <f t="shared" si="16"/>
        <v>22855.120000000003</v>
      </c>
    </row>
    <row r="96" spans="1:71" s="16" customFormat="1" ht="17" x14ac:dyDescent="0.15">
      <c r="A96" s="118" t="s">
        <v>620</v>
      </c>
      <c r="B96" s="208" t="s">
        <v>119</v>
      </c>
      <c r="C96" s="162" t="s">
        <v>635</v>
      </c>
      <c r="D96" s="119" t="s">
        <v>62</v>
      </c>
      <c r="E96" s="117" t="s">
        <v>121</v>
      </c>
      <c r="F96" s="120">
        <v>30.6</v>
      </c>
      <c r="G96" s="120">
        <v>103.902</v>
      </c>
      <c r="H96" s="120">
        <v>3092.34</v>
      </c>
      <c r="I96" s="121">
        <v>21.055460000000004</v>
      </c>
      <c r="J96" s="122">
        <v>644.29707600000017</v>
      </c>
      <c r="K96" s="120"/>
      <c r="L96" s="123"/>
      <c r="M96" s="251"/>
      <c r="N96" s="251"/>
      <c r="O96" s="251"/>
      <c r="P96" s="229"/>
      <c r="Q96" s="229"/>
      <c r="R96" s="229"/>
      <c r="S96" s="229"/>
      <c r="T96" s="251"/>
      <c r="U96" s="252"/>
      <c r="V96" s="251"/>
      <c r="W96" s="251"/>
      <c r="X96" s="251"/>
      <c r="Y96" s="251">
        <v>21.055460000000004</v>
      </c>
      <c r="Z96" s="251">
        <f t="shared" si="20"/>
        <v>644.29707600000017</v>
      </c>
      <c r="AA96" s="251">
        <v>90</v>
      </c>
      <c r="AB96" s="251">
        <f>+AA96*F96</f>
        <v>2754</v>
      </c>
      <c r="AC96" s="163">
        <f t="shared" si="14"/>
        <v>111.05546000000001</v>
      </c>
      <c r="AD96" s="163">
        <f t="shared" si="14"/>
        <v>3398.2970760000003</v>
      </c>
      <c r="AE96" s="124" t="s">
        <v>725</v>
      </c>
      <c r="AF96" s="124"/>
      <c r="AG96" s="124"/>
      <c r="AH96" s="124">
        <v>8.0860000000000003</v>
      </c>
      <c r="AI96" s="124">
        <v>247.62</v>
      </c>
      <c r="AJ96" s="209">
        <v>1.7529999999999999</v>
      </c>
      <c r="AK96" s="209">
        <v>53.67</v>
      </c>
      <c r="AL96" s="209"/>
      <c r="AM96" s="209"/>
      <c r="AN96" s="209"/>
      <c r="AO96" s="209"/>
      <c r="AP96" s="209"/>
      <c r="AQ96" s="209"/>
      <c r="AR96" s="209"/>
      <c r="AS96" s="209"/>
      <c r="AT96" s="209"/>
      <c r="AU96" s="209"/>
      <c r="AV96" s="209"/>
      <c r="AW96" s="209"/>
      <c r="AX96" s="209"/>
      <c r="AY96" s="209"/>
      <c r="AZ96" s="233"/>
      <c r="BA96" s="125"/>
      <c r="BB96" s="125"/>
      <c r="BC96" s="125"/>
      <c r="BD96" s="125"/>
      <c r="BE96" s="125"/>
      <c r="BF96" s="125">
        <v>42.112000000000002</v>
      </c>
      <c r="BG96" s="125">
        <v>1244.8800000000001</v>
      </c>
      <c r="BH96" s="125"/>
      <c r="BI96" s="125"/>
      <c r="BJ96" s="125"/>
      <c r="BK96" s="125"/>
      <c r="BL96" s="125"/>
      <c r="BM96" s="125"/>
      <c r="BN96" s="125"/>
      <c r="BO96" s="125"/>
      <c r="BP96" s="244">
        <f t="shared" si="12"/>
        <v>51.951000000000001</v>
      </c>
      <c r="BQ96" s="248">
        <f t="shared" si="15"/>
        <v>103.902</v>
      </c>
      <c r="BR96" s="105">
        <f t="shared" si="13"/>
        <v>1546.17</v>
      </c>
      <c r="BS96" s="248">
        <f t="shared" si="16"/>
        <v>3092.34</v>
      </c>
    </row>
    <row r="97" spans="1:71" s="16" customFormat="1" ht="17" hidden="1" x14ac:dyDescent="0.15">
      <c r="A97" s="118" t="s">
        <v>621</v>
      </c>
      <c r="B97" s="208" t="s">
        <v>119</v>
      </c>
      <c r="C97" s="162" t="s">
        <v>636</v>
      </c>
      <c r="D97" s="119" t="s">
        <v>62</v>
      </c>
      <c r="E97" s="117" t="s">
        <v>121</v>
      </c>
      <c r="F97" s="120">
        <v>44.1</v>
      </c>
      <c r="G97" s="120">
        <v>807.93600000000004</v>
      </c>
      <c r="H97" s="120">
        <v>35576.980000000003</v>
      </c>
      <c r="I97" s="121">
        <v>115.08492000000001</v>
      </c>
      <c r="J97" s="122">
        <v>5075.2449720000004</v>
      </c>
      <c r="K97" s="120"/>
      <c r="L97" s="123"/>
      <c r="M97" s="251"/>
      <c r="N97" s="251"/>
      <c r="O97" s="251"/>
      <c r="P97" s="229"/>
      <c r="Q97" s="229"/>
      <c r="R97" s="229"/>
      <c r="S97" s="229"/>
      <c r="T97" s="251"/>
      <c r="U97" s="252"/>
      <c r="V97" s="251"/>
      <c r="W97" s="251"/>
      <c r="X97" s="251"/>
      <c r="Y97" s="251">
        <v>115.08492000000001</v>
      </c>
      <c r="Z97" s="251">
        <f t="shared" si="20"/>
        <v>5075.2449720000004</v>
      </c>
      <c r="AA97" s="251">
        <v>750</v>
      </c>
      <c r="AB97" s="251">
        <f>+AA97*F97</f>
        <v>33075</v>
      </c>
      <c r="AC97" s="163">
        <f t="shared" si="14"/>
        <v>865.08492000000001</v>
      </c>
      <c r="AD97" s="163">
        <f t="shared" si="14"/>
        <v>38150.244972</v>
      </c>
      <c r="AE97" s="124" t="s">
        <v>725</v>
      </c>
      <c r="AF97" s="124"/>
      <c r="AG97" s="124"/>
      <c r="AH97" s="124"/>
      <c r="AI97" s="124"/>
      <c r="AJ97" s="209">
        <v>53.777999999999999</v>
      </c>
      <c r="AK97" s="209">
        <v>2374.4</v>
      </c>
      <c r="AL97" s="209"/>
      <c r="AM97" s="209"/>
      <c r="AN97" s="209"/>
      <c r="AO97" s="209"/>
      <c r="AP97" s="209"/>
      <c r="AQ97" s="209"/>
      <c r="AR97" s="209"/>
      <c r="AS97" s="209"/>
      <c r="AT97" s="209"/>
      <c r="AU97" s="209"/>
      <c r="AV97" s="209"/>
      <c r="AW97" s="209"/>
      <c r="AX97" s="209"/>
      <c r="AY97" s="209"/>
      <c r="AZ97" s="233"/>
      <c r="BA97" s="125"/>
      <c r="BB97" s="125"/>
      <c r="BC97" s="125"/>
      <c r="BD97" s="125"/>
      <c r="BE97" s="125"/>
      <c r="BF97" s="125">
        <v>350.19</v>
      </c>
      <c r="BG97" s="125">
        <v>15414.09</v>
      </c>
      <c r="BH97" s="125"/>
      <c r="BI97" s="125"/>
      <c r="BJ97" s="125"/>
      <c r="BK97" s="125"/>
      <c r="BL97" s="125"/>
      <c r="BM97" s="125"/>
      <c r="BN97" s="125"/>
      <c r="BO97" s="125"/>
      <c r="BP97" s="244">
        <f t="shared" si="12"/>
        <v>403.96800000000002</v>
      </c>
      <c r="BQ97" s="248">
        <f t="shared" si="15"/>
        <v>807.93600000000004</v>
      </c>
      <c r="BR97" s="105">
        <f t="shared" si="13"/>
        <v>17788.490000000002</v>
      </c>
      <c r="BS97" s="248">
        <f t="shared" si="16"/>
        <v>35576.980000000003</v>
      </c>
    </row>
    <row r="98" spans="1:71" s="16" customFormat="1" ht="17" hidden="1" x14ac:dyDescent="0.15">
      <c r="A98" s="118" t="s">
        <v>622</v>
      </c>
      <c r="B98" s="208" t="s">
        <v>119</v>
      </c>
      <c r="C98" s="162" t="s">
        <v>637</v>
      </c>
      <c r="D98" s="119" t="s">
        <v>62</v>
      </c>
      <c r="E98" s="117" t="s">
        <v>121</v>
      </c>
      <c r="F98" s="120">
        <v>128.30000000000001</v>
      </c>
      <c r="G98" s="120">
        <v>96.792000000000002</v>
      </c>
      <c r="H98" s="120">
        <v>12422.880000000001</v>
      </c>
      <c r="I98" s="121">
        <v>103.56744</v>
      </c>
      <c r="J98" s="122">
        <v>13287.702552000002</v>
      </c>
      <c r="K98" s="120"/>
      <c r="L98" s="123"/>
      <c r="M98" s="251"/>
      <c r="N98" s="251"/>
      <c r="O98" s="251"/>
      <c r="P98" s="229"/>
      <c r="Q98" s="229"/>
      <c r="R98" s="229"/>
      <c r="S98" s="229"/>
      <c r="T98" s="251"/>
      <c r="U98" s="252"/>
      <c r="V98" s="251"/>
      <c r="W98" s="251"/>
      <c r="X98" s="251"/>
      <c r="Y98" s="251">
        <v>103.56744</v>
      </c>
      <c r="Z98" s="251">
        <f t="shared" si="20"/>
        <v>13287.702552000002</v>
      </c>
      <c r="AA98" s="251"/>
      <c r="AB98" s="251"/>
      <c r="AC98" s="163">
        <f t="shared" si="14"/>
        <v>103.56744</v>
      </c>
      <c r="AD98" s="163">
        <f t="shared" si="14"/>
        <v>13287.702552000002</v>
      </c>
      <c r="AE98" s="124" t="s">
        <v>703</v>
      </c>
      <c r="AF98" s="124"/>
      <c r="AG98" s="124"/>
      <c r="AH98" s="124"/>
      <c r="AI98" s="124"/>
      <c r="AJ98" s="124">
        <v>48.396000000000001</v>
      </c>
      <c r="AK98" s="124">
        <v>6211.4400000000005</v>
      </c>
      <c r="AL98" s="124"/>
      <c r="AM98" s="124"/>
      <c r="AN98" s="124"/>
      <c r="AO98" s="124"/>
      <c r="AP98" s="124"/>
      <c r="AQ98" s="124"/>
      <c r="AR98" s="124"/>
      <c r="AS98" s="124"/>
      <c r="AT98" s="124"/>
      <c r="AU98" s="124"/>
      <c r="AV98" s="124"/>
      <c r="AW98" s="124"/>
      <c r="AX98" s="124"/>
      <c r="AY98" s="124"/>
      <c r="AZ98" s="233"/>
      <c r="BA98" s="125"/>
      <c r="BB98" s="125"/>
      <c r="BC98" s="125"/>
      <c r="BD98" s="125"/>
      <c r="BE98" s="125"/>
      <c r="BF98" s="125"/>
      <c r="BG98" s="125"/>
      <c r="BH98" s="125"/>
      <c r="BI98" s="125"/>
      <c r="BJ98" s="125"/>
      <c r="BK98" s="125"/>
      <c r="BL98" s="125"/>
      <c r="BM98" s="125"/>
      <c r="BN98" s="125"/>
      <c r="BO98" s="125"/>
      <c r="BP98" s="244">
        <f t="shared" si="12"/>
        <v>48.396000000000001</v>
      </c>
      <c r="BQ98" s="248">
        <f t="shared" si="15"/>
        <v>96.792000000000002</v>
      </c>
      <c r="BR98" s="105">
        <f t="shared" si="13"/>
        <v>6211.4400000000005</v>
      </c>
      <c r="BS98" s="248">
        <f t="shared" si="16"/>
        <v>12422.880000000001</v>
      </c>
    </row>
    <row r="99" spans="1:71" s="16" customFormat="1" ht="17" hidden="1" x14ac:dyDescent="0.15">
      <c r="A99" s="118" t="s">
        <v>623</v>
      </c>
      <c r="B99" s="162" t="s">
        <v>420</v>
      </c>
      <c r="C99" s="162" t="s">
        <v>717</v>
      </c>
      <c r="D99" s="119" t="s">
        <v>218</v>
      </c>
      <c r="E99" s="117" t="s">
        <v>51</v>
      </c>
      <c r="F99" s="120">
        <v>274.75</v>
      </c>
      <c r="G99" s="120">
        <v>0.51079162875341222</v>
      </c>
      <c r="H99" s="120">
        <v>140.34</v>
      </c>
      <c r="I99" s="121">
        <v>0.56697870791628757</v>
      </c>
      <c r="J99" s="122">
        <v>155.7774</v>
      </c>
      <c r="K99" s="120"/>
      <c r="L99" s="123"/>
      <c r="M99" s="251"/>
      <c r="N99" s="251"/>
      <c r="O99" s="251"/>
      <c r="P99" s="229"/>
      <c r="Q99" s="229"/>
      <c r="R99" s="229"/>
      <c r="S99" s="229"/>
      <c r="T99" s="251"/>
      <c r="U99" s="252"/>
      <c r="V99" s="251"/>
      <c r="W99" s="251"/>
      <c r="X99" s="251"/>
      <c r="Y99" s="251">
        <v>0.56697870791628757</v>
      </c>
      <c r="Z99" s="251">
        <f t="shared" si="20"/>
        <v>155.7774</v>
      </c>
      <c r="AA99" s="251">
        <v>0.43302129208371243</v>
      </c>
      <c r="AB99" s="251">
        <f>+AA99*F99</f>
        <v>118.97259999999999</v>
      </c>
      <c r="AC99" s="163">
        <f t="shared" si="14"/>
        <v>1</v>
      </c>
      <c r="AD99" s="163">
        <f t="shared" si="14"/>
        <v>274.75</v>
      </c>
      <c r="AE99" s="124" t="s">
        <v>725</v>
      </c>
      <c r="AF99" s="124"/>
      <c r="AG99" s="124"/>
      <c r="AH99" s="124"/>
      <c r="AI99" s="124"/>
      <c r="AJ99" s="209">
        <v>0.25539581437670611</v>
      </c>
      <c r="AK99" s="209">
        <v>70.17</v>
      </c>
      <c r="AL99" s="209"/>
      <c r="AM99" s="209"/>
      <c r="AN99" s="209"/>
      <c r="AO99" s="209"/>
      <c r="AP99" s="209"/>
      <c r="AQ99" s="209"/>
      <c r="AR99" s="209"/>
      <c r="AS99" s="209"/>
      <c r="AT99" s="209"/>
      <c r="AU99" s="209"/>
      <c r="AV99" s="209"/>
      <c r="AW99" s="209"/>
      <c r="AX99" s="209"/>
      <c r="AY99" s="209"/>
      <c r="AZ99" s="233"/>
      <c r="BA99" s="125"/>
      <c r="BB99" s="125"/>
      <c r="BC99" s="125"/>
      <c r="BD99" s="125"/>
      <c r="BE99" s="125"/>
      <c r="BF99" s="125"/>
      <c r="BG99" s="125"/>
      <c r="BH99" s="125"/>
      <c r="BI99" s="125"/>
      <c r="BJ99" s="125"/>
      <c r="BK99" s="125"/>
      <c r="BL99" s="125"/>
      <c r="BM99" s="125"/>
      <c r="BN99" s="125"/>
      <c r="BO99" s="125"/>
      <c r="BP99" s="244">
        <f t="shared" si="12"/>
        <v>0.25539581437670611</v>
      </c>
      <c r="BQ99" s="248">
        <f t="shared" si="15"/>
        <v>0.51079162875341222</v>
      </c>
      <c r="BR99" s="105">
        <f t="shared" si="13"/>
        <v>70.17</v>
      </c>
      <c r="BS99" s="248">
        <f t="shared" si="16"/>
        <v>140.34</v>
      </c>
    </row>
    <row r="100" spans="1:71" s="16" customFormat="1" ht="17" x14ac:dyDescent="0.15">
      <c r="A100" s="118" t="s">
        <v>624</v>
      </c>
      <c r="B100" s="208" t="s">
        <v>118</v>
      </c>
      <c r="C100" s="162" t="s">
        <v>642</v>
      </c>
      <c r="D100" s="119" t="s">
        <v>62</v>
      </c>
      <c r="E100" s="117" t="s">
        <v>121</v>
      </c>
      <c r="F100" s="120">
        <v>9.36</v>
      </c>
      <c r="G100" s="120">
        <v>59.716000000000008</v>
      </c>
      <c r="H100" s="120">
        <v>558.76</v>
      </c>
      <c r="I100" s="121">
        <v>63.89612000000001</v>
      </c>
      <c r="J100" s="122">
        <v>598.06768320000003</v>
      </c>
      <c r="K100" s="120"/>
      <c r="L100" s="123"/>
      <c r="M100" s="251"/>
      <c r="N100" s="251"/>
      <c r="O100" s="251"/>
      <c r="P100" s="229"/>
      <c r="Q100" s="229"/>
      <c r="R100" s="229"/>
      <c r="S100" s="229"/>
      <c r="T100" s="251"/>
      <c r="U100" s="252"/>
      <c r="V100" s="251"/>
      <c r="W100" s="251"/>
      <c r="X100" s="251"/>
      <c r="Y100" s="251">
        <v>63.89612000000001</v>
      </c>
      <c r="Z100" s="251">
        <f t="shared" si="20"/>
        <v>598.06768320000003</v>
      </c>
      <c r="AA100" s="251"/>
      <c r="AB100" s="251"/>
      <c r="AC100" s="163">
        <f t="shared" si="14"/>
        <v>63.89612000000001</v>
      </c>
      <c r="AD100" s="163">
        <f t="shared" si="14"/>
        <v>598.06768320000003</v>
      </c>
      <c r="AE100" s="124" t="s">
        <v>703</v>
      </c>
      <c r="AF100" s="124"/>
      <c r="AG100" s="124"/>
      <c r="AH100" s="124">
        <v>29.858000000000004</v>
      </c>
      <c r="AI100" s="124">
        <v>279.38</v>
      </c>
      <c r="AJ100" s="124"/>
      <c r="AK100" s="124"/>
      <c r="AL100" s="124"/>
      <c r="AM100" s="124"/>
      <c r="AN100" s="124"/>
      <c r="AO100" s="124"/>
      <c r="AP100" s="124"/>
      <c r="AQ100" s="124"/>
      <c r="AR100" s="124"/>
      <c r="AS100" s="124"/>
      <c r="AT100" s="124"/>
      <c r="AU100" s="124"/>
      <c r="AV100" s="124"/>
      <c r="AW100" s="124"/>
      <c r="AX100" s="124"/>
      <c r="AY100" s="124"/>
      <c r="AZ100" s="233"/>
      <c r="BA100" s="125"/>
      <c r="BB100" s="125"/>
      <c r="BC100" s="125"/>
      <c r="BD100" s="125"/>
      <c r="BE100" s="125"/>
      <c r="BF100" s="125"/>
      <c r="BG100" s="125"/>
      <c r="BH100" s="125"/>
      <c r="BI100" s="125"/>
      <c r="BJ100" s="125"/>
      <c r="BK100" s="125"/>
      <c r="BL100" s="125"/>
      <c r="BM100" s="125"/>
      <c r="BN100" s="125"/>
      <c r="BO100" s="125"/>
      <c r="BP100" s="244">
        <f t="shared" si="12"/>
        <v>29.858000000000004</v>
      </c>
      <c r="BQ100" s="248">
        <f t="shared" si="15"/>
        <v>59.716000000000008</v>
      </c>
      <c r="BR100" s="105">
        <f t="shared" si="13"/>
        <v>279.38</v>
      </c>
      <c r="BS100" s="248">
        <f t="shared" si="16"/>
        <v>558.76</v>
      </c>
    </row>
    <row r="101" spans="1:71" s="16" customFormat="1" ht="17" x14ac:dyDescent="0.15">
      <c r="A101" s="118" t="s">
        <v>625</v>
      </c>
      <c r="B101" s="162" t="s">
        <v>285</v>
      </c>
      <c r="C101" s="162" t="s">
        <v>647</v>
      </c>
      <c r="D101" s="119" t="s">
        <v>648</v>
      </c>
      <c r="E101" s="117" t="s">
        <v>121</v>
      </c>
      <c r="F101" s="120">
        <v>78.168498168498161</v>
      </c>
      <c r="G101" s="120">
        <v>2.1840000000000002</v>
      </c>
      <c r="H101" s="120">
        <v>170.72</v>
      </c>
      <c r="I101" s="121">
        <v>2.3368800000000003</v>
      </c>
      <c r="J101" s="122">
        <v>182.6704</v>
      </c>
      <c r="K101" s="120"/>
      <c r="L101" s="123"/>
      <c r="M101" s="251"/>
      <c r="N101" s="251"/>
      <c r="O101" s="251"/>
      <c r="P101" s="229"/>
      <c r="Q101" s="229"/>
      <c r="R101" s="229"/>
      <c r="S101" s="229"/>
      <c r="T101" s="251"/>
      <c r="U101" s="252"/>
      <c r="V101" s="251"/>
      <c r="W101" s="251"/>
      <c r="X101" s="251"/>
      <c r="Y101" s="251">
        <v>2.3368800000000003</v>
      </c>
      <c r="Z101" s="251">
        <f t="shared" si="20"/>
        <v>182.6704</v>
      </c>
      <c r="AA101" s="251"/>
      <c r="AB101" s="251"/>
      <c r="AC101" s="163">
        <f t="shared" si="14"/>
        <v>2.3368800000000003</v>
      </c>
      <c r="AD101" s="163">
        <f t="shared" si="14"/>
        <v>182.6704</v>
      </c>
      <c r="AE101" s="124" t="s">
        <v>703</v>
      </c>
      <c r="AF101" s="124"/>
      <c r="AG101" s="124"/>
      <c r="AH101" s="124">
        <v>1.0920000000000001</v>
      </c>
      <c r="AI101" s="124">
        <v>85.36</v>
      </c>
      <c r="AJ101" s="124"/>
      <c r="AK101" s="124"/>
      <c r="AL101" s="124"/>
      <c r="AM101" s="124"/>
      <c r="AN101" s="124"/>
      <c r="AO101" s="124"/>
      <c r="AP101" s="124"/>
      <c r="AQ101" s="124"/>
      <c r="AR101" s="124"/>
      <c r="AS101" s="124"/>
      <c r="AT101" s="124"/>
      <c r="AU101" s="124"/>
      <c r="AV101" s="124"/>
      <c r="AW101" s="124"/>
      <c r="AX101" s="124"/>
      <c r="AY101" s="124"/>
      <c r="AZ101" s="233"/>
      <c r="BA101" s="125"/>
      <c r="BB101" s="125"/>
      <c r="BC101" s="125"/>
      <c r="BD101" s="125"/>
      <c r="BE101" s="125"/>
      <c r="BF101" s="125"/>
      <c r="BG101" s="125"/>
      <c r="BH101" s="125"/>
      <c r="BI101" s="125"/>
      <c r="BJ101" s="125"/>
      <c r="BK101" s="125"/>
      <c r="BL101" s="125"/>
      <c r="BM101" s="125"/>
      <c r="BN101" s="125"/>
      <c r="BO101" s="125"/>
      <c r="BP101" s="244">
        <f t="shared" si="12"/>
        <v>1.0920000000000001</v>
      </c>
      <c r="BQ101" s="248">
        <f t="shared" si="15"/>
        <v>2.1840000000000002</v>
      </c>
      <c r="BR101" s="105">
        <f t="shared" si="13"/>
        <v>85.36</v>
      </c>
      <c r="BS101" s="248">
        <f t="shared" si="16"/>
        <v>170.72</v>
      </c>
    </row>
    <row r="102" spans="1:71" s="16" customFormat="1" ht="17" x14ac:dyDescent="0.15">
      <c r="A102" s="118" t="s">
        <v>643</v>
      </c>
      <c r="B102" s="162" t="s">
        <v>285</v>
      </c>
      <c r="C102" s="162" t="s">
        <v>457</v>
      </c>
      <c r="D102" s="119" t="s">
        <v>657</v>
      </c>
      <c r="E102" s="117" t="s">
        <v>121</v>
      </c>
      <c r="F102" s="120">
        <v>5.2863636363636362</v>
      </c>
      <c r="G102" s="120">
        <v>17.600000000000001</v>
      </c>
      <c r="H102" s="120">
        <v>93.04</v>
      </c>
      <c r="I102" s="121">
        <v>18.832000000000004</v>
      </c>
      <c r="J102" s="122">
        <v>99.552800000000019</v>
      </c>
      <c r="K102" s="120"/>
      <c r="L102" s="123"/>
      <c r="M102" s="251"/>
      <c r="N102" s="251"/>
      <c r="O102" s="251"/>
      <c r="P102" s="229"/>
      <c r="Q102" s="229"/>
      <c r="R102" s="229"/>
      <c r="S102" s="229"/>
      <c r="T102" s="251"/>
      <c r="U102" s="252"/>
      <c r="V102" s="251"/>
      <c r="W102" s="251"/>
      <c r="X102" s="251"/>
      <c r="Y102" s="251">
        <v>18.832000000000004</v>
      </c>
      <c r="Z102" s="251">
        <f t="shared" si="20"/>
        <v>99.552800000000019</v>
      </c>
      <c r="AA102" s="251"/>
      <c r="AB102" s="251"/>
      <c r="AC102" s="163">
        <f t="shared" si="14"/>
        <v>18.832000000000004</v>
      </c>
      <c r="AD102" s="163">
        <f t="shared" si="14"/>
        <v>99.552800000000019</v>
      </c>
      <c r="AE102" s="124" t="s">
        <v>703</v>
      </c>
      <c r="AF102" s="124"/>
      <c r="AG102" s="124"/>
      <c r="AH102" s="223">
        <v>8.8000000000000007</v>
      </c>
      <c r="AI102" s="223">
        <v>46.52</v>
      </c>
      <c r="AJ102" s="124"/>
      <c r="AK102" s="124"/>
      <c r="AL102" s="124"/>
      <c r="AM102" s="124"/>
      <c r="AN102" s="124"/>
      <c r="AO102" s="124"/>
      <c r="AP102" s="124"/>
      <c r="AQ102" s="124"/>
      <c r="AR102" s="124"/>
      <c r="AS102" s="124"/>
      <c r="AT102" s="221"/>
      <c r="AU102" s="221"/>
      <c r="AV102" s="221"/>
      <c r="AW102" s="221"/>
      <c r="AX102" s="221"/>
      <c r="AY102" s="221"/>
      <c r="AZ102" s="233"/>
      <c r="BA102" s="125"/>
      <c r="BB102" s="125"/>
      <c r="BC102" s="125"/>
      <c r="BD102" s="125"/>
      <c r="BE102" s="125"/>
      <c r="BF102" s="125"/>
      <c r="BG102" s="125"/>
      <c r="BH102" s="125"/>
      <c r="BI102" s="125"/>
      <c r="BJ102" s="125"/>
      <c r="BK102" s="125"/>
      <c r="BL102" s="125"/>
      <c r="BM102" s="125"/>
      <c r="BN102" s="125"/>
      <c r="BO102" s="125"/>
      <c r="BP102" s="244">
        <f t="shared" si="12"/>
        <v>8.8000000000000007</v>
      </c>
      <c r="BQ102" s="248">
        <f t="shared" si="15"/>
        <v>17.600000000000001</v>
      </c>
      <c r="BR102" s="105">
        <f t="shared" si="13"/>
        <v>46.52</v>
      </c>
      <c r="BS102" s="248">
        <f t="shared" si="16"/>
        <v>93.04</v>
      </c>
    </row>
    <row r="103" spans="1:71" s="16" customFormat="1" ht="17" x14ac:dyDescent="0.15">
      <c r="A103" s="118" t="s">
        <v>644</v>
      </c>
      <c r="B103" s="162" t="s">
        <v>285</v>
      </c>
      <c r="C103" s="162" t="s">
        <v>459</v>
      </c>
      <c r="D103" s="119" t="s">
        <v>657</v>
      </c>
      <c r="E103" s="117" t="s">
        <v>121</v>
      </c>
      <c r="F103" s="120">
        <v>11.022727272727273</v>
      </c>
      <c r="G103" s="120">
        <v>1.4079999999999999</v>
      </c>
      <c r="H103" s="120">
        <v>15.52</v>
      </c>
      <c r="I103" s="121">
        <v>1.5065599999999999</v>
      </c>
      <c r="J103" s="122">
        <v>16.606400000000001</v>
      </c>
      <c r="K103" s="120"/>
      <c r="L103" s="123"/>
      <c r="M103" s="251"/>
      <c r="N103" s="251"/>
      <c r="O103" s="251"/>
      <c r="P103" s="229"/>
      <c r="Q103" s="229"/>
      <c r="R103" s="229"/>
      <c r="S103" s="229"/>
      <c r="T103" s="251"/>
      <c r="U103" s="252"/>
      <c r="V103" s="251"/>
      <c r="W103" s="251"/>
      <c r="X103" s="251"/>
      <c r="Y103" s="251">
        <v>1.5065599999999999</v>
      </c>
      <c r="Z103" s="251">
        <f t="shared" si="20"/>
        <v>16.606400000000001</v>
      </c>
      <c r="AA103" s="251"/>
      <c r="AB103" s="251"/>
      <c r="AC103" s="163">
        <f t="shared" si="14"/>
        <v>1.5065599999999999</v>
      </c>
      <c r="AD103" s="163">
        <f t="shared" si="14"/>
        <v>16.606400000000001</v>
      </c>
      <c r="AE103" s="124" t="s">
        <v>703</v>
      </c>
      <c r="AF103" s="124"/>
      <c r="AG103" s="124"/>
      <c r="AH103" s="223">
        <v>0.70399999999999996</v>
      </c>
      <c r="AI103" s="223">
        <v>7.76</v>
      </c>
      <c r="AJ103" s="124"/>
      <c r="AK103" s="124"/>
      <c r="AL103" s="124"/>
      <c r="AM103" s="124"/>
      <c r="AN103" s="124"/>
      <c r="AO103" s="124"/>
      <c r="AP103" s="124"/>
      <c r="AQ103" s="124"/>
      <c r="AR103" s="124"/>
      <c r="AS103" s="124"/>
      <c r="AT103" s="124"/>
      <c r="AU103" s="124"/>
      <c r="AV103" s="124"/>
      <c r="AW103" s="124"/>
      <c r="AX103" s="124"/>
      <c r="AY103" s="124"/>
      <c r="AZ103" s="233"/>
      <c r="BA103" s="125"/>
      <c r="BB103" s="125"/>
      <c r="BC103" s="125"/>
      <c r="BD103" s="125"/>
      <c r="BE103" s="125"/>
      <c r="BF103" s="125"/>
      <c r="BG103" s="125"/>
      <c r="BH103" s="125"/>
      <c r="BI103" s="125"/>
      <c r="BJ103" s="125"/>
      <c r="BK103" s="125"/>
      <c r="BL103" s="125"/>
      <c r="BM103" s="125"/>
      <c r="BN103" s="125"/>
      <c r="BO103" s="125"/>
      <c r="BP103" s="244">
        <f t="shared" si="12"/>
        <v>0.70399999999999996</v>
      </c>
      <c r="BQ103" s="248">
        <f t="shared" si="15"/>
        <v>1.4079999999999999</v>
      </c>
      <c r="BR103" s="105">
        <f t="shared" si="13"/>
        <v>7.76</v>
      </c>
      <c r="BS103" s="248">
        <f t="shared" si="16"/>
        <v>15.52</v>
      </c>
    </row>
    <row r="104" spans="1:71" s="16" customFormat="1" ht="17" x14ac:dyDescent="0.15">
      <c r="A104" s="118" t="s">
        <v>645</v>
      </c>
      <c r="B104" s="208" t="s">
        <v>119</v>
      </c>
      <c r="C104" s="162" t="s">
        <v>658</v>
      </c>
      <c r="D104" s="119" t="s">
        <v>62</v>
      </c>
      <c r="E104" s="117" t="s">
        <v>121</v>
      </c>
      <c r="F104" s="120">
        <v>49.6</v>
      </c>
      <c r="G104" s="120">
        <v>22.161999999999999</v>
      </c>
      <c r="H104" s="120">
        <v>1098.46</v>
      </c>
      <c r="I104" s="121">
        <v>23.713339999999999</v>
      </c>
      <c r="J104" s="122">
        <v>1176.181664</v>
      </c>
      <c r="K104" s="120"/>
      <c r="L104" s="123"/>
      <c r="M104" s="251"/>
      <c r="N104" s="251"/>
      <c r="O104" s="251"/>
      <c r="P104" s="229"/>
      <c r="Q104" s="229"/>
      <c r="R104" s="229"/>
      <c r="S104" s="229"/>
      <c r="T104" s="251"/>
      <c r="U104" s="252"/>
      <c r="V104" s="251"/>
      <c r="W104" s="251"/>
      <c r="X104" s="251"/>
      <c r="Y104" s="251">
        <v>23.713339999999999</v>
      </c>
      <c r="Z104" s="251">
        <f t="shared" si="20"/>
        <v>1176.181664</v>
      </c>
      <c r="AA104" s="251"/>
      <c r="AB104" s="251"/>
      <c r="AC104" s="163">
        <f t="shared" si="14"/>
        <v>23.713339999999999</v>
      </c>
      <c r="AD104" s="163">
        <f t="shared" si="14"/>
        <v>1176.181664</v>
      </c>
      <c r="AE104" s="124" t="s">
        <v>703</v>
      </c>
      <c r="AF104" s="124"/>
      <c r="AG104" s="124"/>
      <c r="AH104" s="124">
        <v>11.081</v>
      </c>
      <c r="AI104" s="124">
        <v>549.23</v>
      </c>
      <c r="AJ104" s="124"/>
      <c r="AK104" s="124"/>
      <c r="AL104" s="124"/>
      <c r="AM104" s="124"/>
      <c r="AN104" s="124"/>
      <c r="AO104" s="124"/>
      <c r="AP104" s="124"/>
      <c r="AQ104" s="124"/>
      <c r="AR104" s="124"/>
      <c r="AS104" s="124"/>
      <c r="AT104" s="124"/>
      <c r="AU104" s="124"/>
      <c r="AV104" s="124"/>
      <c r="AW104" s="124"/>
      <c r="AX104" s="124"/>
      <c r="AY104" s="124"/>
      <c r="AZ104" s="233"/>
      <c r="BA104" s="125"/>
      <c r="BB104" s="125"/>
      <c r="BC104" s="125"/>
      <c r="BD104" s="125"/>
      <c r="BE104" s="125"/>
      <c r="BF104" s="125"/>
      <c r="BG104" s="125"/>
      <c r="BH104" s="125"/>
      <c r="BI104" s="125"/>
      <c r="BJ104" s="125"/>
      <c r="BK104" s="125"/>
      <c r="BL104" s="125"/>
      <c r="BM104" s="125"/>
      <c r="BN104" s="125"/>
      <c r="BO104" s="125"/>
      <c r="BP104" s="244">
        <f t="shared" si="12"/>
        <v>11.081</v>
      </c>
      <c r="BQ104" s="248">
        <f t="shared" si="15"/>
        <v>22.161999999999999</v>
      </c>
      <c r="BR104" s="105">
        <f t="shared" si="13"/>
        <v>549.23</v>
      </c>
      <c r="BS104" s="248">
        <f t="shared" si="16"/>
        <v>1098.46</v>
      </c>
    </row>
    <row r="105" spans="1:71" s="16" customFormat="1" ht="17" x14ac:dyDescent="0.15">
      <c r="A105" s="118" t="s">
        <v>646</v>
      </c>
      <c r="B105" s="162" t="s">
        <v>420</v>
      </c>
      <c r="C105" s="162" t="s">
        <v>263</v>
      </c>
      <c r="D105" s="119" t="s">
        <v>62</v>
      </c>
      <c r="E105" s="117" t="s">
        <v>51</v>
      </c>
      <c r="F105" s="120">
        <v>109.89999999999999</v>
      </c>
      <c r="G105" s="120">
        <v>19.898453139217469</v>
      </c>
      <c r="H105" s="120">
        <v>2186.84</v>
      </c>
      <c r="I105" s="121">
        <v>22.087282984531392</v>
      </c>
      <c r="J105" s="122">
        <v>2427.3923999999997</v>
      </c>
      <c r="K105" s="120"/>
      <c r="L105" s="123"/>
      <c r="M105" s="251"/>
      <c r="N105" s="251"/>
      <c r="O105" s="251"/>
      <c r="P105" s="229"/>
      <c r="Q105" s="229"/>
      <c r="R105" s="229"/>
      <c r="S105" s="229"/>
      <c r="T105" s="251"/>
      <c r="U105" s="252"/>
      <c r="V105" s="251"/>
      <c r="W105" s="251"/>
      <c r="X105" s="251"/>
      <c r="Y105" s="251">
        <v>22.087282984531392</v>
      </c>
      <c r="Z105" s="251">
        <f t="shared" si="20"/>
        <v>2427.3923999999997</v>
      </c>
      <c r="AA105" s="251">
        <v>1.91</v>
      </c>
      <c r="AB105" s="251">
        <f>+AA105*F105</f>
        <v>209.90899999999996</v>
      </c>
      <c r="AC105" s="163">
        <f t="shared" si="14"/>
        <v>23.997282984531392</v>
      </c>
      <c r="AD105" s="163">
        <f t="shared" si="14"/>
        <v>2637.3013999999998</v>
      </c>
      <c r="AE105" s="124" t="s">
        <v>725</v>
      </c>
      <c r="AF105" s="124"/>
      <c r="AG105" s="124"/>
      <c r="AH105" s="124">
        <v>9.9492265696087347</v>
      </c>
      <c r="AI105" s="124">
        <v>1093.42</v>
      </c>
      <c r="AJ105" s="124"/>
      <c r="AK105" s="124"/>
      <c r="AL105" s="124"/>
      <c r="AM105" s="124"/>
      <c r="AN105" s="124"/>
      <c r="AO105" s="124"/>
      <c r="AP105" s="124"/>
      <c r="AQ105" s="124"/>
      <c r="AR105" s="124"/>
      <c r="AS105" s="124"/>
      <c r="AT105" s="124"/>
      <c r="AU105" s="124"/>
      <c r="AV105" s="124"/>
      <c r="AW105" s="124"/>
      <c r="AX105" s="124"/>
      <c r="AY105" s="124"/>
      <c r="AZ105" s="233"/>
      <c r="BA105" s="125"/>
      <c r="BB105" s="125"/>
      <c r="BC105" s="125"/>
      <c r="BD105" s="125"/>
      <c r="BE105" s="125"/>
      <c r="BF105" s="125"/>
      <c r="BG105" s="125"/>
      <c r="BH105" s="125"/>
      <c r="BI105" s="125"/>
      <c r="BJ105" s="125"/>
      <c r="BK105" s="125"/>
      <c r="BL105" s="125"/>
      <c r="BM105" s="125"/>
      <c r="BN105" s="125"/>
      <c r="BO105" s="125"/>
      <c r="BP105" s="244">
        <f t="shared" si="12"/>
        <v>9.9492265696087347</v>
      </c>
      <c r="BQ105" s="248">
        <f t="shared" si="15"/>
        <v>19.898453139217469</v>
      </c>
      <c r="BR105" s="105">
        <f t="shared" si="13"/>
        <v>1093.42</v>
      </c>
      <c r="BS105" s="248">
        <f t="shared" si="16"/>
        <v>2186.84</v>
      </c>
    </row>
    <row r="106" spans="1:71" s="16" customFormat="1" ht="17" x14ac:dyDescent="0.15">
      <c r="A106" s="118" t="s">
        <v>659</v>
      </c>
      <c r="B106" s="162" t="s">
        <v>420</v>
      </c>
      <c r="C106" s="162" t="s">
        <v>666</v>
      </c>
      <c r="D106" s="119" t="s">
        <v>62</v>
      </c>
      <c r="E106" s="117" t="s">
        <v>51</v>
      </c>
      <c r="F106" s="120">
        <v>62.8</v>
      </c>
      <c r="G106" s="120">
        <v>6.0235668789808914</v>
      </c>
      <c r="H106" s="120">
        <v>378.28</v>
      </c>
      <c r="I106" s="121">
        <v>4.664474522292994</v>
      </c>
      <c r="J106" s="122">
        <v>292.92900000000003</v>
      </c>
      <c r="K106" s="120"/>
      <c r="L106" s="123"/>
      <c r="M106" s="251"/>
      <c r="N106" s="251"/>
      <c r="O106" s="251"/>
      <c r="P106" s="229"/>
      <c r="Q106" s="229"/>
      <c r="R106" s="229"/>
      <c r="S106" s="229"/>
      <c r="T106" s="251"/>
      <c r="U106" s="252"/>
      <c r="V106" s="251"/>
      <c r="W106" s="251"/>
      <c r="X106" s="251"/>
      <c r="Y106" s="251">
        <v>4.664474522292994</v>
      </c>
      <c r="Z106" s="251">
        <f t="shared" si="20"/>
        <v>292.92900000000003</v>
      </c>
      <c r="AA106" s="251">
        <v>7.34</v>
      </c>
      <c r="AB106" s="251">
        <f>+AA106*F106</f>
        <v>460.952</v>
      </c>
      <c r="AC106" s="163">
        <f t="shared" si="14"/>
        <v>12.004474522292995</v>
      </c>
      <c r="AD106" s="163">
        <f t="shared" si="14"/>
        <v>753.88100000000009</v>
      </c>
      <c r="AE106" s="124" t="s">
        <v>725</v>
      </c>
      <c r="AF106" s="124">
        <v>0.91066878980891719</v>
      </c>
      <c r="AG106" s="124">
        <v>57.19</v>
      </c>
      <c r="AH106" s="124">
        <v>2.1011146496815285</v>
      </c>
      <c r="AI106" s="124">
        <v>131.94999999999999</v>
      </c>
      <c r="AJ106" s="124"/>
      <c r="AK106" s="124"/>
      <c r="AL106" s="124"/>
      <c r="AM106" s="124"/>
      <c r="AN106" s="124"/>
      <c r="AO106" s="124"/>
      <c r="AP106" s="124"/>
      <c r="AQ106" s="124"/>
      <c r="AR106" s="124"/>
      <c r="AS106" s="124"/>
      <c r="AT106" s="124"/>
      <c r="AU106" s="124"/>
      <c r="AV106" s="124"/>
      <c r="AW106" s="124"/>
      <c r="AX106" s="124"/>
      <c r="AY106" s="124"/>
      <c r="AZ106" s="233"/>
      <c r="BA106" s="125"/>
      <c r="BB106" s="125"/>
      <c r="BC106" s="125"/>
      <c r="BD106" s="125"/>
      <c r="BE106" s="125"/>
      <c r="BF106" s="125"/>
      <c r="BG106" s="125"/>
      <c r="BH106" s="125"/>
      <c r="BI106" s="125"/>
      <c r="BJ106" s="125"/>
      <c r="BK106" s="125"/>
      <c r="BL106" s="125"/>
      <c r="BM106" s="125"/>
      <c r="BN106" s="125"/>
      <c r="BO106" s="125"/>
      <c r="BP106" s="244">
        <f t="shared" si="12"/>
        <v>3.0117834394904457</v>
      </c>
      <c r="BQ106" s="248">
        <f t="shared" si="15"/>
        <v>6.0235668789808914</v>
      </c>
      <c r="BR106" s="105">
        <f t="shared" si="13"/>
        <v>189.14</v>
      </c>
      <c r="BS106" s="248">
        <f t="shared" si="16"/>
        <v>378.28</v>
      </c>
    </row>
    <row r="107" spans="1:71" s="16" customFormat="1" ht="17" x14ac:dyDescent="0.15">
      <c r="A107" s="118" t="s">
        <v>660</v>
      </c>
      <c r="B107" s="208" t="s">
        <v>421</v>
      </c>
      <c r="C107" s="162" t="s">
        <v>667</v>
      </c>
      <c r="D107" s="119" t="s">
        <v>62</v>
      </c>
      <c r="E107" s="117" t="s">
        <v>121</v>
      </c>
      <c r="F107" s="120">
        <v>11.9</v>
      </c>
      <c r="G107" s="120">
        <v>4.76</v>
      </c>
      <c r="H107" s="120">
        <v>52.66</v>
      </c>
      <c r="I107" s="121">
        <v>5.0932000000000004</v>
      </c>
      <c r="J107" s="122">
        <v>60.609080000000006</v>
      </c>
      <c r="K107" s="120"/>
      <c r="L107" s="123"/>
      <c r="M107" s="251"/>
      <c r="N107" s="251"/>
      <c r="O107" s="251"/>
      <c r="P107" s="229"/>
      <c r="Q107" s="229"/>
      <c r="R107" s="229"/>
      <c r="S107" s="229"/>
      <c r="T107" s="251"/>
      <c r="U107" s="252"/>
      <c r="V107" s="251"/>
      <c r="W107" s="251"/>
      <c r="X107" s="251"/>
      <c r="Y107" s="251">
        <v>5.0932000000000004</v>
      </c>
      <c r="Z107" s="251">
        <f t="shared" si="20"/>
        <v>60.609080000000006</v>
      </c>
      <c r="AA107" s="251"/>
      <c r="AB107" s="251"/>
      <c r="AC107" s="163">
        <f t="shared" si="14"/>
        <v>5.0932000000000004</v>
      </c>
      <c r="AD107" s="163">
        <f t="shared" si="14"/>
        <v>60.609080000000006</v>
      </c>
      <c r="AE107" s="124" t="s">
        <v>703</v>
      </c>
      <c r="AF107" s="124"/>
      <c r="AG107" s="124"/>
      <c r="AH107" s="124">
        <v>2.38</v>
      </c>
      <c r="AI107" s="124">
        <v>26.33</v>
      </c>
      <c r="AJ107" s="124"/>
      <c r="AK107" s="124"/>
      <c r="AL107" s="124"/>
      <c r="AM107" s="124"/>
      <c r="AN107" s="124"/>
      <c r="AO107" s="124"/>
      <c r="AP107" s="124"/>
      <c r="AQ107" s="124"/>
      <c r="AR107" s="124"/>
      <c r="AS107" s="124"/>
      <c r="AT107" s="124"/>
      <c r="AU107" s="124"/>
      <c r="AV107" s="124"/>
      <c r="AW107" s="124"/>
      <c r="AX107" s="124"/>
      <c r="AY107" s="124"/>
      <c r="AZ107" s="233"/>
      <c r="BA107" s="125"/>
      <c r="BB107" s="125"/>
      <c r="BC107" s="125"/>
      <c r="BD107" s="125"/>
      <c r="BE107" s="125"/>
      <c r="BF107" s="125"/>
      <c r="BG107" s="125"/>
      <c r="BH107" s="125"/>
      <c r="BI107" s="125"/>
      <c r="BJ107" s="125"/>
      <c r="BK107" s="125"/>
      <c r="BL107" s="125"/>
      <c r="BM107" s="125"/>
      <c r="BN107" s="125"/>
      <c r="BO107" s="125"/>
      <c r="BP107" s="244">
        <f t="shared" si="12"/>
        <v>2.38</v>
      </c>
      <c r="BQ107" s="248">
        <f t="shared" si="15"/>
        <v>4.76</v>
      </c>
      <c r="BR107" s="105">
        <f t="shared" si="13"/>
        <v>26.33</v>
      </c>
      <c r="BS107" s="248">
        <f t="shared" si="16"/>
        <v>52.66</v>
      </c>
    </row>
    <row r="108" spans="1:71" s="16" customFormat="1" ht="17" x14ac:dyDescent="0.15">
      <c r="A108" s="118" t="s">
        <v>661</v>
      </c>
      <c r="B108" s="162" t="s">
        <v>758</v>
      </c>
      <c r="C108" s="162" t="s">
        <v>603</v>
      </c>
      <c r="D108" s="119" t="s">
        <v>681</v>
      </c>
      <c r="E108" s="117" t="s">
        <v>51</v>
      </c>
      <c r="F108" s="120">
        <v>78.5</v>
      </c>
      <c r="G108" s="120">
        <v>1.2185987261146496</v>
      </c>
      <c r="H108" s="120">
        <v>95.66</v>
      </c>
      <c r="I108" s="121">
        <v>3</v>
      </c>
      <c r="J108" s="122">
        <v>235.5</v>
      </c>
      <c r="K108" s="120"/>
      <c r="L108" s="123"/>
      <c r="M108" s="251"/>
      <c r="N108" s="251"/>
      <c r="O108" s="251"/>
      <c r="P108" s="229"/>
      <c r="Q108" s="229"/>
      <c r="R108" s="229"/>
      <c r="S108" s="229"/>
      <c r="T108" s="251"/>
      <c r="U108" s="252"/>
      <c r="V108" s="251"/>
      <c r="W108" s="251"/>
      <c r="X108" s="251"/>
      <c r="Y108" s="251">
        <v>3</v>
      </c>
      <c r="Z108" s="251">
        <f t="shared" si="20"/>
        <v>235.5</v>
      </c>
      <c r="AA108" s="251"/>
      <c r="AB108" s="251"/>
      <c r="AC108" s="163">
        <f t="shared" si="14"/>
        <v>3</v>
      </c>
      <c r="AD108" s="163">
        <f t="shared" si="14"/>
        <v>235.5</v>
      </c>
      <c r="AE108" s="124" t="s">
        <v>703</v>
      </c>
      <c r="AF108" s="124"/>
      <c r="AG108" s="124"/>
      <c r="AH108" s="124">
        <v>0.60929936305732479</v>
      </c>
      <c r="AI108" s="124">
        <v>47.83</v>
      </c>
      <c r="AJ108" s="124"/>
      <c r="AK108" s="124"/>
      <c r="AL108" s="124"/>
      <c r="AM108" s="124"/>
      <c r="AN108" s="124"/>
      <c r="AO108" s="124"/>
      <c r="AP108" s="124"/>
      <c r="AQ108" s="124"/>
      <c r="AR108" s="124"/>
      <c r="AS108" s="124"/>
      <c r="AT108" s="124"/>
      <c r="AU108" s="124"/>
      <c r="AV108" s="124"/>
      <c r="AW108" s="124"/>
      <c r="AX108" s="124"/>
      <c r="AY108" s="124"/>
      <c r="AZ108" s="233"/>
      <c r="BA108" s="125"/>
      <c r="BB108" s="125"/>
      <c r="BC108" s="125"/>
      <c r="BD108" s="125"/>
      <c r="BE108" s="125"/>
      <c r="BF108" s="125"/>
      <c r="BG108" s="125"/>
      <c r="BH108" s="125"/>
      <c r="BI108" s="125"/>
      <c r="BJ108" s="125"/>
      <c r="BK108" s="125"/>
      <c r="BL108" s="125"/>
      <c r="BM108" s="125"/>
      <c r="BN108" s="125"/>
      <c r="BO108" s="125"/>
      <c r="BP108" s="244">
        <f t="shared" si="12"/>
        <v>0.60929936305732479</v>
      </c>
      <c r="BQ108" s="248">
        <f t="shared" si="15"/>
        <v>1.2185987261146496</v>
      </c>
      <c r="BR108" s="105">
        <f t="shared" si="13"/>
        <v>47.83</v>
      </c>
      <c r="BS108" s="248">
        <f t="shared" si="16"/>
        <v>95.66</v>
      </c>
    </row>
    <row r="109" spans="1:71" s="16" customFormat="1" ht="17" x14ac:dyDescent="0.15">
      <c r="A109" s="118" t="s">
        <v>662</v>
      </c>
      <c r="B109" s="162" t="s">
        <v>758</v>
      </c>
      <c r="C109" s="162" t="s">
        <v>704</v>
      </c>
      <c r="D109" s="119" t="s">
        <v>681</v>
      </c>
      <c r="E109" s="117" t="s">
        <v>51</v>
      </c>
      <c r="F109" s="120">
        <v>94.199999999999989</v>
      </c>
      <c r="G109" s="120">
        <v>4.753290870488323</v>
      </c>
      <c r="H109" s="120">
        <v>447.76</v>
      </c>
      <c r="I109" s="121">
        <v>6</v>
      </c>
      <c r="J109" s="122">
        <v>565.19999999999993</v>
      </c>
      <c r="K109" s="120"/>
      <c r="L109" s="123"/>
      <c r="M109" s="251"/>
      <c r="N109" s="251"/>
      <c r="O109" s="251"/>
      <c r="P109" s="229"/>
      <c r="Q109" s="229"/>
      <c r="R109" s="229"/>
      <c r="S109" s="229"/>
      <c r="T109" s="251"/>
      <c r="U109" s="252"/>
      <c r="V109" s="251"/>
      <c r="W109" s="251"/>
      <c r="X109" s="251"/>
      <c r="Y109" s="251">
        <v>6</v>
      </c>
      <c r="Z109" s="251">
        <f t="shared" si="20"/>
        <v>565.19999999999993</v>
      </c>
      <c r="AA109" s="251"/>
      <c r="AB109" s="251"/>
      <c r="AC109" s="163">
        <f t="shared" si="14"/>
        <v>6</v>
      </c>
      <c r="AD109" s="163">
        <f t="shared" si="14"/>
        <v>565.19999999999993</v>
      </c>
      <c r="AE109" s="124" t="s">
        <v>703</v>
      </c>
      <c r="AF109" s="124"/>
      <c r="AG109" s="124"/>
      <c r="AH109" s="124">
        <v>2.3766454352441615</v>
      </c>
      <c r="AI109" s="124">
        <v>223.88</v>
      </c>
      <c r="AJ109" s="124"/>
      <c r="AK109" s="124"/>
      <c r="AL109" s="124"/>
      <c r="AM109" s="124"/>
      <c r="AN109" s="124"/>
      <c r="AO109" s="124"/>
      <c r="AP109" s="124"/>
      <c r="AQ109" s="124"/>
      <c r="AR109" s="124"/>
      <c r="AS109" s="124"/>
      <c r="AT109" s="124"/>
      <c r="AU109" s="124"/>
      <c r="AV109" s="124"/>
      <c r="AW109" s="124"/>
      <c r="AX109" s="124"/>
      <c r="AY109" s="124"/>
      <c r="AZ109" s="233"/>
      <c r="BA109" s="125"/>
      <c r="BB109" s="125"/>
      <c r="BC109" s="125"/>
      <c r="BD109" s="125"/>
      <c r="BE109" s="125"/>
      <c r="BF109" s="125"/>
      <c r="BG109" s="125"/>
      <c r="BH109" s="125"/>
      <c r="BI109" s="125"/>
      <c r="BJ109" s="125"/>
      <c r="BK109" s="125"/>
      <c r="BL109" s="125"/>
      <c r="BM109" s="125"/>
      <c r="BN109" s="125"/>
      <c r="BO109" s="125"/>
      <c r="BP109" s="244">
        <f t="shared" si="12"/>
        <v>2.3766454352441615</v>
      </c>
      <c r="BQ109" s="248">
        <f t="shared" si="15"/>
        <v>4.753290870488323</v>
      </c>
      <c r="BR109" s="105">
        <f t="shared" si="13"/>
        <v>223.88</v>
      </c>
      <c r="BS109" s="248">
        <f t="shared" si="16"/>
        <v>447.76</v>
      </c>
    </row>
    <row r="110" spans="1:71" s="16" customFormat="1" ht="17" x14ac:dyDescent="0.15">
      <c r="A110" s="118" t="s">
        <v>663</v>
      </c>
      <c r="B110" s="162" t="s">
        <v>758</v>
      </c>
      <c r="C110" s="162" t="s">
        <v>705</v>
      </c>
      <c r="D110" s="119" t="s">
        <v>681</v>
      </c>
      <c r="E110" s="117" t="s">
        <v>51</v>
      </c>
      <c r="F110" s="120">
        <v>149.15</v>
      </c>
      <c r="G110" s="120">
        <v>2.8923902111967816</v>
      </c>
      <c r="H110" s="120">
        <v>431.4</v>
      </c>
      <c r="I110" s="121">
        <v>6</v>
      </c>
      <c r="J110" s="122">
        <v>894.90000000000009</v>
      </c>
      <c r="K110" s="120"/>
      <c r="L110" s="123"/>
      <c r="M110" s="251"/>
      <c r="N110" s="251"/>
      <c r="O110" s="251"/>
      <c r="P110" s="229"/>
      <c r="Q110" s="229"/>
      <c r="R110" s="229"/>
      <c r="S110" s="229"/>
      <c r="T110" s="251"/>
      <c r="U110" s="252"/>
      <c r="V110" s="251"/>
      <c r="W110" s="251"/>
      <c r="X110" s="251"/>
      <c r="Y110" s="251">
        <v>6</v>
      </c>
      <c r="Z110" s="251">
        <f t="shared" si="20"/>
        <v>894.90000000000009</v>
      </c>
      <c r="AA110" s="251"/>
      <c r="AB110" s="251"/>
      <c r="AC110" s="163">
        <f t="shared" si="14"/>
        <v>6</v>
      </c>
      <c r="AD110" s="163">
        <f t="shared" si="14"/>
        <v>894.90000000000009</v>
      </c>
      <c r="AE110" s="124" t="s">
        <v>703</v>
      </c>
      <c r="AF110" s="124"/>
      <c r="AG110" s="124"/>
      <c r="AH110" s="124">
        <v>1.4461951055983908</v>
      </c>
      <c r="AI110" s="124">
        <v>215.7</v>
      </c>
      <c r="AJ110" s="124"/>
      <c r="AK110" s="124"/>
      <c r="AL110" s="124"/>
      <c r="AM110" s="124"/>
      <c r="AN110" s="124"/>
      <c r="AO110" s="124"/>
      <c r="AP110" s="124"/>
      <c r="AQ110" s="124"/>
      <c r="AR110" s="124"/>
      <c r="AS110" s="124"/>
      <c r="AT110" s="124"/>
      <c r="AU110" s="124"/>
      <c r="AV110" s="124"/>
      <c r="AW110" s="124"/>
      <c r="AX110" s="124"/>
      <c r="AY110" s="124"/>
      <c r="AZ110" s="233"/>
      <c r="BA110" s="125"/>
      <c r="BB110" s="125"/>
      <c r="BC110" s="125"/>
      <c r="BD110" s="125"/>
      <c r="BE110" s="125"/>
      <c r="BF110" s="125"/>
      <c r="BG110" s="125"/>
      <c r="BH110" s="125"/>
      <c r="BI110" s="125"/>
      <c r="BJ110" s="125"/>
      <c r="BK110" s="125"/>
      <c r="BL110" s="125"/>
      <c r="BM110" s="125"/>
      <c r="BN110" s="125"/>
      <c r="BO110" s="125"/>
      <c r="BP110" s="244">
        <f t="shared" si="12"/>
        <v>1.4461951055983908</v>
      </c>
      <c r="BQ110" s="248">
        <f t="shared" si="15"/>
        <v>2.8923902111967816</v>
      </c>
      <c r="BR110" s="105">
        <f t="shared" si="13"/>
        <v>215.7</v>
      </c>
      <c r="BS110" s="248">
        <f t="shared" si="16"/>
        <v>431.4</v>
      </c>
    </row>
    <row r="111" spans="1:71" s="16" customFormat="1" ht="17" x14ac:dyDescent="0.15">
      <c r="A111" s="118" t="s">
        <v>664</v>
      </c>
      <c r="B111" s="162" t="s">
        <v>758</v>
      </c>
      <c r="C111" s="162" t="s">
        <v>706</v>
      </c>
      <c r="D111" s="119" t="s">
        <v>681</v>
      </c>
      <c r="E111" s="117" t="s">
        <v>51</v>
      </c>
      <c r="F111" s="120">
        <v>196.25</v>
      </c>
      <c r="G111" s="120">
        <v>3.2712356687898092</v>
      </c>
      <c r="H111" s="120">
        <v>641.98</v>
      </c>
      <c r="I111" s="121">
        <v>6</v>
      </c>
      <c r="J111" s="122">
        <v>1177.5</v>
      </c>
      <c r="K111" s="120"/>
      <c r="L111" s="123"/>
      <c r="M111" s="251"/>
      <c r="N111" s="251"/>
      <c r="O111" s="251"/>
      <c r="P111" s="229"/>
      <c r="Q111" s="229"/>
      <c r="R111" s="229"/>
      <c r="S111" s="229"/>
      <c r="T111" s="251"/>
      <c r="U111" s="252"/>
      <c r="V111" s="251"/>
      <c r="W111" s="251"/>
      <c r="X111" s="251"/>
      <c r="Y111" s="251">
        <v>6</v>
      </c>
      <c r="Z111" s="251">
        <f t="shared" si="20"/>
        <v>1177.5</v>
      </c>
      <c r="AA111" s="251"/>
      <c r="AB111" s="251"/>
      <c r="AC111" s="163">
        <f t="shared" si="14"/>
        <v>6</v>
      </c>
      <c r="AD111" s="163">
        <f t="shared" si="14"/>
        <v>1177.5</v>
      </c>
      <c r="AE111" s="124" t="s">
        <v>703</v>
      </c>
      <c r="AF111" s="124"/>
      <c r="AG111" s="124"/>
      <c r="AH111" s="124">
        <v>1.493503184713376</v>
      </c>
      <c r="AI111" s="124">
        <v>293.10000000000002</v>
      </c>
      <c r="AJ111" s="124"/>
      <c r="AK111" s="124"/>
      <c r="AL111" s="124"/>
      <c r="AM111" s="124"/>
      <c r="AN111" s="124"/>
      <c r="AO111" s="124"/>
      <c r="AP111" s="124"/>
      <c r="AQ111" s="124"/>
      <c r="AR111" s="124"/>
      <c r="AS111" s="124"/>
      <c r="AT111" s="124"/>
      <c r="AU111" s="124"/>
      <c r="AV111" s="124"/>
      <c r="AW111" s="124"/>
      <c r="AX111" s="124"/>
      <c r="AY111" s="124"/>
      <c r="AZ111" s="233"/>
      <c r="BA111" s="125"/>
      <c r="BB111" s="125"/>
      <c r="BC111" s="125"/>
      <c r="BD111" s="125"/>
      <c r="BE111" s="125"/>
      <c r="BF111" s="125"/>
      <c r="BG111" s="125"/>
      <c r="BH111" s="125"/>
      <c r="BI111" s="125"/>
      <c r="BJ111" s="235">
        <v>0.14211464968152865</v>
      </c>
      <c r="BK111" s="235">
        <v>27.89</v>
      </c>
      <c r="BL111" s="235"/>
      <c r="BM111" s="235"/>
      <c r="BN111" s="235"/>
      <c r="BO111" s="235"/>
      <c r="BP111" s="244">
        <f t="shared" si="12"/>
        <v>1.6356178343949046</v>
      </c>
      <c r="BQ111" s="248">
        <f t="shared" si="15"/>
        <v>3.2712356687898092</v>
      </c>
      <c r="BR111" s="105">
        <f t="shared" si="13"/>
        <v>320.99</v>
      </c>
      <c r="BS111" s="248">
        <f t="shared" si="16"/>
        <v>641.98</v>
      </c>
    </row>
    <row r="112" spans="1:71" s="16" customFormat="1" ht="17" x14ac:dyDescent="0.15">
      <c r="A112" s="118" t="s">
        <v>665</v>
      </c>
      <c r="B112" s="162" t="s">
        <v>758</v>
      </c>
      <c r="C112" s="162" t="s">
        <v>708</v>
      </c>
      <c r="D112" s="119" t="s">
        <v>681</v>
      </c>
      <c r="E112" s="117" t="s">
        <v>51</v>
      </c>
      <c r="F112" s="120">
        <v>47.099999999999994</v>
      </c>
      <c r="G112" s="120">
        <v>0.20849256900212315</v>
      </c>
      <c r="H112" s="120">
        <v>9.82</v>
      </c>
      <c r="I112" s="121">
        <v>1.5</v>
      </c>
      <c r="J112" s="122">
        <v>70.649999999999991</v>
      </c>
      <c r="K112" s="120"/>
      <c r="L112" s="123"/>
      <c r="M112" s="251"/>
      <c r="N112" s="251"/>
      <c r="O112" s="251"/>
      <c r="P112" s="229"/>
      <c r="Q112" s="229"/>
      <c r="R112" s="229"/>
      <c r="S112" s="229"/>
      <c r="T112" s="251"/>
      <c r="U112" s="252"/>
      <c r="V112" s="251"/>
      <c r="W112" s="251"/>
      <c r="X112" s="251"/>
      <c r="Y112" s="251">
        <v>1.5</v>
      </c>
      <c r="Z112" s="251">
        <f t="shared" si="20"/>
        <v>70.649999999999991</v>
      </c>
      <c r="AA112" s="251"/>
      <c r="AB112" s="251"/>
      <c r="AC112" s="163">
        <f t="shared" si="14"/>
        <v>1.5</v>
      </c>
      <c r="AD112" s="163">
        <f t="shared" si="14"/>
        <v>70.649999999999991</v>
      </c>
      <c r="AE112" s="124" t="s">
        <v>703</v>
      </c>
      <c r="AF112" s="124"/>
      <c r="AG112" s="124"/>
      <c r="AH112" s="124">
        <v>0.10424628450106158</v>
      </c>
      <c r="AI112" s="124">
        <v>4.91</v>
      </c>
      <c r="AJ112" s="124"/>
      <c r="AK112" s="124"/>
      <c r="AL112" s="124"/>
      <c r="AM112" s="124"/>
      <c r="AN112" s="124"/>
      <c r="AO112" s="124"/>
      <c r="AP112" s="124"/>
      <c r="AQ112" s="124"/>
      <c r="AR112" s="124"/>
      <c r="AS112" s="124"/>
      <c r="AT112" s="124"/>
      <c r="AU112" s="124"/>
      <c r="AV112" s="124"/>
      <c r="AW112" s="124"/>
      <c r="AX112" s="124"/>
      <c r="AY112" s="124"/>
      <c r="AZ112" s="233"/>
      <c r="BA112" s="125"/>
      <c r="BB112" s="125"/>
      <c r="BC112" s="125"/>
      <c r="BD112" s="125"/>
      <c r="BE112" s="125"/>
      <c r="BF112" s="125"/>
      <c r="BG112" s="125"/>
      <c r="BH112" s="125"/>
      <c r="BI112" s="125"/>
      <c r="BJ112" s="125"/>
      <c r="BK112" s="125"/>
      <c r="BL112" s="125"/>
      <c r="BM112" s="125"/>
      <c r="BN112" s="125"/>
      <c r="BO112" s="125"/>
      <c r="BP112" s="244">
        <f t="shared" si="12"/>
        <v>0.10424628450106158</v>
      </c>
      <c r="BQ112" s="248">
        <f t="shared" si="15"/>
        <v>0.20849256900212315</v>
      </c>
      <c r="BR112" s="105">
        <f t="shared" si="13"/>
        <v>4.91</v>
      </c>
      <c r="BS112" s="248">
        <f t="shared" si="16"/>
        <v>9.82</v>
      </c>
    </row>
    <row r="113" spans="1:71" s="16" customFormat="1" ht="17" x14ac:dyDescent="0.15">
      <c r="A113" s="118" t="s">
        <v>680</v>
      </c>
      <c r="B113" s="162" t="s">
        <v>758</v>
      </c>
      <c r="C113" s="162" t="s">
        <v>709</v>
      </c>
      <c r="D113" s="119" t="s">
        <v>681</v>
      </c>
      <c r="E113" s="117" t="s">
        <v>51</v>
      </c>
      <c r="F113" s="120">
        <v>62.8</v>
      </c>
      <c r="G113" s="120">
        <v>0.43407643312101912</v>
      </c>
      <c r="H113" s="120">
        <v>27.259999999999998</v>
      </c>
      <c r="I113" s="121">
        <v>1.5</v>
      </c>
      <c r="J113" s="122">
        <v>94.199999999999989</v>
      </c>
      <c r="K113" s="120"/>
      <c r="L113" s="123"/>
      <c r="M113" s="251"/>
      <c r="N113" s="251"/>
      <c r="O113" s="251"/>
      <c r="P113" s="229"/>
      <c r="Q113" s="229"/>
      <c r="R113" s="229"/>
      <c r="S113" s="229"/>
      <c r="T113" s="251"/>
      <c r="U113" s="252"/>
      <c r="V113" s="251"/>
      <c r="W113" s="251"/>
      <c r="X113" s="251"/>
      <c r="Y113" s="251">
        <v>1.5</v>
      </c>
      <c r="Z113" s="251">
        <f t="shared" si="20"/>
        <v>94.199999999999989</v>
      </c>
      <c r="AA113" s="251"/>
      <c r="AB113" s="251"/>
      <c r="AC113" s="163">
        <f t="shared" si="14"/>
        <v>1.5</v>
      </c>
      <c r="AD113" s="163">
        <f t="shared" si="14"/>
        <v>94.199999999999989</v>
      </c>
      <c r="AE113" s="124" t="s">
        <v>703</v>
      </c>
      <c r="AF113" s="124"/>
      <c r="AG113" s="124"/>
      <c r="AH113" s="124">
        <v>0.21703821656050956</v>
      </c>
      <c r="AI113" s="124">
        <v>13.629999999999999</v>
      </c>
      <c r="AJ113" s="124"/>
      <c r="AK113" s="124"/>
      <c r="AL113" s="124"/>
      <c r="AM113" s="124"/>
      <c r="AN113" s="124"/>
      <c r="AO113" s="124"/>
      <c r="AP113" s="124"/>
      <c r="AQ113" s="124"/>
      <c r="AR113" s="124"/>
      <c r="AS113" s="124"/>
      <c r="AT113" s="124"/>
      <c r="AU113" s="124"/>
      <c r="AV113" s="124"/>
      <c r="AW113" s="124"/>
      <c r="AX113" s="124"/>
      <c r="AY113" s="124"/>
      <c r="AZ113" s="233"/>
      <c r="BA113" s="125"/>
      <c r="BB113" s="125"/>
      <c r="BC113" s="125"/>
      <c r="BD113" s="125"/>
      <c r="BE113" s="125"/>
      <c r="BF113" s="125"/>
      <c r="BG113" s="125"/>
      <c r="BH113" s="125"/>
      <c r="BI113" s="125"/>
      <c r="BJ113" s="125"/>
      <c r="BK113" s="125"/>
      <c r="BL113" s="125"/>
      <c r="BM113" s="125"/>
      <c r="BN113" s="125"/>
      <c r="BO113" s="125"/>
      <c r="BP113" s="244">
        <f t="shared" si="12"/>
        <v>0.21703821656050956</v>
      </c>
      <c r="BQ113" s="248">
        <f t="shared" si="15"/>
        <v>0.43407643312101912</v>
      </c>
      <c r="BR113" s="105">
        <f t="shared" si="13"/>
        <v>13.629999999999999</v>
      </c>
      <c r="BS113" s="248">
        <f t="shared" si="16"/>
        <v>27.259999999999998</v>
      </c>
    </row>
    <row r="114" spans="1:71" s="16" customFormat="1" ht="34" x14ac:dyDescent="0.15">
      <c r="A114" s="118" t="s">
        <v>727</v>
      </c>
      <c r="B114" s="258" t="s">
        <v>730</v>
      </c>
      <c r="C114" s="118" t="s">
        <v>728</v>
      </c>
      <c r="D114" s="117" t="s">
        <v>729</v>
      </c>
      <c r="E114" s="119" t="s">
        <v>51</v>
      </c>
      <c r="F114" s="259">
        <v>2.29</v>
      </c>
      <c r="G114" s="120">
        <v>558.2660869565218</v>
      </c>
      <c r="H114" s="120">
        <v>1284</v>
      </c>
      <c r="I114" s="121"/>
      <c r="J114" s="122"/>
      <c r="K114" s="120"/>
      <c r="L114" s="123"/>
      <c r="M114" s="251"/>
      <c r="N114" s="251"/>
      <c r="O114" s="251"/>
      <c r="P114" s="229"/>
      <c r="Q114" s="229"/>
      <c r="R114" s="229"/>
      <c r="S114" s="229"/>
      <c r="T114" s="251"/>
      <c r="U114" s="252"/>
      <c r="V114" s="251"/>
      <c r="W114" s="251"/>
      <c r="X114" s="251"/>
      <c r="Y114" s="251"/>
      <c r="Z114" s="251"/>
      <c r="AA114" s="251">
        <f>+G114*1.1</f>
        <v>614.09269565217403</v>
      </c>
      <c r="AB114" s="251">
        <f>+AA114*F114</f>
        <v>1406.2722730434787</v>
      </c>
      <c r="AC114" s="163">
        <f t="shared" ref="AC114:AD118" si="21">+I114+AA114</f>
        <v>614.09269565217403</v>
      </c>
      <c r="AD114" s="163">
        <f t="shared" si="21"/>
        <v>1406.2722730434787</v>
      </c>
      <c r="AE114" s="124" t="s">
        <v>725</v>
      </c>
      <c r="AF114" s="124">
        <v>50.965217391304364</v>
      </c>
      <c r="AG114" s="124">
        <v>117.22000000000003</v>
      </c>
      <c r="AH114" s="124">
        <v>7.22</v>
      </c>
      <c r="AI114" s="124">
        <v>16.600000000000001</v>
      </c>
      <c r="AJ114" s="124">
        <v>25.826086956521742</v>
      </c>
      <c r="AK114" s="124">
        <v>59.4</v>
      </c>
      <c r="AL114" s="124"/>
      <c r="AM114" s="124"/>
      <c r="AN114" s="124"/>
      <c r="AO114" s="124"/>
      <c r="AP114" s="124"/>
      <c r="AQ114" s="124"/>
      <c r="AR114" s="124"/>
      <c r="AS114" s="124"/>
      <c r="AT114" s="124"/>
      <c r="AU114" s="124"/>
      <c r="AV114" s="124"/>
      <c r="AW114" s="124"/>
      <c r="AX114" s="124"/>
      <c r="AY114" s="124"/>
      <c r="AZ114" s="233"/>
      <c r="BA114" s="125"/>
      <c r="BB114" s="125"/>
      <c r="BC114" s="125"/>
      <c r="BD114" s="125">
        <v>195.1217391304348</v>
      </c>
      <c r="BE114" s="125">
        <v>448.78000000000003</v>
      </c>
      <c r="BF114" s="125"/>
      <c r="BG114" s="125"/>
      <c r="BH114" s="125"/>
      <c r="BI114" s="125"/>
      <c r="BJ114" s="125"/>
      <c r="BK114" s="125"/>
      <c r="BL114" s="125"/>
      <c r="BM114" s="125"/>
      <c r="BN114" s="125"/>
      <c r="BO114" s="125"/>
      <c r="BP114" s="244">
        <f t="shared" si="12"/>
        <v>279.1330434782609</v>
      </c>
      <c r="BQ114" s="248">
        <f t="shared" si="15"/>
        <v>558.2660869565218</v>
      </c>
      <c r="BR114" s="105">
        <f t="shared" si="13"/>
        <v>642</v>
      </c>
      <c r="BS114" s="248">
        <f t="shared" si="16"/>
        <v>1284</v>
      </c>
    </row>
    <row r="115" spans="1:71" s="16" customFormat="1" ht="17" hidden="1" x14ac:dyDescent="0.15">
      <c r="A115" s="118" t="s">
        <v>736</v>
      </c>
      <c r="B115" s="162" t="s">
        <v>285</v>
      </c>
      <c r="C115" s="162" t="s">
        <v>746</v>
      </c>
      <c r="D115" s="119" t="s">
        <v>648</v>
      </c>
      <c r="E115" s="119" t="s">
        <v>121</v>
      </c>
      <c r="F115" s="259">
        <v>4.05</v>
      </c>
      <c r="G115" s="120">
        <v>1565.9019999999996</v>
      </c>
      <c r="H115" s="120">
        <v>6219.84</v>
      </c>
      <c r="I115" s="121"/>
      <c r="J115" s="122"/>
      <c r="K115" s="120"/>
      <c r="L115" s="123"/>
      <c r="M115" s="251"/>
      <c r="N115" s="251"/>
      <c r="O115" s="251"/>
      <c r="P115" s="229"/>
      <c r="Q115" s="229"/>
      <c r="R115" s="229"/>
      <c r="S115" s="229"/>
      <c r="T115" s="251"/>
      <c r="U115" s="252"/>
      <c r="V115" s="251"/>
      <c r="W115" s="251"/>
      <c r="X115" s="251"/>
      <c r="Y115" s="251"/>
      <c r="Z115" s="251"/>
      <c r="AA115" s="251">
        <f>+G115*1.06</f>
        <v>1659.8561199999997</v>
      </c>
      <c r="AB115" s="251">
        <f>+AA115*F115</f>
        <v>6722.4172859999981</v>
      </c>
      <c r="AC115" s="163">
        <f t="shared" si="21"/>
        <v>1659.8561199999997</v>
      </c>
      <c r="AD115" s="163">
        <f t="shared" si="21"/>
        <v>6722.4172859999981</v>
      </c>
      <c r="AE115" s="124" t="s">
        <v>725</v>
      </c>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233"/>
      <c r="BA115" s="125"/>
      <c r="BB115" s="125"/>
      <c r="BC115" s="125"/>
      <c r="BD115" s="125"/>
      <c r="BE115" s="125"/>
      <c r="BF115" s="125">
        <v>782.95099999999979</v>
      </c>
      <c r="BG115" s="125">
        <v>3109.92</v>
      </c>
      <c r="BH115" s="125"/>
      <c r="BI115" s="125"/>
      <c r="BJ115" s="125"/>
      <c r="BK115" s="125"/>
      <c r="BL115" s="125"/>
      <c r="BM115" s="125"/>
      <c r="BN115" s="125"/>
      <c r="BO115" s="125"/>
      <c r="BP115" s="244">
        <f t="shared" si="12"/>
        <v>782.95099999999979</v>
      </c>
      <c r="BQ115" s="248">
        <f t="shared" si="15"/>
        <v>1565.9019999999996</v>
      </c>
      <c r="BR115" s="105">
        <f t="shared" si="13"/>
        <v>3109.92</v>
      </c>
      <c r="BS115" s="248">
        <f t="shared" si="16"/>
        <v>6219.84</v>
      </c>
    </row>
    <row r="116" spans="1:71" s="16" customFormat="1" ht="17" hidden="1" x14ac:dyDescent="0.15">
      <c r="A116" s="118" t="s">
        <v>740</v>
      </c>
      <c r="B116" s="162" t="s">
        <v>285</v>
      </c>
      <c r="C116" s="162" t="s">
        <v>745</v>
      </c>
      <c r="D116" s="119" t="s">
        <v>648</v>
      </c>
      <c r="E116" s="119" t="s">
        <v>121</v>
      </c>
      <c r="F116" s="259">
        <v>5.41</v>
      </c>
      <c r="G116" s="120">
        <v>635.42200000000003</v>
      </c>
      <c r="H116" s="120">
        <v>3098.9799999999996</v>
      </c>
      <c r="I116" s="121"/>
      <c r="J116" s="122"/>
      <c r="K116" s="120"/>
      <c r="L116" s="123"/>
      <c r="M116" s="251"/>
      <c r="N116" s="251"/>
      <c r="O116" s="251"/>
      <c r="P116" s="229"/>
      <c r="Q116" s="229"/>
      <c r="R116" s="229"/>
      <c r="S116" s="229"/>
      <c r="T116" s="251"/>
      <c r="U116" s="252"/>
      <c r="V116" s="251"/>
      <c r="W116" s="251"/>
      <c r="X116" s="251"/>
      <c r="Y116" s="251"/>
      <c r="Z116" s="251"/>
      <c r="AA116" s="251">
        <f>+G116*1.06</f>
        <v>673.54732000000001</v>
      </c>
      <c r="AB116" s="251">
        <f t="shared" ref="AB116:AB118" si="22">+AA116*F116</f>
        <v>3643.8910012000001</v>
      </c>
      <c r="AC116" s="163">
        <f t="shared" si="21"/>
        <v>673.54732000000001</v>
      </c>
      <c r="AD116" s="163">
        <f t="shared" si="21"/>
        <v>3643.8910012000001</v>
      </c>
      <c r="AE116" s="124" t="s">
        <v>725</v>
      </c>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233"/>
      <c r="BA116" s="125"/>
      <c r="BB116" s="125"/>
      <c r="BC116" s="125"/>
      <c r="BD116" s="125"/>
      <c r="BE116" s="125"/>
      <c r="BF116" s="125">
        <v>317.71100000000001</v>
      </c>
      <c r="BG116" s="125">
        <v>1549.4899999999998</v>
      </c>
      <c r="BH116" s="125"/>
      <c r="BI116" s="125"/>
      <c r="BJ116" s="125"/>
      <c r="BK116" s="125"/>
      <c r="BL116" s="125"/>
      <c r="BM116" s="125"/>
      <c r="BN116" s="125"/>
      <c r="BO116" s="125"/>
      <c r="BP116" s="244">
        <f t="shared" si="12"/>
        <v>317.71100000000001</v>
      </c>
      <c r="BQ116" s="248">
        <f t="shared" si="15"/>
        <v>635.42200000000003</v>
      </c>
      <c r="BR116" s="105">
        <f t="shared" si="13"/>
        <v>1549.4899999999998</v>
      </c>
      <c r="BS116" s="248">
        <f t="shared" si="16"/>
        <v>3098.9799999999996</v>
      </c>
    </row>
    <row r="117" spans="1:71" s="16" customFormat="1" ht="17" hidden="1" x14ac:dyDescent="0.15">
      <c r="A117" s="118" t="s">
        <v>741</v>
      </c>
      <c r="B117" s="258" t="s">
        <v>743</v>
      </c>
      <c r="C117" s="162" t="s">
        <v>744</v>
      </c>
      <c r="D117" s="119" t="s">
        <v>62</v>
      </c>
      <c r="E117" s="119" t="s">
        <v>51</v>
      </c>
      <c r="F117" s="259">
        <v>47.1</v>
      </c>
      <c r="G117" s="120">
        <v>1.1881104033970276</v>
      </c>
      <c r="H117" s="120">
        <v>55.96</v>
      </c>
      <c r="I117" s="121"/>
      <c r="J117" s="122"/>
      <c r="K117" s="120"/>
      <c r="L117" s="123"/>
      <c r="M117" s="251"/>
      <c r="N117" s="251"/>
      <c r="O117" s="251"/>
      <c r="P117" s="229"/>
      <c r="Q117" s="229"/>
      <c r="R117" s="229"/>
      <c r="S117" s="229"/>
      <c r="T117" s="251"/>
      <c r="U117" s="252"/>
      <c r="V117" s="251"/>
      <c r="W117" s="251"/>
      <c r="X117" s="251"/>
      <c r="Y117" s="251"/>
      <c r="Z117" s="251"/>
      <c r="AA117" s="251">
        <v>9</v>
      </c>
      <c r="AB117" s="251">
        <f t="shared" si="22"/>
        <v>423.90000000000003</v>
      </c>
      <c r="AC117" s="163">
        <f t="shared" si="21"/>
        <v>9</v>
      </c>
      <c r="AD117" s="163">
        <f t="shared" si="21"/>
        <v>423.90000000000003</v>
      </c>
      <c r="AE117" s="124" t="s">
        <v>725</v>
      </c>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233"/>
      <c r="BA117" s="125"/>
      <c r="BB117" s="125"/>
      <c r="BC117" s="125"/>
      <c r="BD117" s="125"/>
      <c r="BE117" s="125"/>
      <c r="BF117" s="125">
        <v>0.59405520169851378</v>
      </c>
      <c r="BG117" s="125">
        <v>27.98</v>
      </c>
      <c r="BH117" s="125"/>
      <c r="BI117" s="125"/>
      <c r="BJ117" s="125"/>
      <c r="BK117" s="125"/>
      <c r="BL117" s="125"/>
      <c r="BM117" s="125"/>
      <c r="BN117" s="125"/>
      <c r="BO117" s="125"/>
      <c r="BP117" s="244">
        <f t="shared" si="12"/>
        <v>0.59405520169851378</v>
      </c>
      <c r="BQ117" s="248">
        <f t="shared" si="15"/>
        <v>1.1881104033970276</v>
      </c>
      <c r="BR117" s="105">
        <f t="shared" si="13"/>
        <v>27.98</v>
      </c>
      <c r="BS117" s="248">
        <f t="shared" si="16"/>
        <v>55.96</v>
      </c>
    </row>
    <row r="118" spans="1:71" s="16" customFormat="1" ht="17" hidden="1" x14ac:dyDescent="0.15">
      <c r="A118" s="118" t="s">
        <v>742</v>
      </c>
      <c r="B118" s="258" t="s">
        <v>119</v>
      </c>
      <c r="C118" s="118" t="s">
        <v>747</v>
      </c>
      <c r="D118" s="117" t="s">
        <v>218</v>
      </c>
      <c r="E118" s="119" t="s">
        <v>121</v>
      </c>
      <c r="F118" s="259">
        <v>172</v>
      </c>
      <c r="G118" s="120">
        <v>369.21600000000001</v>
      </c>
      <c r="H118" s="120">
        <v>63385.2</v>
      </c>
      <c r="I118" s="121"/>
      <c r="J118" s="122"/>
      <c r="K118" s="120"/>
      <c r="L118" s="123"/>
      <c r="M118" s="251"/>
      <c r="N118" s="251"/>
      <c r="O118" s="251"/>
      <c r="P118" s="229"/>
      <c r="Q118" s="229"/>
      <c r="R118" s="229"/>
      <c r="S118" s="229"/>
      <c r="T118" s="251"/>
      <c r="U118" s="252"/>
      <c r="V118" s="251"/>
      <c r="W118" s="251"/>
      <c r="X118" s="251"/>
      <c r="Y118" s="251"/>
      <c r="Z118" s="251"/>
      <c r="AA118" s="251">
        <f>+G118*1.1</f>
        <v>406.13760000000002</v>
      </c>
      <c r="AB118" s="251">
        <f t="shared" si="22"/>
        <v>69855.667199999996</v>
      </c>
      <c r="AC118" s="163">
        <f t="shared" si="21"/>
        <v>406.13760000000002</v>
      </c>
      <c r="AD118" s="163">
        <f t="shared" si="21"/>
        <v>69855.667199999996</v>
      </c>
      <c r="AE118" s="124" t="s">
        <v>725</v>
      </c>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233"/>
      <c r="BA118" s="125"/>
      <c r="BB118" s="125"/>
      <c r="BC118" s="125"/>
      <c r="BD118" s="125"/>
      <c r="BE118" s="125"/>
      <c r="BF118" s="125">
        <v>184.608</v>
      </c>
      <c r="BG118" s="125">
        <v>31692.6</v>
      </c>
      <c r="BH118" s="125"/>
      <c r="BI118" s="125"/>
      <c r="BJ118" s="125"/>
      <c r="BK118" s="125"/>
      <c r="BL118" s="125"/>
      <c r="BM118" s="125"/>
      <c r="BN118" s="125"/>
      <c r="BO118" s="125"/>
      <c r="BP118" s="244">
        <f t="shared" si="12"/>
        <v>184.608</v>
      </c>
      <c r="BQ118" s="248">
        <f t="shared" si="15"/>
        <v>369.21600000000001</v>
      </c>
      <c r="BR118" s="105">
        <f t="shared" si="13"/>
        <v>31692.6</v>
      </c>
      <c r="BS118" s="248">
        <f t="shared" si="16"/>
        <v>63385.2</v>
      </c>
    </row>
    <row r="119" spans="1:71" s="16" customFormat="1" ht="17" hidden="1" x14ac:dyDescent="0.15">
      <c r="A119" s="118" t="s">
        <v>755</v>
      </c>
      <c r="B119" s="258" t="s">
        <v>759</v>
      </c>
      <c r="C119" s="118" t="s">
        <v>756</v>
      </c>
      <c r="D119" s="119" t="s">
        <v>681</v>
      </c>
      <c r="E119" s="119" t="s">
        <v>51</v>
      </c>
      <c r="F119" s="259">
        <v>78.5</v>
      </c>
      <c r="G119" s="120">
        <v>79.811111272356698</v>
      </c>
      <c r="H119" s="120">
        <v>6265.1722348800013</v>
      </c>
      <c r="I119" s="121"/>
      <c r="J119" s="122"/>
      <c r="K119" s="120"/>
      <c r="L119" s="123"/>
      <c r="M119" s="251"/>
      <c r="N119" s="251"/>
      <c r="O119" s="251"/>
      <c r="P119" s="229"/>
      <c r="Q119" s="229"/>
      <c r="R119" s="229"/>
      <c r="S119" s="229"/>
      <c r="T119" s="251"/>
      <c r="U119" s="252"/>
      <c r="V119" s="251"/>
      <c r="W119" s="251"/>
      <c r="X119" s="251"/>
      <c r="Y119" s="251"/>
      <c r="Z119" s="251"/>
      <c r="AA119" s="251">
        <v>91</v>
      </c>
      <c r="AB119" s="251">
        <f t="shared" ref="AB119:AB126" si="23">+AA119*F119</f>
        <v>7143.5</v>
      </c>
      <c r="AC119" s="163">
        <f t="shared" ref="AC119:AC126" si="24">+I119+AA119</f>
        <v>91</v>
      </c>
      <c r="AD119" s="163">
        <f t="shared" ref="AD119:AD126" si="25">+J119+AB119</f>
        <v>7143.5</v>
      </c>
      <c r="AE119" s="124" t="s">
        <v>725</v>
      </c>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233"/>
      <c r="BA119" s="125"/>
      <c r="BB119" s="125"/>
      <c r="BC119" s="125"/>
      <c r="BD119" s="125"/>
      <c r="BE119" s="125"/>
      <c r="BF119" s="125"/>
      <c r="BG119" s="125"/>
      <c r="BH119" s="125"/>
      <c r="BI119" s="125"/>
      <c r="BJ119" s="125">
        <v>39.905555636178349</v>
      </c>
      <c r="BK119" s="125">
        <v>3132.5861174400006</v>
      </c>
      <c r="BL119" s="125"/>
      <c r="BM119" s="125"/>
      <c r="BN119" s="125"/>
      <c r="BO119" s="125"/>
      <c r="BP119" s="244">
        <f t="shared" si="12"/>
        <v>39.905555636178349</v>
      </c>
      <c r="BQ119" s="248">
        <f t="shared" si="15"/>
        <v>79.811111272356698</v>
      </c>
      <c r="BR119" s="105">
        <f t="shared" si="13"/>
        <v>3132.5861174400006</v>
      </c>
      <c r="BS119" s="248">
        <f t="shared" si="16"/>
        <v>6265.1722348800013</v>
      </c>
    </row>
    <row r="120" spans="1:71" s="16" customFormat="1" ht="17" hidden="1" x14ac:dyDescent="0.15">
      <c r="A120" s="118" t="s">
        <v>757</v>
      </c>
      <c r="B120" s="258" t="s">
        <v>759</v>
      </c>
      <c r="C120" s="118" t="s">
        <v>134</v>
      </c>
      <c r="D120" s="119" t="s">
        <v>681</v>
      </c>
      <c r="E120" s="119" t="s">
        <v>51</v>
      </c>
      <c r="F120" s="259">
        <v>94.199999999999989</v>
      </c>
      <c r="G120" s="120">
        <v>140.74387145375798</v>
      </c>
      <c r="H120" s="120">
        <v>13258.072690944002</v>
      </c>
      <c r="I120" s="121"/>
      <c r="J120" s="122"/>
      <c r="K120" s="120"/>
      <c r="L120" s="123"/>
      <c r="M120" s="251"/>
      <c r="N120" s="251"/>
      <c r="O120" s="251"/>
      <c r="P120" s="229"/>
      <c r="Q120" s="229"/>
      <c r="R120" s="229"/>
      <c r="S120" s="229"/>
      <c r="T120" s="251"/>
      <c r="U120" s="252"/>
      <c r="V120" s="251"/>
      <c r="W120" s="251"/>
      <c r="X120" s="251"/>
      <c r="Y120" s="251"/>
      <c r="Z120" s="251"/>
      <c r="AA120" s="251">
        <v>160</v>
      </c>
      <c r="AB120" s="251">
        <f t="shared" si="23"/>
        <v>15071.999999999998</v>
      </c>
      <c r="AC120" s="163">
        <f t="shared" si="24"/>
        <v>160</v>
      </c>
      <c r="AD120" s="163">
        <f t="shared" si="25"/>
        <v>15071.999999999998</v>
      </c>
      <c r="AE120" s="124" t="s">
        <v>725</v>
      </c>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233"/>
      <c r="BA120" s="125"/>
      <c r="BB120" s="125"/>
      <c r="BC120" s="125"/>
      <c r="BD120" s="125"/>
      <c r="BE120" s="125"/>
      <c r="BF120" s="125"/>
      <c r="BG120" s="125"/>
      <c r="BH120" s="125"/>
      <c r="BI120" s="125"/>
      <c r="BJ120" s="125">
        <v>70.371935726878988</v>
      </c>
      <c r="BK120" s="125">
        <v>6629.0363454720009</v>
      </c>
      <c r="BL120" s="125"/>
      <c r="BM120" s="125"/>
      <c r="BN120" s="125"/>
      <c r="BO120" s="125"/>
      <c r="BP120" s="244">
        <f t="shared" si="12"/>
        <v>70.371935726878988</v>
      </c>
      <c r="BQ120" s="248">
        <f t="shared" si="15"/>
        <v>140.74387145375798</v>
      </c>
      <c r="BR120" s="105">
        <f t="shared" si="13"/>
        <v>6629.0363454720009</v>
      </c>
      <c r="BS120" s="248">
        <f t="shared" si="16"/>
        <v>13258.072690944002</v>
      </c>
    </row>
    <row r="121" spans="1:71" s="16" customFormat="1" ht="17" hidden="1" x14ac:dyDescent="0.15">
      <c r="A121" s="118" t="s">
        <v>760</v>
      </c>
      <c r="B121" s="258" t="s">
        <v>759</v>
      </c>
      <c r="C121" s="118" t="s">
        <v>712</v>
      </c>
      <c r="D121" s="119" t="s">
        <v>681</v>
      </c>
      <c r="E121" s="119" t="s">
        <v>51</v>
      </c>
      <c r="F121" s="259">
        <f>6*7.85</f>
        <v>47.099999999999994</v>
      </c>
      <c r="G121" s="120">
        <v>31.438833129171975</v>
      </c>
      <c r="H121" s="120">
        <v>1480.7690403840002</v>
      </c>
      <c r="I121" s="121"/>
      <c r="J121" s="122"/>
      <c r="K121" s="120"/>
      <c r="L121" s="123"/>
      <c r="M121" s="251"/>
      <c r="N121" s="251"/>
      <c r="O121" s="251"/>
      <c r="P121" s="229"/>
      <c r="Q121" s="229"/>
      <c r="R121" s="229"/>
      <c r="S121" s="229"/>
      <c r="T121" s="251"/>
      <c r="U121" s="252"/>
      <c r="V121" s="251"/>
      <c r="W121" s="251"/>
      <c r="X121" s="251"/>
      <c r="Y121" s="251"/>
      <c r="Z121" s="251"/>
      <c r="AA121" s="251">
        <v>38</v>
      </c>
      <c r="AB121" s="251">
        <f t="shared" si="23"/>
        <v>1789.7999999999997</v>
      </c>
      <c r="AC121" s="163">
        <f t="shared" si="24"/>
        <v>38</v>
      </c>
      <c r="AD121" s="163">
        <f t="shared" si="25"/>
        <v>1789.7999999999997</v>
      </c>
      <c r="AE121" s="124" t="s">
        <v>725</v>
      </c>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233"/>
      <c r="BA121" s="125"/>
      <c r="BB121" s="125"/>
      <c r="BC121" s="125"/>
      <c r="BD121" s="125"/>
      <c r="BE121" s="125"/>
      <c r="BF121" s="125"/>
      <c r="BG121" s="125"/>
      <c r="BH121" s="125"/>
      <c r="BI121" s="125"/>
      <c r="BJ121" s="125">
        <v>15.719416564585988</v>
      </c>
      <c r="BK121" s="125">
        <v>740.38452019200008</v>
      </c>
      <c r="BL121" s="125"/>
      <c r="BM121" s="125"/>
      <c r="BN121" s="125"/>
      <c r="BO121" s="125"/>
      <c r="BP121" s="244">
        <f t="shared" si="12"/>
        <v>15.719416564585988</v>
      </c>
      <c r="BQ121" s="248">
        <f t="shared" si="15"/>
        <v>31.438833129171975</v>
      </c>
      <c r="BR121" s="105">
        <f t="shared" si="13"/>
        <v>740.38452019200008</v>
      </c>
      <c r="BS121" s="248">
        <f t="shared" si="16"/>
        <v>1480.7690403840002</v>
      </c>
    </row>
    <row r="122" spans="1:71" s="16" customFormat="1" ht="17" hidden="1" x14ac:dyDescent="0.15">
      <c r="A122" s="118" t="s">
        <v>761</v>
      </c>
      <c r="B122" s="258" t="s">
        <v>759</v>
      </c>
      <c r="C122" s="118" t="s">
        <v>762</v>
      </c>
      <c r="D122" s="119" t="s">
        <v>681</v>
      </c>
      <c r="E122" s="119" t="s">
        <v>51</v>
      </c>
      <c r="F122" s="259">
        <f>8*7.85</f>
        <v>62.8</v>
      </c>
      <c r="G122" s="120">
        <v>486.56112152866251</v>
      </c>
      <c r="H122" s="120">
        <v>30556.038432000001</v>
      </c>
      <c r="I122" s="121"/>
      <c r="J122" s="122"/>
      <c r="K122" s="120"/>
      <c r="L122" s="123"/>
      <c r="M122" s="251"/>
      <c r="N122" s="251"/>
      <c r="O122" s="251"/>
      <c r="P122" s="229"/>
      <c r="Q122" s="229"/>
      <c r="R122" s="229"/>
      <c r="S122" s="229"/>
      <c r="T122" s="251"/>
      <c r="U122" s="252"/>
      <c r="V122" s="251"/>
      <c r="W122" s="251"/>
      <c r="X122" s="251"/>
      <c r="Y122" s="251"/>
      <c r="Z122" s="251"/>
      <c r="AA122" s="251">
        <v>555</v>
      </c>
      <c r="AB122" s="251">
        <f t="shared" si="23"/>
        <v>34854</v>
      </c>
      <c r="AC122" s="163">
        <f t="shared" si="24"/>
        <v>555</v>
      </c>
      <c r="AD122" s="163">
        <f t="shared" si="25"/>
        <v>34854</v>
      </c>
      <c r="AE122" s="124" t="s">
        <v>725</v>
      </c>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233"/>
      <c r="BA122" s="125"/>
      <c r="BB122" s="125"/>
      <c r="BC122" s="125"/>
      <c r="BD122" s="125"/>
      <c r="BE122" s="125"/>
      <c r="BF122" s="125"/>
      <c r="BG122" s="125"/>
      <c r="BH122" s="125"/>
      <c r="BI122" s="125"/>
      <c r="BJ122" s="125">
        <v>243.28056076433126</v>
      </c>
      <c r="BK122" s="125">
        <v>15278.019216000001</v>
      </c>
      <c r="BL122" s="125"/>
      <c r="BM122" s="125"/>
      <c r="BN122" s="125"/>
      <c r="BO122" s="125"/>
      <c r="BP122" s="244">
        <f t="shared" si="12"/>
        <v>243.28056076433126</v>
      </c>
      <c r="BQ122" s="248">
        <f t="shared" si="15"/>
        <v>486.56112152866251</v>
      </c>
      <c r="BR122" s="105">
        <f t="shared" si="13"/>
        <v>15278.019216000001</v>
      </c>
      <c r="BS122" s="248">
        <f t="shared" si="16"/>
        <v>30556.038432000001</v>
      </c>
    </row>
    <row r="123" spans="1:71" s="16" customFormat="1" ht="17" hidden="1" x14ac:dyDescent="0.15">
      <c r="A123" s="118" t="s">
        <v>761</v>
      </c>
      <c r="B123" s="258" t="s">
        <v>763</v>
      </c>
      <c r="C123" s="118" t="s">
        <v>132</v>
      </c>
      <c r="D123" s="119" t="s">
        <v>681</v>
      </c>
      <c r="E123" s="119" t="s">
        <v>121</v>
      </c>
      <c r="F123" s="259">
        <v>8.3000000000000007</v>
      </c>
      <c r="G123" s="120">
        <v>1050.7380000000001</v>
      </c>
      <c r="H123" s="120">
        <v>8699.66</v>
      </c>
      <c r="I123" s="121"/>
      <c r="J123" s="122"/>
      <c r="K123" s="120"/>
      <c r="L123" s="123"/>
      <c r="M123" s="251"/>
      <c r="N123" s="251"/>
      <c r="O123" s="251"/>
      <c r="P123" s="229"/>
      <c r="Q123" s="229"/>
      <c r="R123" s="229"/>
      <c r="S123" s="229"/>
      <c r="T123" s="251"/>
      <c r="U123" s="252"/>
      <c r="V123" s="251"/>
      <c r="W123" s="251"/>
      <c r="X123" s="251"/>
      <c r="Y123" s="251"/>
      <c r="Z123" s="251"/>
      <c r="AA123" s="251">
        <v>1150</v>
      </c>
      <c r="AB123" s="251">
        <f t="shared" si="23"/>
        <v>9545</v>
      </c>
      <c r="AC123" s="163">
        <f t="shared" si="24"/>
        <v>1150</v>
      </c>
      <c r="AD123" s="163">
        <f t="shared" si="25"/>
        <v>9545</v>
      </c>
      <c r="AE123" s="124" t="s">
        <v>725</v>
      </c>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233"/>
      <c r="BA123" s="125"/>
      <c r="BB123" s="125"/>
      <c r="BC123" s="125"/>
      <c r="BD123" s="125"/>
      <c r="BE123" s="125"/>
      <c r="BF123" s="125"/>
      <c r="BG123" s="125"/>
      <c r="BH123" s="125"/>
      <c r="BI123" s="125"/>
      <c r="BJ123" s="125">
        <v>525.36900000000003</v>
      </c>
      <c r="BK123" s="125">
        <v>4349.83</v>
      </c>
      <c r="BL123" s="125"/>
      <c r="BM123" s="125"/>
      <c r="BN123" s="125"/>
      <c r="BO123" s="125"/>
      <c r="BP123" s="244">
        <f t="shared" si="12"/>
        <v>525.36900000000003</v>
      </c>
      <c r="BQ123" s="248">
        <f t="shared" si="15"/>
        <v>1050.7380000000001</v>
      </c>
      <c r="BR123" s="105">
        <f t="shared" si="13"/>
        <v>4349.83</v>
      </c>
      <c r="BS123" s="248">
        <f t="shared" si="16"/>
        <v>8699.66</v>
      </c>
    </row>
    <row r="124" spans="1:71" s="16" customFormat="1" ht="17" hidden="1" x14ac:dyDescent="0.15">
      <c r="A124" s="118" t="s">
        <v>770</v>
      </c>
      <c r="B124" s="258" t="s">
        <v>118</v>
      </c>
      <c r="C124" s="118" t="s">
        <v>771</v>
      </c>
      <c r="D124" s="119" t="s">
        <v>62</v>
      </c>
      <c r="E124" s="119" t="s">
        <v>121</v>
      </c>
      <c r="F124" s="259">
        <v>67.3</v>
      </c>
      <c r="G124" s="120">
        <v>273.41800000000001</v>
      </c>
      <c r="H124" s="120">
        <v>18401.031399999996</v>
      </c>
      <c r="I124" s="121"/>
      <c r="J124" s="122"/>
      <c r="K124" s="120"/>
      <c r="L124" s="123"/>
      <c r="M124" s="251"/>
      <c r="N124" s="251"/>
      <c r="O124" s="251"/>
      <c r="P124" s="229"/>
      <c r="Q124" s="229"/>
      <c r="R124" s="229"/>
      <c r="S124" s="229"/>
      <c r="T124" s="251"/>
      <c r="U124" s="252"/>
      <c r="V124" s="251"/>
      <c r="W124" s="251"/>
      <c r="X124" s="251"/>
      <c r="Y124" s="251"/>
      <c r="Z124" s="251"/>
      <c r="AA124" s="251">
        <v>293</v>
      </c>
      <c r="AB124" s="251">
        <f t="shared" si="23"/>
        <v>19718.899999999998</v>
      </c>
      <c r="AC124" s="163">
        <f t="shared" si="24"/>
        <v>293</v>
      </c>
      <c r="AD124" s="163">
        <f t="shared" si="25"/>
        <v>19718.899999999998</v>
      </c>
      <c r="AE124" s="124" t="s">
        <v>725</v>
      </c>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233"/>
      <c r="BA124" s="125"/>
      <c r="BB124" s="125"/>
      <c r="BC124" s="125"/>
      <c r="BD124" s="125"/>
      <c r="BE124" s="125"/>
      <c r="BF124" s="125"/>
      <c r="BG124" s="125"/>
      <c r="BH124" s="125"/>
      <c r="BI124" s="125"/>
      <c r="BJ124" s="125"/>
      <c r="BK124" s="125"/>
      <c r="BL124" s="125">
        <v>136.709</v>
      </c>
      <c r="BM124" s="125">
        <v>9200.5156999999981</v>
      </c>
      <c r="BN124" s="125"/>
      <c r="BO124" s="125"/>
      <c r="BP124" s="244">
        <f t="shared" si="12"/>
        <v>136.709</v>
      </c>
      <c r="BQ124" s="248">
        <f t="shared" si="15"/>
        <v>273.41800000000001</v>
      </c>
      <c r="BR124" s="105">
        <f t="shared" si="13"/>
        <v>9200.5156999999981</v>
      </c>
      <c r="BS124" s="248">
        <f t="shared" si="16"/>
        <v>18401.031399999996</v>
      </c>
    </row>
    <row r="125" spans="1:71" s="16" customFormat="1" ht="17" hidden="1" x14ac:dyDescent="0.15">
      <c r="A125" s="118" t="s">
        <v>780</v>
      </c>
      <c r="B125" s="258" t="s">
        <v>119</v>
      </c>
      <c r="C125" s="118" t="s">
        <v>781</v>
      </c>
      <c r="D125" s="119" t="s">
        <v>62</v>
      </c>
      <c r="E125" s="119" t="s">
        <v>121</v>
      </c>
      <c r="F125" s="259">
        <v>14</v>
      </c>
      <c r="G125" s="120">
        <v>14.268000000000001</v>
      </c>
      <c r="H125" s="120">
        <v>199.75200000000001</v>
      </c>
      <c r="I125" s="121"/>
      <c r="J125" s="122"/>
      <c r="K125" s="120"/>
      <c r="L125" s="123"/>
      <c r="M125" s="251"/>
      <c r="N125" s="251"/>
      <c r="O125" s="251"/>
      <c r="P125" s="229"/>
      <c r="Q125" s="229"/>
      <c r="R125" s="229"/>
      <c r="S125" s="229"/>
      <c r="T125" s="251"/>
      <c r="U125" s="252"/>
      <c r="V125" s="251"/>
      <c r="W125" s="251"/>
      <c r="X125" s="251"/>
      <c r="Y125" s="251"/>
      <c r="Z125" s="251"/>
      <c r="AA125" s="251">
        <v>18</v>
      </c>
      <c r="AB125" s="251">
        <f t="shared" si="23"/>
        <v>252</v>
      </c>
      <c r="AC125" s="163">
        <f t="shared" si="24"/>
        <v>18</v>
      </c>
      <c r="AD125" s="163">
        <f t="shared" si="25"/>
        <v>252</v>
      </c>
      <c r="AE125" s="124" t="s">
        <v>725</v>
      </c>
      <c r="AF125" s="124"/>
      <c r="AG125" s="124"/>
      <c r="AH125" s="124"/>
      <c r="AI125" s="124"/>
      <c r="AJ125" s="124"/>
      <c r="AK125" s="124"/>
      <c r="AL125" s="124"/>
      <c r="AM125" s="124"/>
      <c r="AN125" s="124"/>
      <c r="AO125" s="124"/>
      <c r="AP125" s="124"/>
      <c r="AQ125" s="124"/>
      <c r="AR125" s="124"/>
      <c r="AS125" s="124"/>
      <c r="AT125" s="124">
        <v>7.1340000000000003</v>
      </c>
      <c r="AU125" s="124">
        <v>99.876000000000005</v>
      </c>
      <c r="AV125" s="124"/>
      <c r="AW125" s="124"/>
      <c r="AX125" s="124"/>
      <c r="AY125" s="124"/>
      <c r="AZ125" s="233"/>
      <c r="BA125" s="125"/>
      <c r="BB125" s="125"/>
      <c r="BC125" s="125"/>
      <c r="BD125" s="125"/>
      <c r="BE125" s="125"/>
      <c r="BF125" s="125"/>
      <c r="BG125" s="125"/>
      <c r="BH125" s="125"/>
      <c r="BI125" s="125"/>
      <c r="BJ125" s="125"/>
      <c r="BK125" s="125"/>
      <c r="BL125" s="125"/>
      <c r="BM125" s="125"/>
      <c r="BN125" s="125"/>
      <c r="BO125" s="125"/>
      <c r="BP125" s="244">
        <f t="shared" si="12"/>
        <v>7.1340000000000003</v>
      </c>
      <c r="BQ125" s="248">
        <f t="shared" si="15"/>
        <v>14.268000000000001</v>
      </c>
      <c r="BR125" s="105">
        <f t="shared" si="13"/>
        <v>99.876000000000005</v>
      </c>
      <c r="BS125" s="248">
        <f t="shared" si="16"/>
        <v>199.75200000000001</v>
      </c>
    </row>
    <row r="126" spans="1:71" s="16" customFormat="1" ht="17" hidden="1" x14ac:dyDescent="0.15">
      <c r="A126" s="118" t="s">
        <v>797</v>
      </c>
      <c r="B126" s="258" t="s">
        <v>798</v>
      </c>
      <c r="C126" s="118" t="s">
        <v>799</v>
      </c>
      <c r="D126" s="119" t="s">
        <v>800</v>
      </c>
      <c r="E126" s="119" t="s">
        <v>121</v>
      </c>
      <c r="F126" s="260">
        <v>5.548833337499999E-2</v>
      </c>
      <c r="G126" s="120">
        <f>208.7*2</f>
        <v>417.4</v>
      </c>
      <c r="H126" s="120">
        <f>+G126*F126</f>
        <v>23.160830350724996</v>
      </c>
      <c r="I126" s="121"/>
      <c r="J126" s="122"/>
      <c r="K126" s="120"/>
      <c r="L126" s="123"/>
      <c r="M126" s="251"/>
      <c r="N126" s="251"/>
      <c r="O126" s="251"/>
      <c r="P126" s="229"/>
      <c r="Q126" s="229"/>
      <c r="R126" s="229"/>
      <c r="S126" s="229"/>
      <c r="T126" s="251"/>
      <c r="U126" s="252"/>
      <c r="V126" s="251"/>
      <c r="W126" s="251"/>
      <c r="X126" s="251"/>
      <c r="Y126" s="251"/>
      <c r="Z126" s="251"/>
      <c r="AA126" s="251">
        <v>550</v>
      </c>
      <c r="AB126" s="251">
        <f t="shared" si="23"/>
        <v>30.518583356249994</v>
      </c>
      <c r="AC126" s="163">
        <f t="shared" si="24"/>
        <v>550</v>
      </c>
      <c r="AD126" s="163">
        <f t="shared" si="25"/>
        <v>30.518583356249994</v>
      </c>
      <c r="AE126" s="124" t="s">
        <v>725</v>
      </c>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233"/>
      <c r="BA126" s="125"/>
      <c r="BB126" s="125"/>
      <c r="BC126" s="125"/>
      <c r="BD126" s="125"/>
      <c r="BE126" s="125"/>
      <c r="BF126" s="125"/>
      <c r="BG126" s="125"/>
      <c r="BH126" s="125"/>
      <c r="BI126" s="125"/>
      <c r="BJ126" s="125"/>
      <c r="BK126" s="125"/>
      <c r="BL126" s="125"/>
      <c r="BM126" s="125"/>
      <c r="BN126" s="125"/>
      <c r="BO126" s="125"/>
      <c r="BP126" s="244"/>
      <c r="BQ126" s="248"/>
      <c r="BR126" s="105"/>
      <c r="BS126" s="248"/>
    </row>
    <row r="127" spans="1:71" s="16" customFormat="1" ht="17" hidden="1" x14ac:dyDescent="0.15">
      <c r="A127" s="165" t="s">
        <v>67</v>
      </c>
      <c r="B127" s="320" t="s">
        <v>68</v>
      </c>
      <c r="C127" s="321"/>
      <c r="D127" s="166"/>
      <c r="E127" s="149"/>
      <c r="F127" s="150"/>
      <c r="G127" s="156">
        <f>+AD127/H127</f>
        <v>1.1244093028993103</v>
      </c>
      <c r="H127" s="157">
        <f>+SUM(H128:H166)</f>
        <v>158466.32294713694</v>
      </c>
      <c r="I127" s="151"/>
      <c r="J127" s="157">
        <f>+SUM(J128:J165)</f>
        <v>158536.19147351079</v>
      </c>
      <c r="K127" s="150"/>
      <c r="L127" s="153"/>
      <c r="M127" s="153"/>
      <c r="N127" s="153"/>
      <c r="O127" s="153"/>
      <c r="P127" s="153"/>
      <c r="Q127" s="153"/>
      <c r="R127" s="153"/>
      <c r="S127" s="153"/>
      <c r="T127" s="153"/>
      <c r="U127" s="213"/>
      <c r="V127" s="157">
        <f>+SUM(V128:V147)</f>
        <v>155078.62384797644</v>
      </c>
      <c r="W127" s="157"/>
      <c r="X127" s="157">
        <f>+SUM(X128:X152)</f>
        <v>9681.9546412800009</v>
      </c>
      <c r="Y127" s="157"/>
      <c r="Z127" s="157">
        <f>+SUM(Z128:Z164)</f>
        <v>47253.35123036283</v>
      </c>
      <c r="AA127" s="157"/>
      <c r="AB127" s="157">
        <f>+SUM(AB128:AB166)</f>
        <v>19644.816244496484</v>
      </c>
      <c r="AC127" s="154"/>
      <c r="AD127" s="157">
        <f>+SUM(AD128:AD166)</f>
        <v>178181.00771800723</v>
      </c>
      <c r="AE127" s="155"/>
      <c r="AF127" s="155"/>
      <c r="AG127" s="155"/>
      <c r="AH127" s="155"/>
      <c r="AI127" s="155"/>
      <c r="AJ127" s="155"/>
      <c r="AK127" s="155"/>
      <c r="AL127" s="155"/>
      <c r="AM127" s="155"/>
      <c r="AN127" s="155"/>
      <c r="AO127" s="155"/>
      <c r="AP127" s="155"/>
      <c r="AQ127" s="155"/>
      <c r="AR127" s="155"/>
      <c r="AS127" s="155"/>
      <c r="AT127" s="155"/>
      <c r="AU127" s="155"/>
      <c r="AV127" s="155"/>
      <c r="AW127" s="155"/>
      <c r="AX127" s="155"/>
      <c r="AY127" s="155"/>
      <c r="AZ127" s="146"/>
      <c r="BA127" s="125"/>
      <c r="BB127" s="125"/>
      <c r="BC127" s="125"/>
      <c r="BD127" s="125"/>
      <c r="BE127" s="125"/>
      <c r="BF127" s="125"/>
      <c r="BG127" s="125"/>
      <c r="BH127" s="125"/>
      <c r="BI127" s="125"/>
      <c r="BJ127" s="125"/>
      <c r="BK127" s="125"/>
      <c r="BL127" s="125"/>
      <c r="BM127" s="125"/>
      <c r="BN127" s="125"/>
      <c r="BO127" s="125"/>
      <c r="BP127" s="244">
        <f t="shared" si="12"/>
        <v>0</v>
      </c>
      <c r="BQ127" s="248">
        <f t="shared" si="15"/>
        <v>0</v>
      </c>
      <c r="BR127" s="105">
        <f t="shared" si="13"/>
        <v>0</v>
      </c>
      <c r="BS127" s="248">
        <f t="shared" si="16"/>
        <v>0</v>
      </c>
    </row>
    <row r="128" spans="1:71" s="16" customFormat="1" ht="17" x14ac:dyDescent="0.15">
      <c r="A128" s="118" t="s">
        <v>437</v>
      </c>
      <c r="B128" s="162" t="s">
        <v>469</v>
      </c>
      <c r="C128" s="162" t="s">
        <v>409</v>
      </c>
      <c r="D128" s="119" t="s">
        <v>455</v>
      </c>
      <c r="E128" s="117" t="s">
        <v>121</v>
      </c>
      <c r="F128" s="120">
        <v>16.158088235294116</v>
      </c>
      <c r="G128" s="120">
        <v>2.778</v>
      </c>
      <c r="H128" s="120">
        <v>44.92</v>
      </c>
      <c r="I128" s="121">
        <v>3.1968000000000001</v>
      </c>
      <c r="J128" s="122">
        <v>51.654176470588233</v>
      </c>
      <c r="K128" s="120"/>
      <c r="L128" s="123"/>
      <c r="M128" s="123"/>
      <c r="N128" s="123"/>
      <c r="O128" s="123"/>
      <c r="P128" s="123"/>
      <c r="Q128" s="123"/>
      <c r="R128" s="123"/>
      <c r="S128" s="123"/>
      <c r="T128" s="123"/>
      <c r="U128" s="252">
        <f>+G128*1.1</f>
        <v>3.0558000000000001</v>
      </c>
      <c r="V128" s="210">
        <f>+U128*F128</f>
        <v>49.37588602941176</v>
      </c>
      <c r="W128" s="210"/>
      <c r="X128" s="210"/>
      <c r="Y128" s="210">
        <v>2</v>
      </c>
      <c r="Z128" s="251">
        <f t="shared" ref="Z128" si="26">+Y128*F128</f>
        <v>32.316176470588232</v>
      </c>
      <c r="AA128" s="251"/>
      <c r="AB128" s="251"/>
      <c r="AC128" s="163">
        <f t="shared" ref="AC128:AD165" si="27">+I128+AA128</f>
        <v>3.1968000000000001</v>
      </c>
      <c r="AD128" s="163">
        <f t="shared" si="27"/>
        <v>51.654176470588233</v>
      </c>
      <c r="AE128" s="124" t="s">
        <v>703</v>
      </c>
      <c r="AF128" s="124">
        <v>0.68300000000000005</v>
      </c>
      <c r="AG128" s="124">
        <v>11.04</v>
      </c>
      <c r="AH128" s="124">
        <v>0.70599999999999996</v>
      </c>
      <c r="AI128" s="124">
        <v>11.42</v>
      </c>
      <c r="AJ128" s="124"/>
      <c r="AK128" s="124"/>
      <c r="AL128" s="124"/>
      <c r="AM128" s="124"/>
      <c r="AN128" s="124"/>
      <c r="AO128" s="124"/>
      <c r="AP128" s="124"/>
      <c r="AQ128" s="124"/>
      <c r="AR128" s="124"/>
      <c r="AS128" s="124"/>
      <c r="AT128" s="124"/>
      <c r="AU128" s="124"/>
      <c r="AV128" s="124"/>
      <c r="AW128" s="124"/>
      <c r="AX128" s="124"/>
      <c r="AY128" s="124"/>
      <c r="AZ128" s="146"/>
      <c r="BA128" s="125"/>
      <c r="BB128" s="125"/>
      <c r="BC128" s="125"/>
      <c r="BD128" s="125"/>
      <c r="BE128" s="125"/>
      <c r="BF128" s="125"/>
      <c r="BG128" s="125"/>
      <c r="BH128" s="125"/>
      <c r="BI128" s="125"/>
      <c r="BJ128" s="125"/>
      <c r="BK128" s="125"/>
      <c r="BL128" s="125"/>
      <c r="BM128" s="125"/>
      <c r="BN128" s="125"/>
      <c r="BO128" s="125"/>
      <c r="BP128" s="244">
        <f t="shared" si="12"/>
        <v>1.389</v>
      </c>
      <c r="BQ128" s="248">
        <f t="shared" si="15"/>
        <v>2.778</v>
      </c>
      <c r="BR128" s="105">
        <f t="shared" si="13"/>
        <v>22.46</v>
      </c>
      <c r="BS128" s="248">
        <f t="shared" si="16"/>
        <v>44.92</v>
      </c>
    </row>
    <row r="129" spans="1:71" s="16" customFormat="1" ht="17" hidden="1" x14ac:dyDescent="0.15">
      <c r="A129" s="118" t="s">
        <v>438</v>
      </c>
      <c r="B129" s="162" t="s">
        <v>469</v>
      </c>
      <c r="C129" s="162" t="s">
        <v>412</v>
      </c>
      <c r="D129" s="119" t="s">
        <v>455</v>
      </c>
      <c r="E129" s="117" t="s">
        <v>121</v>
      </c>
      <c r="F129" s="120">
        <v>28.2</v>
      </c>
      <c r="G129" s="120">
        <v>2.7</v>
      </c>
      <c r="H129" s="120">
        <v>76.14</v>
      </c>
      <c r="I129" s="121">
        <v>2.9700000000000006</v>
      </c>
      <c r="J129" s="122">
        <v>83.754000000000019</v>
      </c>
      <c r="K129" s="120"/>
      <c r="L129" s="123"/>
      <c r="M129" s="123"/>
      <c r="N129" s="123"/>
      <c r="O129" s="123"/>
      <c r="P129" s="123"/>
      <c r="Q129" s="123"/>
      <c r="R129" s="123"/>
      <c r="S129" s="123"/>
      <c r="T129" s="123"/>
      <c r="U129" s="252">
        <f t="shared" ref="U129:U133" si="28">+G129*1.1</f>
        <v>2.9700000000000006</v>
      </c>
      <c r="V129" s="210">
        <f t="shared" ref="V129:V148" si="29">+U129*F129</f>
        <v>83.754000000000019</v>
      </c>
      <c r="W129" s="210"/>
      <c r="X129" s="210"/>
      <c r="Y129" s="210"/>
      <c r="Z129" s="210"/>
      <c r="AA129" s="210"/>
      <c r="AB129" s="210"/>
      <c r="AC129" s="163">
        <f t="shared" si="27"/>
        <v>2.9700000000000006</v>
      </c>
      <c r="AD129" s="163">
        <f t="shared" si="27"/>
        <v>83.754000000000019</v>
      </c>
      <c r="AE129" s="124" t="s">
        <v>365</v>
      </c>
      <c r="AF129" s="124">
        <v>1.35</v>
      </c>
      <c r="AG129" s="124">
        <v>38.07</v>
      </c>
      <c r="AH129" s="124"/>
      <c r="AI129" s="124"/>
      <c r="AJ129" s="124"/>
      <c r="AK129" s="124"/>
      <c r="AL129" s="124"/>
      <c r="AM129" s="124"/>
      <c r="AN129" s="124"/>
      <c r="AO129" s="124"/>
      <c r="AP129" s="124"/>
      <c r="AQ129" s="124"/>
      <c r="AR129" s="124"/>
      <c r="AS129" s="124"/>
      <c r="AT129" s="124"/>
      <c r="AU129" s="124"/>
      <c r="AV129" s="124"/>
      <c r="AW129" s="124"/>
      <c r="AX129" s="124"/>
      <c r="AY129" s="124"/>
      <c r="AZ129" s="146"/>
      <c r="BA129" s="125"/>
      <c r="BB129" s="125"/>
      <c r="BC129" s="125"/>
      <c r="BD129" s="125"/>
      <c r="BE129" s="125"/>
      <c r="BF129" s="125"/>
      <c r="BG129" s="125"/>
      <c r="BH129" s="125"/>
      <c r="BI129" s="125"/>
      <c r="BJ129" s="125"/>
      <c r="BK129" s="125"/>
      <c r="BL129" s="125"/>
      <c r="BM129" s="125"/>
      <c r="BN129" s="125"/>
      <c r="BO129" s="125"/>
      <c r="BP129" s="244">
        <f t="shared" si="12"/>
        <v>1.35</v>
      </c>
      <c r="BQ129" s="248">
        <f t="shared" si="15"/>
        <v>2.7</v>
      </c>
      <c r="BR129" s="105">
        <f t="shared" si="13"/>
        <v>38.07</v>
      </c>
      <c r="BS129" s="248">
        <f t="shared" si="16"/>
        <v>76.14</v>
      </c>
    </row>
    <row r="130" spans="1:71" s="16" customFormat="1" ht="17" hidden="1" x14ac:dyDescent="0.15">
      <c r="A130" s="118" t="s">
        <v>439</v>
      </c>
      <c r="B130" s="162" t="s">
        <v>469</v>
      </c>
      <c r="C130" s="162" t="s">
        <v>456</v>
      </c>
      <c r="D130" s="119" t="s">
        <v>455</v>
      </c>
      <c r="E130" s="117" t="s">
        <v>121</v>
      </c>
      <c r="F130" s="120">
        <v>1.5515222482435598</v>
      </c>
      <c r="G130" s="120">
        <v>4.8479999999999999</v>
      </c>
      <c r="H130" s="120">
        <v>7.5</v>
      </c>
      <c r="I130" s="121">
        <v>3.7576000000000001</v>
      </c>
      <c r="J130" s="122">
        <v>5.83</v>
      </c>
      <c r="K130" s="120"/>
      <c r="L130" s="123"/>
      <c r="M130" s="123"/>
      <c r="N130" s="123"/>
      <c r="O130" s="123"/>
      <c r="P130" s="123"/>
      <c r="Q130" s="123"/>
      <c r="R130" s="123"/>
      <c r="S130" s="123"/>
      <c r="T130" s="123"/>
      <c r="U130" s="252">
        <f t="shared" si="28"/>
        <v>5.3328000000000007</v>
      </c>
      <c r="V130" s="210">
        <f t="shared" si="29"/>
        <v>8.273957845433257</v>
      </c>
      <c r="W130" s="210"/>
      <c r="X130" s="210"/>
      <c r="Y130" s="210"/>
      <c r="Z130" s="210"/>
      <c r="AA130" s="210">
        <v>2</v>
      </c>
      <c r="AB130" s="210">
        <f>+AA130*F130</f>
        <v>3.1030444964871196</v>
      </c>
      <c r="AC130" s="163">
        <f t="shared" si="27"/>
        <v>5.7576000000000001</v>
      </c>
      <c r="AD130" s="163">
        <f t="shared" si="27"/>
        <v>8.9330444964871205</v>
      </c>
      <c r="AE130" s="124" t="s">
        <v>725</v>
      </c>
      <c r="AF130" s="124">
        <v>2.4239999999999999</v>
      </c>
      <c r="AG130" s="124">
        <v>3.75</v>
      </c>
      <c r="AH130" s="124"/>
      <c r="AI130" s="124"/>
      <c r="AJ130" s="124"/>
      <c r="AK130" s="124"/>
      <c r="AL130" s="124"/>
      <c r="AM130" s="124"/>
      <c r="AN130" s="124"/>
      <c r="AO130" s="124"/>
      <c r="AP130" s="124"/>
      <c r="AQ130" s="124"/>
      <c r="AR130" s="124"/>
      <c r="AS130" s="124"/>
      <c r="AT130" s="124"/>
      <c r="AU130" s="124"/>
      <c r="AV130" s="124"/>
      <c r="AW130" s="124"/>
      <c r="AX130" s="124"/>
      <c r="AY130" s="124"/>
      <c r="AZ130" s="146"/>
      <c r="BA130" s="125"/>
      <c r="BB130" s="125"/>
      <c r="BC130" s="125"/>
      <c r="BD130" s="125"/>
      <c r="BE130" s="125"/>
      <c r="BF130" s="125"/>
      <c r="BG130" s="125"/>
      <c r="BH130" s="125"/>
      <c r="BI130" s="125"/>
      <c r="BJ130" s="125"/>
      <c r="BK130" s="125"/>
      <c r="BL130" s="125"/>
      <c r="BM130" s="125"/>
      <c r="BN130" s="125"/>
      <c r="BO130" s="125"/>
      <c r="BP130" s="244">
        <f t="shared" si="12"/>
        <v>2.4239999999999999</v>
      </c>
      <c r="BQ130" s="248">
        <f t="shared" si="15"/>
        <v>4.8479999999999999</v>
      </c>
      <c r="BR130" s="105">
        <f t="shared" si="13"/>
        <v>3.75</v>
      </c>
      <c r="BS130" s="248">
        <f t="shared" si="16"/>
        <v>7.5</v>
      </c>
    </row>
    <row r="131" spans="1:71" s="16" customFormat="1" ht="17" x14ac:dyDescent="0.15">
      <c r="A131" s="118" t="s">
        <v>440</v>
      </c>
      <c r="B131" s="162" t="s">
        <v>469</v>
      </c>
      <c r="C131" s="162" t="s">
        <v>457</v>
      </c>
      <c r="D131" s="119" t="s">
        <v>455</v>
      </c>
      <c r="E131" s="117" t="s">
        <v>121</v>
      </c>
      <c r="F131" s="120">
        <v>5.3333333333333339</v>
      </c>
      <c r="G131" s="120">
        <v>10.847999999999999</v>
      </c>
      <c r="H131" s="120">
        <v>57.92</v>
      </c>
      <c r="I131" s="121">
        <v>12.158000000000001</v>
      </c>
      <c r="J131" s="122">
        <v>64.842666666666673</v>
      </c>
      <c r="K131" s="120"/>
      <c r="L131" s="123"/>
      <c r="M131" s="123"/>
      <c r="N131" s="123"/>
      <c r="O131" s="123"/>
      <c r="P131" s="123"/>
      <c r="Q131" s="123"/>
      <c r="R131" s="123"/>
      <c r="S131" s="123"/>
      <c r="T131" s="123"/>
      <c r="U131" s="252">
        <f t="shared" si="28"/>
        <v>11.9328</v>
      </c>
      <c r="V131" s="210">
        <f t="shared" si="29"/>
        <v>63.641600000000011</v>
      </c>
      <c r="W131" s="210"/>
      <c r="X131" s="210"/>
      <c r="Y131" s="210">
        <v>8</v>
      </c>
      <c r="Z131" s="251">
        <f t="shared" ref="Z131" si="30">+Y131*F131</f>
        <v>42.666666666666671</v>
      </c>
      <c r="AA131" s="251"/>
      <c r="AB131" s="251"/>
      <c r="AC131" s="163">
        <f t="shared" si="27"/>
        <v>12.158000000000001</v>
      </c>
      <c r="AD131" s="163">
        <f t="shared" si="27"/>
        <v>64.842666666666673</v>
      </c>
      <c r="AE131" s="124" t="s">
        <v>703</v>
      </c>
      <c r="AF131" s="124">
        <v>1.95</v>
      </c>
      <c r="AG131" s="124">
        <v>10.4</v>
      </c>
      <c r="AH131" s="124">
        <v>0.56399999999999995</v>
      </c>
      <c r="AI131" s="124">
        <v>3.01</v>
      </c>
      <c r="AJ131" s="124">
        <v>2.91</v>
      </c>
      <c r="AK131" s="124">
        <v>15.55</v>
      </c>
      <c r="AL131" s="124"/>
      <c r="AM131" s="124"/>
      <c r="AN131" s="124"/>
      <c r="AO131" s="124"/>
      <c r="AP131" s="124"/>
      <c r="AQ131" s="124"/>
      <c r="AR131" s="124"/>
      <c r="AS131" s="124"/>
      <c r="AT131" s="124"/>
      <c r="AU131" s="124"/>
      <c r="AV131" s="124"/>
      <c r="AW131" s="124"/>
      <c r="AX131" s="124"/>
      <c r="AY131" s="124"/>
      <c r="AZ131" s="146"/>
      <c r="BA131" s="125"/>
      <c r="BB131" s="125"/>
      <c r="BC131" s="125"/>
      <c r="BD131" s="125"/>
      <c r="BE131" s="125"/>
      <c r="BF131" s="125"/>
      <c r="BG131" s="125"/>
      <c r="BH131" s="125"/>
      <c r="BI131" s="125"/>
      <c r="BJ131" s="125"/>
      <c r="BK131" s="125"/>
      <c r="BL131" s="125"/>
      <c r="BM131" s="125"/>
      <c r="BN131" s="125"/>
      <c r="BO131" s="125"/>
      <c r="BP131" s="244">
        <f t="shared" si="12"/>
        <v>5.4239999999999995</v>
      </c>
      <c r="BQ131" s="248">
        <f t="shared" si="15"/>
        <v>10.847999999999999</v>
      </c>
      <c r="BR131" s="105">
        <f t="shared" si="13"/>
        <v>28.96</v>
      </c>
      <c r="BS131" s="248">
        <f t="shared" si="16"/>
        <v>57.92</v>
      </c>
    </row>
    <row r="132" spans="1:71" s="16" customFormat="1" ht="17" hidden="1" x14ac:dyDescent="0.15">
      <c r="A132" s="118" t="s">
        <v>441</v>
      </c>
      <c r="B132" s="162" t="s">
        <v>469</v>
      </c>
      <c r="C132" s="162" t="s">
        <v>458</v>
      </c>
      <c r="D132" s="119" t="s">
        <v>455</v>
      </c>
      <c r="E132" s="117" t="s">
        <v>121</v>
      </c>
      <c r="F132" s="120">
        <v>7.48</v>
      </c>
      <c r="G132" s="120">
        <v>2.9119999999999995</v>
      </c>
      <c r="H132" s="120">
        <v>23.689</v>
      </c>
      <c r="I132" s="121">
        <v>1.2892000000000003</v>
      </c>
      <c r="J132" s="122">
        <v>9.4380000000000006</v>
      </c>
      <c r="K132" s="120"/>
      <c r="L132" s="123"/>
      <c r="M132" s="123"/>
      <c r="N132" s="123"/>
      <c r="O132" s="123"/>
      <c r="P132" s="123"/>
      <c r="Q132" s="123"/>
      <c r="R132" s="123"/>
      <c r="S132" s="123"/>
      <c r="T132" s="123"/>
      <c r="U132" s="252">
        <f t="shared" si="28"/>
        <v>3.2031999999999998</v>
      </c>
      <c r="V132" s="210">
        <f t="shared" si="29"/>
        <v>23.959935999999999</v>
      </c>
      <c r="W132" s="210"/>
      <c r="X132" s="210"/>
      <c r="Y132" s="210"/>
      <c r="Z132" s="210"/>
      <c r="AA132" s="210">
        <v>2</v>
      </c>
      <c r="AB132" s="210">
        <f>+AA132*F132</f>
        <v>14.96</v>
      </c>
      <c r="AC132" s="163">
        <f t="shared" si="27"/>
        <v>3.2892000000000001</v>
      </c>
      <c r="AD132" s="163">
        <f t="shared" si="27"/>
        <v>24.398000000000003</v>
      </c>
      <c r="AE132" s="124" t="s">
        <v>725</v>
      </c>
      <c r="AF132" s="221">
        <v>0.32400000000000001</v>
      </c>
      <c r="AG132" s="124">
        <v>2.37</v>
      </c>
      <c r="AH132" s="124"/>
      <c r="AI132" s="124"/>
      <c r="AJ132" s="124"/>
      <c r="AK132" s="124"/>
      <c r="AL132" s="124"/>
      <c r="AM132" s="124"/>
      <c r="AN132" s="124"/>
      <c r="AO132" s="124"/>
      <c r="AP132" s="124"/>
      <c r="AQ132" s="124"/>
      <c r="AR132" s="221">
        <v>0.31900000000000001</v>
      </c>
      <c r="AS132" s="124">
        <v>2.3861200000000005</v>
      </c>
      <c r="AT132" s="221">
        <v>0.47599999999999998</v>
      </c>
      <c r="AU132" s="221">
        <v>4.46488</v>
      </c>
      <c r="AV132" s="221">
        <v>0.14199999999999999</v>
      </c>
      <c r="AW132" s="221">
        <v>1.04</v>
      </c>
      <c r="AX132" s="221">
        <v>0.12</v>
      </c>
      <c r="AY132" s="221">
        <v>0.88</v>
      </c>
      <c r="AZ132" s="146">
        <v>7.4999999999999997E-2</v>
      </c>
      <c r="BA132" s="125">
        <v>0.70350000000000013</v>
      </c>
      <c r="BB132" s="125"/>
      <c r="BC132" s="125"/>
      <c r="BD132" s="125"/>
      <c r="BE132" s="125"/>
      <c r="BF132" s="125"/>
      <c r="BG132" s="125"/>
      <c r="BH132" s="125"/>
      <c r="BI132" s="125"/>
      <c r="BJ132" s="125"/>
      <c r="BK132" s="125"/>
      <c r="BL132" s="125"/>
      <c r="BM132" s="125"/>
      <c r="BN132" s="125"/>
      <c r="BO132" s="125"/>
      <c r="BP132" s="244">
        <f t="shared" si="12"/>
        <v>1.4559999999999997</v>
      </c>
      <c r="BQ132" s="248">
        <f t="shared" si="15"/>
        <v>2.9119999999999995</v>
      </c>
      <c r="BR132" s="105">
        <f t="shared" si="13"/>
        <v>11.8445</v>
      </c>
      <c r="BS132" s="248">
        <f t="shared" si="16"/>
        <v>23.689</v>
      </c>
    </row>
    <row r="133" spans="1:71" s="16" customFormat="1" ht="17" x14ac:dyDescent="0.15">
      <c r="A133" s="118" t="s">
        <v>442</v>
      </c>
      <c r="B133" s="162" t="s">
        <v>469</v>
      </c>
      <c r="C133" s="162" t="s">
        <v>459</v>
      </c>
      <c r="D133" s="119" t="s">
        <v>455</v>
      </c>
      <c r="E133" s="117" t="s">
        <v>121</v>
      </c>
      <c r="F133" s="120">
        <v>11.136370470605922</v>
      </c>
      <c r="G133" s="120">
        <v>253.46199999999999</v>
      </c>
      <c r="H133" s="120">
        <v>2822.62</v>
      </c>
      <c r="I133" s="121">
        <v>278.161</v>
      </c>
      <c r="J133" s="122">
        <v>3097.7039464742138</v>
      </c>
      <c r="K133" s="120"/>
      <c r="L133" s="123"/>
      <c r="M133" s="123"/>
      <c r="N133" s="123"/>
      <c r="O133" s="123"/>
      <c r="P133" s="123"/>
      <c r="Q133" s="123"/>
      <c r="R133" s="123"/>
      <c r="S133" s="123"/>
      <c r="T133" s="123"/>
      <c r="U133" s="252">
        <f t="shared" si="28"/>
        <v>278.8082</v>
      </c>
      <c r="V133" s="210">
        <f t="shared" si="29"/>
        <v>3104.9114054427901</v>
      </c>
      <c r="W133" s="210"/>
      <c r="X133" s="210"/>
      <c r="Y133" s="210">
        <v>205</v>
      </c>
      <c r="Z133" s="251">
        <f t="shared" ref="Z133" si="31">+Y133*F133</f>
        <v>2282.9559464742138</v>
      </c>
      <c r="AA133" s="251"/>
      <c r="AB133" s="251"/>
      <c r="AC133" s="163">
        <f t="shared" si="27"/>
        <v>278.161</v>
      </c>
      <c r="AD133" s="163">
        <f t="shared" si="27"/>
        <v>3097.7039464742138</v>
      </c>
      <c r="AE133" s="124" t="s">
        <v>703</v>
      </c>
      <c r="AF133" s="124">
        <v>23.841999999999999</v>
      </c>
      <c r="AG133" s="124">
        <v>265.55</v>
      </c>
      <c r="AH133" s="124">
        <v>86.994</v>
      </c>
      <c r="AI133" s="124">
        <v>968.79</v>
      </c>
      <c r="AJ133" s="124">
        <v>8.4420000000000002</v>
      </c>
      <c r="AK133" s="124">
        <v>93.97</v>
      </c>
      <c r="AL133" s="124"/>
      <c r="AM133" s="124"/>
      <c r="AN133" s="124"/>
      <c r="AO133" s="124"/>
      <c r="AP133" s="124"/>
      <c r="AQ133" s="124"/>
      <c r="AR133" s="124"/>
      <c r="AS133" s="124"/>
      <c r="AT133" s="124"/>
      <c r="AU133" s="124"/>
      <c r="AV133" s="124"/>
      <c r="AW133" s="124"/>
      <c r="AX133" s="124"/>
      <c r="AY133" s="124"/>
      <c r="AZ133" s="146"/>
      <c r="BA133" s="125"/>
      <c r="BB133" s="125"/>
      <c r="BC133" s="125"/>
      <c r="BD133" s="125">
        <v>7.4530000000000003</v>
      </c>
      <c r="BE133" s="125">
        <v>83</v>
      </c>
      <c r="BF133" s="125"/>
      <c r="BG133" s="125"/>
      <c r="BH133" s="125"/>
      <c r="BI133" s="125"/>
      <c r="BJ133" s="125"/>
      <c r="BK133" s="125"/>
      <c r="BL133" s="125"/>
      <c r="BM133" s="125"/>
      <c r="BN133" s="125"/>
      <c r="BO133" s="125"/>
      <c r="BP133" s="244">
        <f t="shared" si="12"/>
        <v>126.73099999999999</v>
      </c>
      <c r="BQ133" s="248">
        <f t="shared" si="15"/>
        <v>253.46199999999999</v>
      </c>
      <c r="BR133" s="105">
        <f t="shared" si="13"/>
        <v>1411.31</v>
      </c>
      <c r="BS133" s="248">
        <f t="shared" si="16"/>
        <v>2822.62</v>
      </c>
    </row>
    <row r="134" spans="1:71" s="16" customFormat="1" ht="17" hidden="1" x14ac:dyDescent="0.15">
      <c r="A134" s="118" t="s">
        <v>443</v>
      </c>
      <c r="B134" s="162" t="s">
        <v>470</v>
      </c>
      <c r="C134" s="162" t="s">
        <v>460</v>
      </c>
      <c r="D134" s="119" t="s">
        <v>461</v>
      </c>
      <c r="E134" s="117" t="s">
        <v>51</v>
      </c>
      <c r="F134" s="120">
        <v>11.895</v>
      </c>
      <c r="G134" s="120">
        <v>30.106141326473306</v>
      </c>
      <c r="H134" s="120">
        <v>358.11255107839997</v>
      </c>
      <c r="I134" s="121">
        <v>15.517108028583442</v>
      </c>
      <c r="J134" s="122">
        <v>184.57600000000002</v>
      </c>
      <c r="K134" s="120"/>
      <c r="L134" s="123"/>
      <c r="M134" s="123"/>
      <c r="N134" s="123"/>
      <c r="O134" s="123"/>
      <c r="P134" s="123"/>
      <c r="Q134" s="123"/>
      <c r="R134" s="123"/>
      <c r="S134" s="123"/>
      <c r="T134" s="123"/>
      <c r="U134" s="252">
        <f>+G134*1.12</f>
        <v>33.718878285650106</v>
      </c>
      <c r="V134" s="210">
        <f t="shared" si="29"/>
        <v>401.08605720780798</v>
      </c>
      <c r="W134" s="210"/>
      <c r="X134" s="210"/>
      <c r="Y134" s="210"/>
      <c r="Z134" s="210"/>
      <c r="AA134" s="210">
        <v>18.2</v>
      </c>
      <c r="AB134" s="210">
        <f>+AA134*F134</f>
        <v>216.48899999999998</v>
      </c>
      <c r="AC134" s="163">
        <f t="shared" si="27"/>
        <v>33.717108028583439</v>
      </c>
      <c r="AD134" s="163">
        <f t="shared" si="27"/>
        <v>401.065</v>
      </c>
      <c r="AE134" s="124" t="s">
        <v>725</v>
      </c>
      <c r="AF134" s="124">
        <v>6.9272803699033219</v>
      </c>
      <c r="AG134" s="124">
        <v>82.4</v>
      </c>
      <c r="AH134" s="124"/>
      <c r="AI134" s="124"/>
      <c r="AJ134" s="124"/>
      <c r="AK134" s="124"/>
      <c r="AL134" s="124"/>
      <c r="AM134" s="124"/>
      <c r="AN134" s="124"/>
      <c r="AO134" s="124"/>
      <c r="AP134" s="124"/>
      <c r="AQ134" s="124"/>
      <c r="AR134" s="124">
        <v>8.1257902933333312</v>
      </c>
      <c r="AS134" s="124">
        <v>96.656275539199981</v>
      </c>
      <c r="AT134" s="124"/>
      <c r="AU134" s="124"/>
      <c r="AV134" s="124"/>
      <c r="AW134" s="124"/>
      <c r="AX134" s="124"/>
      <c r="AY134" s="124"/>
      <c r="AZ134" s="146"/>
      <c r="BA134" s="125"/>
      <c r="BB134" s="125"/>
      <c r="BC134" s="125"/>
      <c r="BD134" s="125"/>
      <c r="BE134" s="125"/>
      <c r="BF134" s="125"/>
      <c r="BG134" s="125"/>
      <c r="BH134" s="125"/>
      <c r="BI134" s="125"/>
      <c r="BJ134" s="125"/>
      <c r="BK134" s="125"/>
      <c r="BL134" s="125"/>
      <c r="BM134" s="125"/>
      <c r="BN134" s="125"/>
      <c r="BO134" s="125"/>
      <c r="BP134" s="244">
        <f t="shared" si="12"/>
        <v>15.053070663236653</v>
      </c>
      <c r="BQ134" s="248">
        <f t="shared" si="15"/>
        <v>30.106141326473306</v>
      </c>
      <c r="BR134" s="105">
        <f t="shared" si="13"/>
        <v>179.05627553919999</v>
      </c>
      <c r="BS134" s="248">
        <f t="shared" si="16"/>
        <v>358.11255107839997</v>
      </c>
    </row>
    <row r="135" spans="1:71" s="16" customFormat="1" ht="17" x14ac:dyDescent="0.15">
      <c r="A135" s="118" t="s">
        <v>444</v>
      </c>
      <c r="B135" s="162" t="s">
        <v>420</v>
      </c>
      <c r="C135" s="162" t="s">
        <v>460</v>
      </c>
      <c r="D135" s="119" t="s">
        <v>462</v>
      </c>
      <c r="E135" s="117" t="s">
        <v>51</v>
      </c>
      <c r="F135" s="120">
        <v>11.55</v>
      </c>
      <c r="G135" s="120">
        <v>3016.703112245194</v>
      </c>
      <c r="H135" s="120">
        <v>35040.369965311998</v>
      </c>
      <c r="I135" s="121">
        <v>3321.1253333333334</v>
      </c>
      <c r="J135" s="122">
        <v>38358.997600000002</v>
      </c>
      <c r="K135" s="120"/>
      <c r="L135" s="123"/>
      <c r="M135" s="123"/>
      <c r="N135" s="123"/>
      <c r="O135" s="123"/>
      <c r="P135" s="123"/>
      <c r="Q135" s="123"/>
      <c r="R135" s="123"/>
      <c r="S135" s="123"/>
      <c r="T135" s="123"/>
      <c r="U135" s="252">
        <f t="shared" ref="U135:U141" si="32">+G135*1.12</f>
        <v>3378.7074857146176</v>
      </c>
      <c r="V135" s="210">
        <f t="shared" si="29"/>
        <v>39024.071460003834</v>
      </c>
      <c r="W135" s="210"/>
      <c r="X135" s="210"/>
      <c r="Y135" s="210">
        <v>1230</v>
      </c>
      <c r="Z135" s="251">
        <f t="shared" ref="Z135:Z136" si="33">+Y135*F135</f>
        <v>14206.5</v>
      </c>
      <c r="AA135" s="251">
        <v>58</v>
      </c>
      <c r="AB135" s="251">
        <f>+AA135*F135</f>
        <v>669.90000000000009</v>
      </c>
      <c r="AC135" s="163">
        <f t="shared" si="27"/>
        <v>3379.1253333333334</v>
      </c>
      <c r="AD135" s="163">
        <f t="shared" si="27"/>
        <v>39028.897600000004</v>
      </c>
      <c r="AE135" s="124" t="s">
        <v>725</v>
      </c>
      <c r="AF135" s="124"/>
      <c r="AG135" s="124"/>
      <c r="AH135" s="124">
        <v>554.48658008658003</v>
      </c>
      <c r="AI135" s="124">
        <v>6404.32</v>
      </c>
      <c r="AJ135" s="124"/>
      <c r="AK135" s="124"/>
      <c r="AL135" s="124"/>
      <c r="AM135" s="124"/>
      <c r="AN135" s="124">
        <v>1.2536796536796537</v>
      </c>
      <c r="AO135" s="124">
        <v>14.48</v>
      </c>
      <c r="AP135" s="124"/>
      <c r="AQ135" s="124"/>
      <c r="AR135" s="124"/>
      <c r="AS135" s="124"/>
      <c r="AT135" s="124"/>
      <c r="AU135" s="124"/>
      <c r="AV135" s="124">
        <v>190.52121212121216</v>
      </c>
      <c r="AW135" s="124">
        <v>2200.5200000000004</v>
      </c>
      <c r="AX135" s="124">
        <v>212.04502164502156</v>
      </c>
      <c r="AY135" s="124">
        <v>2449.119999999999</v>
      </c>
      <c r="AZ135" s="146">
        <v>185.25194805194803</v>
      </c>
      <c r="BA135" s="125">
        <v>2139.66</v>
      </c>
      <c r="BB135" s="125">
        <v>205.03700928000001</v>
      </c>
      <c r="BC135" s="125">
        <v>2463.5574571840002</v>
      </c>
      <c r="BD135" s="125"/>
      <c r="BE135" s="125"/>
      <c r="BF135" s="125"/>
      <c r="BG135" s="125"/>
      <c r="BH135" s="125"/>
      <c r="BI135" s="125"/>
      <c r="BJ135" s="125">
        <v>20.308642244155841</v>
      </c>
      <c r="BK135" s="125">
        <v>237.90932735999999</v>
      </c>
      <c r="BL135" s="125">
        <v>110.74042368000003</v>
      </c>
      <c r="BM135" s="125">
        <v>1279.0518935040004</v>
      </c>
      <c r="BN135" s="125">
        <v>28.707039359999996</v>
      </c>
      <c r="BO135" s="125">
        <v>331.566304608</v>
      </c>
      <c r="BP135" s="244">
        <f t="shared" si="12"/>
        <v>1508.351556122597</v>
      </c>
      <c r="BQ135" s="248">
        <f t="shared" si="15"/>
        <v>3016.703112245194</v>
      </c>
      <c r="BR135" s="105">
        <f t="shared" si="13"/>
        <v>17520.184982655999</v>
      </c>
      <c r="BS135" s="248">
        <f t="shared" si="16"/>
        <v>35040.369965311998</v>
      </c>
    </row>
    <row r="136" spans="1:71" s="16" customFormat="1" ht="17" hidden="1" x14ac:dyDescent="0.15">
      <c r="A136" s="118" t="s">
        <v>445</v>
      </c>
      <c r="B136" s="162" t="s">
        <v>470</v>
      </c>
      <c r="C136" s="162" t="s">
        <v>463</v>
      </c>
      <c r="D136" s="119" t="s">
        <v>461</v>
      </c>
      <c r="E136" s="117" t="s">
        <v>51</v>
      </c>
      <c r="F136" s="120">
        <v>79.3</v>
      </c>
      <c r="G136" s="120">
        <v>2.3379590012610341</v>
      </c>
      <c r="H136" s="120">
        <v>185.40014879999998</v>
      </c>
      <c r="I136" s="121">
        <v>3.5</v>
      </c>
      <c r="J136" s="122">
        <v>277.54999999999995</v>
      </c>
      <c r="K136" s="120"/>
      <c r="L136" s="123"/>
      <c r="M136" s="123"/>
      <c r="N136" s="123"/>
      <c r="O136" s="123"/>
      <c r="P136" s="123"/>
      <c r="Q136" s="123"/>
      <c r="R136" s="123"/>
      <c r="S136" s="123"/>
      <c r="T136" s="123"/>
      <c r="U136" s="252">
        <v>1.5</v>
      </c>
      <c r="V136" s="210">
        <f t="shared" si="29"/>
        <v>118.94999999999999</v>
      </c>
      <c r="W136" s="210"/>
      <c r="X136" s="210"/>
      <c r="Y136" s="210">
        <v>2</v>
      </c>
      <c r="Z136" s="251">
        <f t="shared" si="33"/>
        <v>158.6</v>
      </c>
      <c r="AA136" s="251"/>
      <c r="AB136" s="251"/>
      <c r="AC136" s="163">
        <f t="shared" si="27"/>
        <v>3.5</v>
      </c>
      <c r="AD136" s="163">
        <f t="shared" si="27"/>
        <v>277.54999999999995</v>
      </c>
      <c r="AE136" s="124" t="s">
        <v>703</v>
      </c>
      <c r="AF136" s="221">
        <v>0.12912988650693569</v>
      </c>
      <c r="AG136" s="124">
        <v>10.24</v>
      </c>
      <c r="AH136" s="124"/>
      <c r="AI136" s="124"/>
      <c r="AJ136" s="222">
        <v>1.0190416141235814</v>
      </c>
      <c r="AK136" s="124">
        <v>80.81</v>
      </c>
      <c r="AL136" s="124"/>
      <c r="AM136" s="124"/>
      <c r="AN136" s="124"/>
      <c r="AO136" s="124"/>
      <c r="AP136" s="124"/>
      <c r="AQ136" s="124"/>
      <c r="AR136" s="222">
        <v>2.0807999999999997E-2</v>
      </c>
      <c r="AS136" s="222">
        <v>1.6500743999999998</v>
      </c>
      <c r="AT136" s="222"/>
      <c r="AU136" s="222"/>
      <c r="AV136" s="222"/>
      <c r="AW136" s="222"/>
      <c r="AX136" s="222"/>
      <c r="AY136" s="222"/>
      <c r="AZ136" s="146"/>
      <c r="BA136" s="125"/>
      <c r="BB136" s="125"/>
      <c r="BC136" s="125"/>
      <c r="BD136" s="125"/>
      <c r="BE136" s="125"/>
      <c r="BF136" s="125"/>
      <c r="BG136" s="125"/>
      <c r="BH136" s="125"/>
      <c r="BI136" s="125"/>
      <c r="BJ136" s="125"/>
      <c r="BK136" s="125"/>
      <c r="BL136" s="125"/>
      <c r="BM136" s="125"/>
      <c r="BN136" s="125"/>
      <c r="BO136" s="125"/>
      <c r="BP136" s="244">
        <f t="shared" si="12"/>
        <v>1.168979500630517</v>
      </c>
      <c r="BQ136" s="248">
        <f t="shared" si="15"/>
        <v>2.3379590012610341</v>
      </c>
      <c r="BR136" s="105">
        <f t="shared" si="13"/>
        <v>92.700074399999991</v>
      </c>
      <c r="BS136" s="248">
        <f t="shared" si="16"/>
        <v>185.40014879999998</v>
      </c>
    </row>
    <row r="137" spans="1:71" s="16" customFormat="1" ht="17" hidden="1" x14ac:dyDescent="0.15">
      <c r="A137" s="118" t="s">
        <v>446</v>
      </c>
      <c r="B137" s="162" t="s">
        <v>420</v>
      </c>
      <c r="C137" s="162" t="s">
        <v>464</v>
      </c>
      <c r="D137" s="119" t="s">
        <v>462</v>
      </c>
      <c r="E137" s="117" t="s">
        <v>51</v>
      </c>
      <c r="F137" s="120">
        <v>92.4</v>
      </c>
      <c r="G137" s="120">
        <f t="shared" ref="G137:G145" si="34">+H137/F137</f>
        <v>23.663203463203462</v>
      </c>
      <c r="H137" s="120">
        <v>2186.48</v>
      </c>
      <c r="I137" s="121">
        <v>26.502787878787881</v>
      </c>
      <c r="J137" s="122">
        <v>2448.8576000000003</v>
      </c>
      <c r="K137" s="120"/>
      <c r="L137" s="123"/>
      <c r="M137" s="123"/>
      <c r="N137" s="123"/>
      <c r="O137" s="123"/>
      <c r="P137" s="123"/>
      <c r="Q137" s="123"/>
      <c r="R137" s="123"/>
      <c r="S137" s="123"/>
      <c r="T137" s="123"/>
      <c r="U137" s="252">
        <f t="shared" si="32"/>
        <v>26.502787878787881</v>
      </c>
      <c r="V137" s="210">
        <f t="shared" si="29"/>
        <v>2448.8576000000003</v>
      </c>
      <c r="W137" s="210"/>
      <c r="X137" s="210"/>
      <c r="Y137" s="210"/>
      <c r="Z137" s="210"/>
      <c r="AA137" s="210"/>
      <c r="AB137" s="210"/>
      <c r="AC137" s="163">
        <f t="shared" si="27"/>
        <v>26.502787878787881</v>
      </c>
      <c r="AD137" s="163">
        <f t="shared" si="27"/>
        <v>2448.8576000000003</v>
      </c>
      <c r="AE137" s="124" t="s">
        <v>365</v>
      </c>
      <c r="AF137" s="124"/>
      <c r="AG137" s="124"/>
      <c r="AH137" s="124"/>
      <c r="AI137" s="124"/>
      <c r="AJ137" s="124"/>
      <c r="AK137" s="124"/>
      <c r="AL137" s="124"/>
      <c r="AM137" s="124"/>
      <c r="AN137" s="124"/>
      <c r="AO137" s="124"/>
      <c r="AP137" s="124"/>
      <c r="AQ137" s="124"/>
      <c r="AR137" s="124"/>
      <c r="AS137" s="124"/>
      <c r="AT137" s="124"/>
      <c r="AU137" s="124"/>
      <c r="AV137" s="124">
        <v>11.831601731601731</v>
      </c>
      <c r="AW137" s="124">
        <v>1093.24</v>
      </c>
      <c r="AX137" s="124"/>
      <c r="AY137" s="124"/>
      <c r="AZ137" s="146"/>
      <c r="BA137" s="125"/>
      <c r="BB137" s="125"/>
      <c r="BC137" s="125"/>
      <c r="BD137" s="125"/>
      <c r="BE137" s="125"/>
      <c r="BF137" s="125"/>
      <c r="BG137" s="125"/>
      <c r="BH137" s="125"/>
      <c r="BI137" s="125"/>
      <c r="BJ137" s="125"/>
      <c r="BK137" s="125"/>
      <c r="BL137" s="125"/>
      <c r="BM137" s="125"/>
      <c r="BN137" s="125"/>
      <c r="BO137" s="125"/>
      <c r="BP137" s="244">
        <f t="shared" si="12"/>
        <v>11.831601731601731</v>
      </c>
      <c r="BQ137" s="248">
        <f t="shared" si="15"/>
        <v>23.663203463203462</v>
      </c>
      <c r="BR137" s="105">
        <f t="shared" si="13"/>
        <v>1093.24</v>
      </c>
      <c r="BS137" s="248">
        <f t="shared" si="16"/>
        <v>2186.48</v>
      </c>
    </row>
    <row r="138" spans="1:71" s="16" customFormat="1" ht="17" hidden="1" x14ac:dyDescent="0.15">
      <c r="A138" s="118" t="s">
        <v>447</v>
      </c>
      <c r="B138" s="162" t="s">
        <v>470</v>
      </c>
      <c r="C138" s="162" t="s">
        <v>465</v>
      </c>
      <c r="D138" s="119" t="s">
        <v>461</v>
      </c>
      <c r="E138" s="117" t="s">
        <v>51</v>
      </c>
      <c r="F138" s="120">
        <v>20.617999999999999</v>
      </c>
      <c r="G138" s="120">
        <v>2028.0752744859885</v>
      </c>
      <c r="H138" s="120">
        <v>41814.856009352108</v>
      </c>
      <c r="I138" s="121">
        <v>2008.4645261422061</v>
      </c>
      <c r="J138" s="122">
        <v>41410.5216</v>
      </c>
      <c r="K138" s="120"/>
      <c r="L138" s="123"/>
      <c r="M138" s="123"/>
      <c r="N138" s="123"/>
      <c r="O138" s="123"/>
      <c r="P138" s="123"/>
      <c r="Q138" s="123"/>
      <c r="R138" s="123"/>
      <c r="S138" s="123"/>
      <c r="T138" s="123"/>
      <c r="U138" s="252">
        <f t="shared" si="32"/>
        <v>2271.4443074243072</v>
      </c>
      <c r="V138" s="210">
        <f t="shared" si="29"/>
        <v>46832.638730474362</v>
      </c>
      <c r="W138" s="210"/>
      <c r="X138" s="210"/>
      <c r="Y138" s="210"/>
      <c r="Z138" s="210"/>
      <c r="AA138" s="210">
        <v>263</v>
      </c>
      <c r="AB138" s="210">
        <f>+AA138*F138</f>
        <v>5422.5339999999997</v>
      </c>
      <c r="AC138" s="163">
        <f t="shared" si="27"/>
        <v>2271.4645261422061</v>
      </c>
      <c r="AD138" s="163">
        <f t="shared" si="27"/>
        <v>46833.0556</v>
      </c>
      <c r="AE138" s="124" t="s">
        <v>725</v>
      </c>
      <c r="AF138" s="124">
        <v>777.50218255892912</v>
      </c>
      <c r="AG138" s="124">
        <v>16030.54</v>
      </c>
      <c r="AH138" s="124"/>
      <c r="AI138" s="124"/>
      <c r="AJ138" s="124"/>
      <c r="AK138" s="124"/>
      <c r="AL138" s="124"/>
      <c r="AM138" s="124"/>
      <c r="AN138" s="124"/>
      <c r="AO138" s="124"/>
      <c r="AP138" s="124"/>
      <c r="AQ138" s="124"/>
      <c r="AR138" s="124">
        <v>140.64381878192142</v>
      </c>
      <c r="AS138" s="124">
        <v>2899.794255645656</v>
      </c>
      <c r="AT138" s="124"/>
      <c r="AU138" s="124"/>
      <c r="AV138" s="124"/>
      <c r="AW138" s="124"/>
      <c r="AX138" s="124"/>
      <c r="AY138" s="124"/>
      <c r="AZ138" s="146"/>
      <c r="BA138" s="125"/>
      <c r="BB138" s="125"/>
      <c r="BC138" s="125"/>
      <c r="BD138" s="125"/>
      <c r="BE138" s="125"/>
      <c r="BF138" s="125"/>
      <c r="BG138" s="125"/>
      <c r="BH138" s="125"/>
      <c r="BI138" s="125"/>
      <c r="BJ138" s="125"/>
      <c r="BK138" s="125"/>
      <c r="BL138" s="125">
        <v>95.891635902143776</v>
      </c>
      <c r="BM138" s="125">
        <v>1977.0937490304004</v>
      </c>
      <c r="BN138" s="125"/>
      <c r="BO138" s="125"/>
      <c r="BP138" s="244">
        <f t="shared" si="12"/>
        <v>1014.0376372429943</v>
      </c>
      <c r="BQ138" s="248">
        <f t="shared" si="15"/>
        <v>2028.0752744859885</v>
      </c>
      <c r="BR138" s="105">
        <f t="shared" si="13"/>
        <v>20907.428004676054</v>
      </c>
      <c r="BS138" s="248">
        <f t="shared" si="16"/>
        <v>41814.856009352108</v>
      </c>
    </row>
    <row r="139" spans="1:71" s="16" customFormat="1" ht="17" x14ac:dyDescent="0.15">
      <c r="A139" s="118" t="s">
        <v>448</v>
      </c>
      <c r="B139" s="162" t="s">
        <v>420</v>
      </c>
      <c r="C139" s="162" t="s">
        <v>465</v>
      </c>
      <c r="D139" s="119" t="s">
        <v>462</v>
      </c>
      <c r="E139" s="117" t="s">
        <v>51</v>
      </c>
      <c r="F139" s="120">
        <v>20.020000000000003</v>
      </c>
      <c r="G139" s="120">
        <v>510.15007922669332</v>
      </c>
      <c r="H139" s="120">
        <v>10213.2045861184</v>
      </c>
      <c r="I139" s="121">
        <v>527.7113286713286</v>
      </c>
      <c r="J139" s="122">
        <v>10564.7808</v>
      </c>
      <c r="K139" s="120"/>
      <c r="L139" s="123"/>
      <c r="M139" s="123"/>
      <c r="N139" s="123"/>
      <c r="O139" s="123"/>
      <c r="P139" s="123"/>
      <c r="Q139" s="123"/>
      <c r="R139" s="123"/>
      <c r="S139" s="123"/>
      <c r="T139" s="123"/>
      <c r="U139" s="252">
        <f t="shared" si="32"/>
        <v>571.36808873389657</v>
      </c>
      <c r="V139" s="210">
        <f t="shared" si="29"/>
        <v>11438.789136452611</v>
      </c>
      <c r="W139" s="210"/>
      <c r="X139" s="210"/>
      <c r="Y139" s="210">
        <v>282</v>
      </c>
      <c r="Z139" s="251">
        <f t="shared" ref="Z139:Z140" si="35">+Y139*F139</f>
        <v>5645.6400000000012</v>
      </c>
      <c r="AA139" s="251">
        <v>44</v>
      </c>
      <c r="AB139" s="251">
        <f>+AA139*F139</f>
        <v>880.88000000000011</v>
      </c>
      <c r="AC139" s="163">
        <f t="shared" si="27"/>
        <v>571.7113286713286</v>
      </c>
      <c r="AD139" s="163">
        <f t="shared" si="27"/>
        <v>11445.660800000001</v>
      </c>
      <c r="AE139" s="124" t="s">
        <v>725</v>
      </c>
      <c r="AF139" s="124"/>
      <c r="AG139" s="124"/>
      <c r="AH139" s="124">
        <v>109.71528471528471</v>
      </c>
      <c r="AI139" s="124">
        <v>2196.5</v>
      </c>
      <c r="AJ139" s="124"/>
      <c r="AK139" s="124"/>
      <c r="AL139" s="124"/>
      <c r="AM139" s="124"/>
      <c r="AN139" s="124"/>
      <c r="AO139" s="124"/>
      <c r="AP139" s="124"/>
      <c r="AQ139" s="124"/>
      <c r="AR139" s="124"/>
      <c r="AS139" s="124"/>
      <c r="AT139" s="124"/>
      <c r="AU139" s="124"/>
      <c r="AV139" s="124">
        <v>38.383616383616392</v>
      </c>
      <c r="AW139" s="124">
        <v>768.44000000000017</v>
      </c>
      <c r="AX139" s="124">
        <v>40.742757242757236</v>
      </c>
      <c r="AY139" s="124">
        <v>815.66999999999985</v>
      </c>
      <c r="AZ139" s="146">
        <v>35.668281111688302</v>
      </c>
      <c r="BA139" s="125">
        <v>714.0789878559998</v>
      </c>
      <c r="BB139" s="125">
        <v>30.565100160000004</v>
      </c>
      <c r="BC139" s="125">
        <v>611.91330520320014</v>
      </c>
      <c r="BD139" s="125"/>
      <c r="BE139" s="125"/>
      <c r="BF139" s="125"/>
      <c r="BG139" s="125"/>
      <c r="BH139" s="125"/>
      <c r="BI139" s="125"/>
      <c r="BJ139" s="125"/>
      <c r="BK139" s="125"/>
      <c r="BL139" s="125"/>
      <c r="BM139" s="125"/>
      <c r="BN139" s="125"/>
      <c r="BO139" s="125"/>
      <c r="BP139" s="244">
        <f t="shared" si="12"/>
        <v>255.07503961334666</v>
      </c>
      <c r="BQ139" s="248">
        <f t="shared" si="15"/>
        <v>510.15007922669332</v>
      </c>
      <c r="BR139" s="105">
        <f t="shared" si="13"/>
        <v>5106.6022930591998</v>
      </c>
      <c r="BS139" s="248">
        <f t="shared" si="16"/>
        <v>10213.2045861184</v>
      </c>
    </row>
    <row r="140" spans="1:71" s="16" customFormat="1" ht="17" hidden="1" x14ac:dyDescent="0.15">
      <c r="A140" s="118" t="s">
        <v>449</v>
      </c>
      <c r="B140" s="162" t="s">
        <v>420</v>
      </c>
      <c r="C140" s="162" t="s">
        <v>465</v>
      </c>
      <c r="D140" s="119" t="s">
        <v>504</v>
      </c>
      <c r="E140" s="117" t="s">
        <v>51</v>
      </c>
      <c r="F140" s="120">
        <v>20.617999999999999</v>
      </c>
      <c r="G140" s="120">
        <v>1534.8094561217192</v>
      </c>
      <c r="H140" s="120">
        <v>31644.701366317611</v>
      </c>
      <c r="I140" s="121">
        <v>1707.1893619722332</v>
      </c>
      <c r="J140" s="122">
        <v>35198.830265143501</v>
      </c>
      <c r="K140" s="120"/>
      <c r="L140" s="123"/>
      <c r="M140" s="123"/>
      <c r="N140" s="123"/>
      <c r="O140" s="123"/>
      <c r="P140" s="123"/>
      <c r="Q140" s="123"/>
      <c r="R140" s="123"/>
      <c r="S140" s="123"/>
      <c r="T140" s="123"/>
      <c r="U140" s="252">
        <f t="shared" si="32"/>
        <v>1718.9865908563256</v>
      </c>
      <c r="V140" s="210">
        <f t="shared" si="29"/>
        <v>35442.065530275722</v>
      </c>
      <c r="W140" s="210"/>
      <c r="X140" s="210"/>
      <c r="Y140" s="210">
        <v>991</v>
      </c>
      <c r="Z140" s="251">
        <f t="shared" si="35"/>
        <v>20432.437999999998</v>
      </c>
      <c r="AA140" s="251">
        <v>12</v>
      </c>
      <c r="AB140" s="251">
        <f>+AA140*F140</f>
        <v>247.416</v>
      </c>
      <c r="AC140" s="163">
        <f t="shared" si="27"/>
        <v>1719.1893619722332</v>
      </c>
      <c r="AD140" s="163">
        <f t="shared" si="27"/>
        <v>35446.246265143498</v>
      </c>
      <c r="AE140" s="124" t="s">
        <v>725</v>
      </c>
      <c r="AF140" s="124"/>
      <c r="AG140" s="124"/>
      <c r="AH140" s="124"/>
      <c r="AI140" s="124"/>
      <c r="AJ140" s="124">
        <v>446.39489766223687</v>
      </c>
      <c r="AK140" s="124">
        <v>9203.77</v>
      </c>
      <c r="AL140" s="124"/>
      <c r="AM140" s="124"/>
      <c r="AN140" s="124"/>
      <c r="AO140" s="124"/>
      <c r="AP140" s="124"/>
      <c r="AQ140" s="124"/>
      <c r="AR140" s="124"/>
      <c r="AS140" s="124"/>
      <c r="AT140" s="124">
        <v>226.20069650101874</v>
      </c>
      <c r="AU140" s="124">
        <v>4663.8059604580048</v>
      </c>
      <c r="AV140" s="124"/>
      <c r="AW140" s="124"/>
      <c r="AX140" s="124"/>
      <c r="AY140" s="124"/>
      <c r="AZ140" s="146"/>
      <c r="BA140" s="125"/>
      <c r="BB140" s="125"/>
      <c r="BC140" s="125"/>
      <c r="BD140" s="125"/>
      <c r="BE140" s="125"/>
      <c r="BF140" s="125"/>
      <c r="BG140" s="125"/>
      <c r="BH140" s="125"/>
      <c r="BI140" s="125"/>
      <c r="BJ140" s="125"/>
      <c r="BK140" s="125"/>
      <c r="BL140" s="125">
        <v>94.809133897604028</v>
      </c>
      <c r="BM140" s="125">
        <v>1954.7747227007999</v>
      </c>
      <c r="BN140" s="125"/>
      <c r="BO140" s="125"/>
      <c r="BP140" s="244">
        <f t="shared" si="12"/>
        <v>767.40472806085961</v>
      </c>
      <c r="BQ140" s="248">
        <f t="shared" si="15"/>
        <v>1534.8094561217192</v>
      </c>
      <c r="BR140" s="105">
        <f t="shared" si="13"/>
        <v>15822.350683158806</v>
      </c>
      <c r="BS140" s="248">
        <f t="shared" si="16"/>
        <v>31644.701366317611</v>
      </c>
    </row>
    <row r="141" spans="1:71" s="16" customFormat="1" ht="17" hidden="1" x14ac:dyDescent="0.15">
      <c r="A141" s="118" t="s">
        <v>450</v>
      </c>
      <c r="B141" s="162" t="s">
        <v>470</v>
      </c>
      <c r="C141" s="162" t="s">
        <v>466</v>
      </c>
      <c r="D141" s="119" t="s">
        <v>461</v>
      </c>
      <c r="E141" s="117" t="s">
        <v>51</v>
      </c>
      <c r="F141" s="120">
        <v>15.86</v>
      </c>
      <c r="G141" s="120">
        <v>745.06983934426262</v>
      </c>
      <c r="H141" s="120">
        <v>11816.807652000005</v>
      </c>
      <c r="I141" s="121">
        <v>608.48907944514508</v>
      </c>
      <c r="J141" s="122">
        <v>9650.6368000000002</v>
      </c>
      <c r="K141" s="120"/>
      <c r="L141" s="123"/>
      <c r="M141" s="123"/>
      <c r="N141" s="123"/>
      <c r="O141" s="123"/>
      <c r="P141" s="123"/>
      <c r="Q141" s="123"/>
      <c r="R141" s="123"/>
      <c r="S141" s="123"/>
      <c r="T141" s="123"/>
      <c r="U141" s="252">
        <f t="shared" si="32"/>
        <v>834.47822006557419</v>
      </c>
      <c r="V141" s="210">
        <f t="shared" si="29"/>
        <v>13234.824570240005</v>
      </c>
      <c r="W141" s="210"/>
      <c r="X141" s="210"/>
      <c r="Y141" s="210"/>
      <c r="Z141" s="210"/>
      <c r="AA141" s="210">
        <v>226</v>
      </c>
      <c r="AB141" s="210">
        <f>+AA141*F141</f>
        <v>3584.3599999999997</v>
      </c>
      <c r="AC141" s="163">
        <f t="shared" si="27"/>
        <v>834.48907944514508</v>
      </c>
      <c r="AD141" s="163">
        <f t="shared" si="27"/>
        <v>13234.996800000001</v>
      </c>
      <c r="AE141" s="124" t="s">
        <v>725</v>
      </c>
      <c r="AF141" s="124">
        <v>372.45081967213133</v>
      </c>
      <c r="AG141" s="124">
        <v>5907.0700000000024</v>
      </c>
      <c r="AH141" s="124"/>
      <c r="AI141" s="124"/>
      <c r="AJ141" s="124"/>
      <c r="AK141" s="124"/>
      <c r="AL141" s="124"/>
      <c r="AM141" s="124"/>
      <c r="AN141" s="124"/>
      <c r="AO141" s="124"/>
      <c r="AP141" s="124"/>
      <c r="AQ141" s="124"/>
      <c r="AR141" s="222">
        <v>8.4099999999999994E-2</v>
      </c>
      <c r="AS141" s="222">
        <v>1.333826</v>
      </c>
      <c r="AT141" s="222"/>
      <c r="AU141" s="222"/>
      <c r="AV141" s="222"/>
      <c r="AW141" s="222"/>
      <c r="AX141" s="222"/>
      <c r="AY141" s="222"/>
      <c r="AZ141" s="146"/>
      <c r="BA141" s="125"/>
      <c r="BB141" s="125"/>
      <c r="BC141" s="125"/>
      <c r="BD141" s="125"/>
      <c r="BE141" s="125"/>
      <c r="BF141" s="125"/>
      <c r="BG141" s="125"/>
      <c r="BH141" s="125"/>
      <c r="BI141" s="125"/>
      <c r="BJ141" s="125"/>
      <c r="BK141" s="125"/>
      <c r="BL141" s="125"/>
      <c r="BM141" s="125"/>
      <c r="BN141" s="125"/>
      <c r="BO141" s="125"/>
      <c r="BP141" s="244">
        <f t="shared" si="12"/>
        <v>372.53491967213131</v>
      </c>
      <c r="BQ141" s="248">
        <f t="shared" si="15"/>
        <v>745.06983934426262</v>
      </c>
      <c r="BR141" s="105">
        <f t="shared" si="13"/>
        <v>5908.4038260000025</v>
      </c>
      <c r="BS141" s="248">
        <f t="shared" si="16"/>
        <v>11816.807652000005</v>
      </c>
    </row>
    <row r="142" spans="1:71" s="16" customFormat="1" ht="17" hidden="1" x14ac:dyDescent="0.15">
      <c r="A142" s="118" t="s">
        <v>451</v>
      </c>
      <c r="B142" s="162" t="s">
        <v>420</v>
      </c>
      <c r="C142" s="162" t="s">
        <v>467</v>
      </c>
      <c r="D142" s="119" t="s">
        <v>462</v>
      </c>
      <c r="E142" s="117" t="s">
        <v>51</v>
      </c>
      <c r="F142" s="120">
        <v>15.4</v>
      </c>
      <c r="G142" s="120">
        <v>11.47147971948052</v>
      </c>
      <c r="H142" s="120">
        <v>178.41678768</v>
      </c>
      <c r="I142" s="121">
        <v>2.9767999999999999</v>
      </c>
      <c r="J142" s="122">
        <v>45.84272</v>
      </c>
      <c r="K142" s="120"/>
      <c r="L142" s="123"/>
      <c r="M142" s="123"/>
      <c r="N142" s="123"/>
      <c r="O142" s="123"/>
      <c r="P142" s="123"/>
      <c r="Q142" s="123"/>
      <c r="R142" s="123"/>
      <c r="S142" s="123"/>
      <c r="T142" s="123"/>
      <c r="U142" s="252">
        <f>1.22*2.44</f>
        <v>2.9767999999999999</v>
      </c>
      <c r="V142" s="210">
        <f t="shared" si="29"/>
        <v>45.84272</v>
      </c>
      <c r="W142" s="210"/>
      <c r="X142" s="210"/>
      <c r="Y142" s="210"/>
      <c r="Z142" s="210"/>
      <c r="AA142" s="210">
        <v>10</v>
      </c>
      <c r="AB142" s="210">
        <f>+AA142*F142</f>
        <v>154</v>
      </c>
      <c r="AC142" s="163">
        <f t="shared" si="27"/>
        <v>12.976800000000001</v>
      </c>
      <c r="AD142" s="163">
        <f t="shared" si="27"/>
        <v>199.84271999999999</v>
      </c>
      <c r="AE142" s="124" t="s">
        <v>725</v>
      </c>
      <c r="AF142" s="124"/>
      <c r="AG142" s="124"/>
      <c r="AH142" s="124"/>
      <c r="AI142" s="124"/>
      <c r="AJ142" s="124"/>
      <c r="AK142" s="124"/>
      <c r="AL142" s="124"/>
      <c r="AM142" s="124"/>
      <c r="AN142" s="124"/>
      <c r="AO142" s="124"/>
      <c r="AP142" s="124"/>
      <c r="AQ142" s="124"/>
      <c r="AR142" s="124"/>
      <c r="AS142" s="124"/>
      <c r="AT142" s="124"/>
      <c r="AU142" s="124"/>
      <c r="AV142" s="221">
        <v>0.11363636363636363</v>
      </c>
      <c r="AW142" s="221">
        <v>1.75</v>
      </c>
      <c r="AX142" s="221">
        <v>6.2337662337662331E-2</v>
      </c>
      <c r="AY142" s="221">
        <v>0.96</v>
      </c>
      <c r="AZ142" s="234">
        <v>0.14145414545454546</v>
      </c>
      <c r="BA142" s="232">
        <v>2.17839384</v>
      </c>
      <c r="BB142" s="232">
        <v>0.93831168831168821</v>
      </c>
      <c r="BC142" s="232">
        <v>14.45</v>
      </c>
      <c r="BD142" s="232"/>
      <c r="BE142" s="232"/>
      <c r="BF142" s="232"/>
      <c r="BG142" s="232"/>
      <c r="BH142" s="232"/>
      <c r="BI142" s="232"/>
      <c r="BJ142" s="232">
        <v>4.4800000000000004</v>
      </c>
      <c r="BK142" s="232">
        <v>69.87</v>
      </c>
      <c r="BL142" s="232"/>
      <c r="BM142" s="232"/>
      <c r="BN142" s="232"/>
      <c r="BO142" s="232"/>
      <c r="BP142" s="244">
        <f t="shared" ref="BP142:BP205" si="36">+AF142+AH142+AJ142+AL142+AN142+AP142+AR142+AT142+AV142+AX142+AZ142+BB142+BD142+BF142+BH142+BJ142+BL142+BN142</f>
        <v>5.73573985974026</v>
      </c>
      <c r="BQ142" s="248">
        <f t="shared" si="15"/>
        <v>11.47147971948052</v>
      </c>
      <c r="BR142" s="105">
        <f t="shared" ref="BR142:BR205" si="37">+AG142+AI142+AK142+AM142+AO142+AQ142+AS142+AU142+AW142+AY142+BA142+BC142+BE142+BG142+BI142+BK142+BM142+BO142</f>
        <v>89.208393839999999</v>
      </c>
      <c r="BS142" s="248">
        <f t="shared" si="16"/>
        <v>178.41678768</v>
      </c>
    </row>
    <row r="143" spans="1:71" s="16" customFormat="1" ht="17" hidden="1" x14ac:dyDescent="0.15">
      <c r="A143" s="118" t="s">
        <v>452</v>
      </c>
      <c r="B143" s="162" t="s">
        <v>470</v>
      </c>
      <c r="C143" s="162" t="s">
        <v>89</v>
      </c>
      <c r="D143" s="119" t="s">
        <v>461</v>
      </c>
      <c r="E143" s="117" t="s">
        <v>51</v>
      </c>
      <c r="F143" s="120">
        <v>23.79</v>
      </c>
      <c r="G143" s="120">
        <v>41.172703615300549</v>
      </c>
      <c r="H143" s="120">
        <v>979.49861900800011</v>
      </c>
      <c r="I143" s="121">
        <v>45</v>
      </c>
      <c r="J143" s="122">
        <v>1070.55</v>
      </c>
      <c r="K143" s="120"/>
      <c r="L143" s="123"/>
      <c r="M143" s="123"/>
      <c r="N143" s="123"/>
      <c r="O143" s="123"/>
      <c r="P143" s="123"/>
      <c r="Q143" s="123"/>
      <c r="R143" s="123"/>
      <c r="S143" s="123"/>
      <c r="T143" s="123"/>
      <c r="U143" s="252">
        <v>45</v>
      </c>
      <c r="V143" s="210">
        <f t="shared" si="29"/>
        <v>1070.55</v>
      </c>
      <c r="W143" s="210"/>
      <c r="X143" s="210"/>
      <c r="Y143" s="210"/>
      <c r="Z143" s="210"/>
      <c r="AA143" s="210">
        <v>2</v>
      </c>
      <c r="AB143" s="210">
        <f t="shared" ref="AB143:AB144" si="38">+AA143*F143</f>
        <v>47.58</v>
      </c>
      <c r="AC143" s="163">
        <f t="shared" si="27"/>
        <v>47</v>
      </c>
      <c r="AD143" s="163">
        <f t="shared" si="27"/>
        <v>1118.1299999999999</v>
      </c>
      <c r="AE143" s="124" t="s">
        <v>725</v>
      </c>
      <c r="AF143" s="124">
        <v>0.6502732240437159</v>
      </c>
      <c r="AG143" s="124">
        <v>15.47</v>
      </c>
      <c r="AH143" s="124"/>
      <c r="AI143" s="124"/>
      <c r="AJ143" s="124"/>
      <c r="AK143" s="124"/>
      <c r="AL143" s="124"/>
      <c r="AM143" s="124"/>
      <c r="AN143" s="124"/>
      <c r="AO143" s="124"/>
      <c r="AP143" s="124"/>
      <c r="AQ143" s="124"/>
      <c r="AR143" s="124"/>
      <c r="AS143" s="124"/>
      <c r="AT143" s="124"/>
      <c r="AU143" s="124"/>
      <c r="AV143" s="124"/>
      <c r="AW143" s="124"/>
      <c r="AX143" s="124"/>
      <c r="AY143" s="124"/>
      <c r="AZ143" s="146"/>
      <c r="BA143" s="125"/>
      <c r="BB143" s="125"/>
      <c r="BC143" s="125"/>
      <c r="BD143" s="125"/>
      <c r="BE143" s="125"/>
      <c r="BF143" s="125"/>
      <c r="BG143" s="125"/>
      <c r="BH143" s="125"/>
      <c r="BI143" s="125"/>
      <c r="BJ143" s="125"/>
      <c r="BK143" s="125"/>
      <c r="BL143" s="125">
        <v>19.936078583606559</v>
      </c>
      <c r="BM143" s="125">
        <v>474.27930950400003</v>
      </c>
      <c r="BN143" s="125"/>
      <c r="BO143" s="125"/>
      <c r="BP143" s="244">
        <f t="shared" si="36"/>
        <v>20.586351807650274</v>
      </c>
      <c r="BQ143" s="248">
        <f t="shared" si="15"/>
        <v>41.172703615300549</v>
      </c>
      <c r="BR143" s="105">
        <f t="shared" si="37"/>
        <v>489.74930950400005</v>
      </c>
      <c r="BS143" s="248">
        <f t="shared" si="16"/>
        <v>979.49861900800011</v>
      </c>
    </row>
    <row r="144" spans="1:71" s="16" customFormat="1" ht="17" hidden="1" x14ac:dyDescent="0.15">
      <c r="A144" s="118" t="s">
        <v>453</v>
      </c>
      <c r="B144" s="162" t="s">
        <v>420</v>
      </c>
      <c r="C144" s="162" t="s">
        <v>89</v>
      </c>
      <c r="D144" s="119" t="s">
        <v>462</v>
      </c>
      <c r="E144" s="117" t="s">
        <v>51</v>
      </c>
      <c r="F144" s="120">
        <v>23.099999999999998</v>
      </c>
      <c r="G144" s="120">
        <v>31.133148531255415</v>
      </c>
      <c r="H144" s="120">
        <v>716.96173107200002</v>
      </c>
      <c r="I144" s="121">
        <v>30</v>
      </c>
      <c r="J144" s="122">
        <v>692.99999999999989</v>
      </c>
      <c r="K144" s="120"/>
      <c r="L144" s="123"/>
      <c r="M144" s="123"/>
      <c r="N144" s="123"/>
      <c r="O144" s="123"/>
      <c r="P144" s="123"/>
      <c r="Q144" s="123"/>
      <c r="R144" s="123"/>
      <c r="S144" s="123"/>
      <c r="T144" s="123"/>
      <c r="U144" s="252">
        <v>30</v>
      </c>
      <c r="V144" s="210">
        <f t="shared" si="29"/>
        <v>692.99999999999989</v>
      </c>
      <c r="W144" s="210"/>
      <c r="X144" s="210"/>
      <c r="Y144" s="210"/>
      <c r="Z144" s="210"/>
      <c r="AA144" s="210">
        <v>5</v>
      </c>
      <c r="AB144" s="210">
        <f t="shared" si="38"/>
        <v>115.49999999999999</v>
      </c>
      <c r="AC144" s="163">
        <f t="shared" si="27"/>
        <v>35</v>
      </c>
      <c r="AD144" s="163">
        <f t="shared" si="27"/>
        <v>808.49999999999989</v>
      </c>
      <c r="AE144" s="124" t="s">
        <v>725</v>
      </c>
      <c r="AF144" s="124"/>
      <c r="AG144" s="124"/>
      <c r="AH144" s="124"/>
      <c r="AI144" s="124"/>
      <c r="AJ144" s="124"/>
      <c r="AK144" s="124"/>
      <c r="AL144" s="124"/>
      <c r="AM144" s="124"/>
      <c r="AN144" s="124"/>
      <c r="AO144" s="124"/>
      <c r="AP144" s="124"/>
      <c r="AQ144" s="124"/>
      <c r="AR144" s="124"/>
      <c r="AS144" s="124"/>
      <c r="AT144" s="124"/>
      <c r="AU144" s="124"/>
      <c r="AV144" s="222">
        <v>0.25411255411255412</v>
      </c>
      <c r="AW144" s="222">
        <v>5.87</v>
      </c>
      <c r="AX144" s="222">
        <v>0.22164502164502164</v>
      </c>
      <c r="AY144" s="222">
        <v>5.12</v>
      </c>
      <c r="AZ144" s="146">
        <v>0.12987012987012986</v>
      </c>
      <c r="BA144" s="125">
        <v>3</v>
      </c>
      <c r="BB144" s="125"/>
      <c r="BC144" s="125"/>
      <c r="BD144" s="125"/>
      <c r="BE144" s="125"/>
      <c r="BF144" s="125"/>
      <c r="BG144" s="125"/>
      <c r="BH144" s="125"/>
      <c r="BI144" s="125"/>
      <c r="BJ144" s="125">
        <v>4.37</v>
      </c>
      <c r="BK144" s="125">
        <v>99.84</v>
      </c>
      <c r="BL144" s="125">
        <v>10.590946560000001</v>
      </c>
      <c r="BM144" s="125">
        <v>244.65086553600003</v>
      </c>
      <c r="BN144" s="125"/>
      <c r="BO144" s="125"/>
      <c r="BP144" s="244">
        <f t="shared" si="36"/>
        <v>15.566574265627708</v>
      </c>
      <c r="BQ144" s="248">
        <f t="shared" ref="BQ144:BQ207" si="39">+BP144*2</f>
        <v>31.133148531255415</v>
      </c>
      <c r="BR144" s="105">
        <f t="shared" si="37"/>
        <v>358.48086553600001</v>
      </c>
      <c r="BS144" s="248">
        <f t="shared" ref="BS144:BS207" si="40">+BR144*2</f>
        <v>716.96173107200002</v>
      </c>
    </row>
    <row r="145" spans="1:71" s="16" customFormat="1" ht="17" hidden="1" x14ac:dyDescent="0.15">
      <c r="A145" s="118" t="s">
        <v>454</v>
      </c>
      <c r="B145" s="162" t="s">
        <v>420</v>
      </c>
      <c r="C145" s="162" t="s">
        <v>89</v>
      </c>
      <c r="D145" s="119" t="s">
        <v>505</v>
      </c>
      <c r="E145" s="117" t="s">
        <v>51</v>
      </c>
      <c r="F145" s="120">
        <v>23.79</v>
      </c>
      <c r="G145" s="120">
        <f t="shared" si="34"/>
        <v>31.212141130895336</v>
      </c>
      <c r="H145" s="120">
        <v>742.536837504</v>
      </c>
      <c r="I145" s="121">
        <v>34.957598066602777</v>
      </c>
      <c r="J145" s="122">
        <v>831.64125800448005</v>
      </c>
      <c r="K145" s="120"/>
      <c r="L145" s="123"/>
      <c r="M145" s="123"/>
      <c r="N145" s="123"/>
      <c r="O145" s="123"/>
      <c r="P145" s="123"/>
      <c r="Q145" s="123"/>
      <c r="R145" s="123"/>
      <c r="S145" s="123"/>
      <c r="T145" s="123"/>
      <c r="U145" s="252">
        <f>+G145*1.12</f>
        <v>34.957598066602777</v>
      </c>
      <c r="V145" s="210">
        <f t="shared" si="29"/>
        <v>831.64125800448005</v>
      </c>
      <c r="W145" s="210"/>
      <c r="X145" s="210"/>
      <c r="Y145" s="210"/>
      <c r="Z145" s="210"/>
      <c r="AA145" s="210"/>
      <c r="AB145" s="210"/>
      <c r="AC145" s="163">
        <f t="shared" si="27"/>
        <v>34.957598066602777</v>
      </c>
      <c r="AD145" s="163">
        <f t="shared" si="27"/>
        <v>831.64125800448005</v>
      </c>
      <c r="AE145" s="124" t="s">
        <v>365</v>
      </c>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46"/>
      <c r="BA145" s="125"/>
      <c r="BB145" s="125"/>
      <c r="BC145" s="125"/>
      <c r="BD145" s="125"/>
      <c r="BE145" s="125"/>
      <c r="BF145" s="125"/>
      <c r="BG145" s="125"/>
      <c r="BH145" s="125"/>
      <c r="BI145" s="125"/>
      <c r="BJ145" s="125"/>
      <c r="BK145" s="125"/>
      <c r="BL145" s="125">
        <v>15.606070565447666</v>
      </c>
      <c r="BM145" s="125">
        <v>371.268418752</v>
      </c>
      <c r="BN145" s="125"/>
      <c r="BO145" s="125"/>
      <c r="BP145" s="244">
        <f t="shared" si="36"/>
        <v>15.606070565447666</v>
      </c>
      <c r="BQ145" s="248">
        <f t="shared" si="39"/>
        <v>31.212141130895333</v>
      </c>
      <c r="BR145" s="105">
        <f t="shared" si="37"/>
        <v>371.268418752</v>
      </c>
      <c r="BS145" s="248">
        <f t="shared" si="40"/>
        <v>742.536837504</v>
      </c>
    </row>
    <row r="146" spans="1:71" s="16" customFormat="1" ht="17" x14ac:dyDescent="0.15">
      <c r="A146" s="118" t="s">
        <v>506</v>
      </c>
      <c r="B146" s="162" t="s">
        <v>470</v>
      </c>
      <c r="C146" s="162" t="s">
        <v>468</v>
      </c>
      <c r="D146" s="119" t="s">
        <v>471</v>
      </c>
      <c r="E146" s="117" t="s">
        <v>51</v>
      </c>
      <c r="F146" s="120">
        <v>47.58</v>
      </c>
      <c r="G146" s="120">
        <v>2.2698612862547294E-2</v>
      </c>
      <c r="H146" s="120">
        <v>2.7800000000000002</v>
      </c>
      <c r="I146" s="121">
        <v>0.5</v>
      </c>
      <c r="J146" s="122">
        <v>23.79</v>
      </c>
      <c r="K146" s="120"/>
      <c r="L146" s="123"/>
      <c r="M146" s="123"/>
      <c r="N146" s="123"/>
      <c r="O146" s="123"/>
      <c r="P146" s="123"/>
      <c r="Q146" s="123"/>
      <c r="R146" s="123"/>
      <c r="S146" s="123"/>
      <c r="T146" s="123"/>
      <c r="U146" s="252">
        <v>0.5</v>
      </c>
      <c r="V146" s="210">
        <f t="shared" si="29"/>
        <v>23.79</v>
      </c>
      <c r="W146" s="210"/>
      <c r="X146" s="210"/>
      <c r="Y146" s="210"/>
      <c r="Z146" s="210"/>
      <c r="AA146" s="210"/>
      <c r="AB146" s="210"/>
      <c r="AC146" s="163">
        <f t="shared" si="27"/>
        <v>0.5</v>
      </c>
      <c r="AD146" s="163">
        <f t="shared" si="27"/>
        <v>23.79</v>
      </c>
      <c r="AE146" s="124" t="s">
        <v>365</v>
      </c>
      <c r="AF146" s="124">
        <v>1.7864649012189995E-2</v>
      </c>
      <c r="AG146" s="124">
        <v>0.85</v>
      </c>
      <c r="AH146" s="124">
        <v>1.1349306431273647E-2</v>
      </c>
      <c r="AI146" s="124">
        <v>0.54</v>
      </c>
      <c r="AJ146" s="124"/>
      <c r="AK146" s="124"/>
      <c r="AL146" s="124"/>
      <c r="AM146" s="124"/>
      <c r="AN146" s="124"/>
      <c r="AO146" s="124"/>
      <c r="AP146" s="124"/>
      <c r="AQ146" s="124"/>
      <c r="AR146" s="124"/>
      <c r="AS146" s="124"/>
      <c r="AT146" s="124"/>
      <c r="AU146" s="124"/>
      <c r="AV146" s="124"/>
      <c r="AW146" s="124"/>
      <c r="AX146" s="124"/>
      <c r="AY146" s="124"/>
      <c r="AZ146" s="146"/>
      <c r="BA146" s="125"/>
      <c r="BB146" s="125"/>
      <c r="BC146" s="125"/>
      <c r="BD146" s="125"/>
      <c r="BE146" s="125"/>
      <c r="BF146" s="125"/>
      <c r="BG146" s="125"/>
      <c r="BH146" s="125"/>
      <c r="BI146" s="125"/>
      <c r="BJ146" s="125"/>
      <c r="BK146" s="125"/>
      <c r="BL146" s="125"/>
      <c r="BM146" s="125"/>
      <c r="BN146" s="125"/>
      <c r="BO146" s="125"/>
      <c r="BP146" s="244">
        <f t="shared" si="36"/>
        <v>2.9213955443463641E-2</v>
      </c>
      <c r="BQ146" s="248">
        <f t="shared" si="39"/>
        <v>5.8427910886927281E-2</v>
      </c>
      <c r="BR146" s="105">
        <f t="shared" si="37"/>
        <v>1.3900000000000001</v>
      </c>
      <c r="BS146" s="248">
        <f t="shared" si="40"/>
        <v>2.7800000000000002</v>
      </c>
    </row>
    <row r="147" spans="1:71" s="16" customFormat="1" ht="17" hidden="1" x14ac:dyDescent="0.15">
      <c r="A147" s="118" t="s">
        <v>507</v>
      </c>
      <c r="B147" s="162" t="s">
        <v>420</v>
      </c>
      <c r="C147" s="162" t="s">
        <v>273</v>
      </c>
      <c r="D147" s="119" t="s">
        <v>462</v>
      </c>
      <c r="E147" s="117" t="s">
        <v>51</v>
      </c>
      <c r="F147" s="120">
        <v>46.199999999999996</v>
      </c>
      <c r="G147" s="120">
        <v>1.5385281385281384</v>
      </c>
      <c r="H147" s="120">
        <v>71.08</v>
      </c>
      <c r="I147" s="121">
        <v>3</v>
      </c>
      <c r="J147" s="122">
        <v>138.6</v>
      </c>
      <c r="K147" s="120"/>
      <c r="L147" s="123"/>
      <c r="M147" s="123"/>
      <c r="N147" s="123"/>
      <c r="O147" s="123"/>
      <c r="P147" s="123"/>
      <c r="Q147" s="123"/>
      <c r="R147" s="123"/>
      <c r="S147" s="123"/>
      <c r="T147" s="123"/>
      <c r="U147" s="252">
        <v>3</v>
      </c>
      <c r="V147" s="210">
        <f t="shared" si="29"/>
        <v>138.6</v>
      </c>
      <c r="W147" s="210"/>
      <c r="X147" s="210"/>
      <c r="Y147" s="210"/>
      <c r="Z147" s="210"/>
      <c r="AA147" s="210"/>
      <c r="AB147" s="210"/>
      <c r="AC147" s="163">
        <f t="shared" si="27"/>
        <v>3</v>
      </c>
      <c r="AD147" s="163">
        <f t="shared" si="27"/>
        <v>138.6</v>
      </c>
      <c r="AE147" s="124" t="s">
        <v>365</v>
      </c>
      <c r="AF147" s="124"/>
      <c r="AG147" s="124"/>
      <c r="AH147" s="124"/>
      <c r="AI147" s="124"/>
      <c r="AJ147" s="124"/>
      <c r="AK147" s="124"/>
      <c r="AL147" s="124"/>
      <c r="AM147" s="124"/>
      <c r="AN147" s="124"/>
      <c r="AO147" s="124"/>
      <c r="AP147" s="124"/>
      <c r="AQ147" s="124"/>
      <c r="AR147" s="124"/>
      <c r="AS147" s="124"/>
      <c r="AT147" s="124"/>
      <c r="AU147" s="124"/>
      <c r="AV147" s="124">
        <v>0.76926406926406921</v>
      </c>
      <c r="AW147" s="124">
        <v>35.54</v>
      </c>
      <c r="AX147" s="124"/>
      <c r="AY147" s="124"/>
      <c r="AZ147" s="146"/>
      <c r="BA147" s="125"/>
      <c r="BB147" s="125"/>
      <c r="BC147" s="125"/>
      <c r="BD147" s="125"/>
      <c r="BE147" s="125"/>
      <c r="BF147" s="125"/>
      <c r="BG147" s="125"/>
      <c r="BH147" s="125"/>
      <c r="BI147" s="125"/>
      <c r="BJ147" s="125"/>
      <c r="BK147" s="125"/>
      <c r="BL147" s="125"/>
      <c r="BM147" s="125"/>
      <c r="BN147" s="125"/>
      <c r="BO147" s="125"/>
      <c r="BP147" s="244">
        <f t="shared" si="36"/>
        <v>0.76926406926406921</v>
      </c>
      <c r="BQ147" s="248">
        <f t="shared" si="39"/>
        <v>1.5385281385281384</v>
      </c>
      <c r="BR147" s="105">
        <f t="shared" si="37"/>
        <v>35.54</v>
      </c>
      <c r="BS147" s="248">
        <f t="shared" si="40"/>
        <v>71.08</v>
      </c>
    </row>
    <row r="148" spans="1:71" s="16" customFormat="1" ht="17" hidden="1" x14ac:dyDescent="0.15">
      <c r="A148" s="118" t="s">
        <v>508</v>
      </c>
      <c r="B148" s="162" t="s">
        <v>773</v>
      </c>
      <c r="C148" s="211" t="s">
        <v>464</v>
      </c>
      <c r="D148" s="119" t="s">
        <v>505</v>
      </c>
      <c r="E148" s="117" t="s">
        <v>51</v>
      </c>
      <c r="F148" s="120">
        <v>95.16</v>
      </c>
      <c r="G148" s="120">
        <v>33.696156559899116</v>
      </c>
      <c r="H148" s="120">
        <v>3206.5262582399996</v>
      </c>
      <c r="I148" s="121">
        <v>18</v>
      </c>
      <c r="J148" s="122">
        <v>1712.8799999999999</v>
      </c>
      <c r="K148" s="120"/>
      <c r="L148" s="123"/>
      <c r="M148" s="123"/>
      <c r="N148" s="123"/>
      <c r="O148" s="123"/>
      <c r="P148" s="123"/>
      <c r="Q148" s="123"/>
      <c r="R148" s="123"/>
      <c r="S148" s="123"/>
      <c r="T148" s="123"/>
      <c r="U148" s="252">
        <v>18</v>
      </c>
      <c r="V148" s="210">
        <f t="shared" si="29"/>
        <v>1712.8799999999999</v>
      </c>
      <c r="W148" s="210"/>
      <c r="X148" s="210"/>
      <c r="Y148" s="210"/>
      <c r="Z148" s="210"/>
      <c r="AA148" s="210">
        <v>20</v>
      </c>
      <c r="AB148" s="210">
        <f>+AA148*F148</f>
        <v>1903.1999999999998</v>
      </c>
      <c r="AC148" s="163">
        <f t="shared" si="27"/>
        <v>38</v>
      </c>
      <c r="AD148" s="163">
        <f t="shared" si="27"/>
        <v>3616.08</v>
      </c>
      <c r="AE148" s="124" t="s">
        <v>725</v>
      </c>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46"/>
      <c r="BA148" s="125"/>
      <c r="BB148" s="125"/>
      <c r="BC148" s="125"/>
      <c r="BD148" s="125"/>
      <c r="BE148" s="125"/>
      <c r="BF148" s="125"/>
      <c r="BG148" s="125"/>
      <c r="BH148" s="125"/>
      <c r="BI148" s="125"/>
      <c r="BJ148" s="125"/>
      <c r="BK148" s="125"/>
      <c r="BL148" s="125">
        <v>16.848078279949558</v>
      </c>
      <c r="BM148" s="125">
        <v>1603.2631291199998</v>
      </c>
      <c r="BN148" s="125"/>
      <c r="BO148" s="125"/>
      <c r="BP148" s="244">
        <f t="shared" si="36"/>
        <v>16.848078279949558</v>
      </c>
      <c r="BQ148" s="248">
        <f t="shared" si="39"/>
        <v>33.696156559899116</v>
      </c>
      <c r="BR148" s="105">
        <f t="shared" si="37"/>
        <v>1603.2631291199998</v>
      </c>
      <c r="BS148" s="248">
        <f t="shared" si="40"/>
        <v>3206.5262582399996</v>
      </c>
    </row>
    <row r="149" spans="1:71" s="16" customFormat="1" ht="17" hidden="1" x14ac:dyDescent="0.15">
      <c r="A149" s="118" t="s">
        <v>609</v>
      </c>
      <c r="B149" s="208" t="s">
        <v>420</v>
      </c>
      <c r="C149" s="162" t="s">
        <v>712</v>
      </c>
      <c r="D149" s="119" t="s">
        <v>505</v>
      </c>
      <c r="E149" s="117" t="s">
        <v>51</v>
      </c>
      <c r="F149" s="120">
        <v>47.76</v>
      </c>
      <c r="G149" s="120">
        <f>+H149/F149</f>
        <v>10.288944723618091</v>
      </c>
      <c r="H149" s="120">
        <f>245.7*2</f>
        <v>491.4</v>
      </c>
      <c r="I149" s="121">
        <v>12</v>
      </c>
      <c r="J149" s="122">
        <v>573.12</v>
      </c>
      <c r="K149" s="120"/>
      <c r="L149" s="123"/>
      <c r="M149" s="123"/>
      <c r="N149" s="123"/>
      <c r="O149" s="123"/>
      <c r="P149" s="123"/>
      <c r="Q149" s="123"/>
      <c r="R149" s="123"/>
      <c r="S149" s="123"/>
      <c r="T149" s="123"/>
      <c r="U149" s="252"/>
      <c r="V149" s="210"/>
      <c r="W149" s="210">
        <v>12</v>
      </c>
      <c r="X149" s="210">
        <f>+W149*F149</f>
        <v>573.12</v>
      </c>
      <c r="Y149" s="210"/>
      <c r="Z149" s="210"/>
      <c r="AA149" s="210"/>
      <c r="AB149" s="210"/>
      <c r="AC149" s="163">
        <f t="shared" si="27"/>
        <v>12</v>
      </c>
      <c r="AD149" s="163">
        <f t="shared" si="27"/>
        <v>573.12</v>
      </c>
      <c r="AE149" s="124" t="s">
        <v>601</v>
      </c>
      <c r="AF149" s="124"/>
      <c r="AG149" s="124"/>
      <c r="AH149" s="124"/>
      <c r="AI149" s="124"/>
      <c r="AJ149" s="124"/>
      <c r="AK149" s="124"/>
      <c r="AL149" s="124"/>
      <c r="AM149" s="124"/>
      <c r="AN149" s="124"/>
      <c r="AO149" s="124"/>
      <c r="AP149" s="124"/>
      <c r="AQ149" s="124"/>
      <c r="AR149" s="124"/>
      <c r="AS149" s="124"/>
      <c r="AT149" s="124">
        <v>5.1640131147540984</v>
      </c>
      <c r="AU149" s="124">
        <v>245.70374399999997</v>
      </c>
      <c r="AV149" s="124"/>
      <c r="AW149" s="124"/>
      <c r="AX149" s="124"/>
      <c r="AY149" s="124"/>
      <c r="AZ149" s="146"/>
      <c r="BA149" s="125"/>
      <c r="BB149" s="125"/>
      <c r="BC149" s="125"/>
      <c r="BD149" s="125"/>
      <c r="BE149" s="125"/>
      <c r="BF149" s="125"/>
      <c r="BG149" s="125"/>
      <c r="BH149" s="125"/>
      <c r="BI149" s="125"/>
      <c r="BJ149" s="125"/>
      <c r="BK149" s="125"/>
      <c r="BL149" s="125"/>
      <c r="BM149" s="125"/>
      <c r="BN149" s="125"/>
      <c r="BO149" s="125"/>
      <c r="BP149" s="244">
        <f t="shared" si="36"/>
        <v>5.1640131147540984</v>
      </c>
      <c r="BQ149" s="248">
        <f t="shared" si="39"/>
        <v>10.328026229508197</v>
      </c>
      <c r="BR149" s="105">
        <f t="shared" si="37"/>
        <v>245.70374399999997</v>
      </c>
      <c r="BS149" s="248">
        <f t="shared" si="40"/>
        <v>491.40748799999994</v>
      </c>
    </row>
    <row r="150" spans="1:71" s="16" customFormat="1" ht="17" hidden="1" x14ac:dyDescent="0.15">
      <c r="A150" s="118" t="s">
        <v>711</v>
      </c>
      <c r="B150" s="208" t="s">
        <v>774</v>
      </c>
      <c r="C150" s="162" t="s">
        <v>610</v>
      </c>
      <c r="D150" s="119" t="s">
        <v>505</v>
      </c>
      <c r="E150" s="117" t="s">
        <v>51</v>
      </c>
      <c r="F150" s="120">
        <f>12*7.93</f>
        <v>95.16</v>
      </c>
      <c r="G150" s="120">
        <v>59.612801008827233</v>
      </c>
      <c r="H150" s="120">
        <v>5672.7541439999995</v>
      </c>
      <c r="I150" s="121">
        <v>50.577989949748748</v>
      </c>
      <c r="J150" s="122">
        <v>4831.2096000000001</v>
      </c>
      <c r="K150" s="120"/>
      <c r="L150" s="123"/>
      <c r="M150" s="123"/>
      <c r="N150" s="123"/>
      <c r="O150" s="123"/>
      <c r="P150" s="123"/>
      <c r="Q150" s="123"/>
      <c r="R150" s="123"/>
      <c r="S150" s="123"/>
      <c r="T150" s="123"/>
      <c r="U150" s="252"/>
      <c r="V150" s="210"/>
      <c r="W150" s="210">
        <f>+G150*1.12</f>
        <v>66.766337129886509</v>
      </c>
      <c r="X150" s="210">
        <f>+W150*F150</f>
        <v>6353.4846412799998</v>
      </c>
      <c r="Y150" s="210"/>
      <c r="Z150" s="210"/>
      <c r="AA150" s="210">
        <v>12.87</v>
      </c>
      <c r="AB150" s="210">
        <f>+AA150*F150</f>
        <v>1224.7091999999998</v>
      </c>
      <c r="AC150" s="163">
        <f t="shared" si="27"/>
        <v>63.447989949748745</v>
      </c>
      <c r="AD150" s="163">
        <f t="shared" si="27"/>
        <v>6055.9187999999995</v>
      </c>
      <c r="AE150" s="124" t="s">
        <v>725</v>
      </c>
      <c r="AF150" s="124"/>
      <c r="AG150" s="124"/>
      <c r="AH150" s="124"/>
      <c r="AI150" s="124"/>
      <c r="AJ150" s="124"/>
      <c r="AK150" s="124"/>
      <c r="AL150" s="124"/>
      <c r="AM150" s="124"/>
      <c r="AN150" s="124"/>
      <c r="AO150" s="124"/>
      <c r="AP150" s="124"/>
      <c r="AQ150" s="124"/>
      <c r="AR150" s="124"/>
      <c r="AS150" s="124"/>
      <c r="AT150" s="124">
        <v>29.806400504413617</v>
      </c>
      <c r="AU150" s="124">
        <v>2836.3770719999998</v>
      </c>
      <c r="AV150" s="124"/>
      <c r="AW150" s="124"/>
      <c r="AX150" s="124"/>
      <c r="AY150" s="124"/>
      <c r="AZ150" s="146"/>
      <c r="BA150" s="125"/>
      <c r="BB150" s="125"/>
      <c r="BC150" s="125"/>
      <c r="BD150" s="125"/>
      <c r="BE150" s="125"/>
      <c r="BF150" s="125"/>
      <c r="BG150" s="125"/>
      <c r="BH150" s="125"/>
      <c r="BI150" s="125"/>
      <c r="BJ150" s="125"/>
      <c r="BK150" s="125"/>
      <c r="BL150" s="125"/>
      <c r="BM150" s="125"/>
      <c r="BN150" s="125"/>
      <c r="BO150" s="125"/>
      <c r="BP150" s="244">
        <f t="shared" si="36"/>
        <v>29.806400504413617</v>
      </c>
      <c r="BQ150" s="248">
        <f t="shared" si="39"/>
        <v>59.612801008827233</v>
      </c>
      <c r="BR150" s="105">
        <f t="shared" si="37"/>
        <v>2836.3770719999998</v>
      </c>
      <c r="BS150" s="248">
        <f t="shared" si="40"/>
        <v>5672.7541439999995</v>
      </c>
    </row>
    <row r="151" spans="1:71" s="16" customFormat="1" ht="17" hidden="1" x14ac:dyDescent="0.15">
      <c r="A151" s="118" t="s">
        <v>612</v>
      </c>
      <c r="B151" s="162" t="s">
        <v>420</v>
      </c>
      <c r="C151" s="162" t="s">
        <v>464</v>
      </c>
      <c r="D151" s="119" t="s">
        <v>614</v>
      </c>
      <c r="E151" s="117" t="s">
        <v>51</v>
      </c>
      <c r="F151" s="120">
        <v>94.199999999999989</v>
      </c>
      <c r="G151" s="120">
        <v>19.180084815200001</v>
      </c>
      <c r="H151" s="120">
        <v>1825.176871014432</v>
      </c>
      <c r="I151" s="121">
        <v>27</v>
      </c>
      <c r="J151" s="122">
        <v>2543.3999999999996</v>
      </c>
      <c r="K151" s="120"/>
      <c r="L151" s="123"/>
      <c r="M151" s="123"/>
      <c r="N151" s="123"/>
      <c r="O151" s="123"/>
      <c r="P151" s="123"/>
      <c r="Q151" s="123"/>
      <c r="R151" s="123"/>
      <c r="S151" s="123"/>
      <c r="T151" s="123"/>
      <c r="U151" s="252"/>
      <c r="V151" s="210"/>
      <c r="W151" s="210">
        <v>27</v>
      </c>
      <c r="X151" s="210">
        <f>+W151*F151</f>
        <v>2543.3999999999996</v>
      </c>
      <c r="Y151" s="210"/>
      <c r="Z151" s="210"/>
      <c r="AA151" s="210"/>
      <c r="AB151" s="210"/>
      <c r="AC151" s="163">
        <f t="shared" si="27"/>
        <v>27</v>
      </c>
      <c r="AD151" s="163">
        <f t="shared" si="27"/>
        <v>2543.3999999999996</v>
      </c>
      <c r="AE151" s="124" t="s">
        <v>601</v>
      </c>
      <c r="AF151" s="124"/>
      <c r="AG151" s="124"/>
      <c r="AH151" s="124"/>
      <c r="AI151" s="124"/>
      <c r="AJ151" s="124"/>
      <c r="AK151" s="124"/>
      <c r="AL151" s="124"/>
      <c r="AM151" s="124"/>
      <c r="AN151" s="124"/>
      <c r="AO151" s="124"/>
      <c r="AP151" s="124"/>
      <c r="AQ151" s="124"/>
      <c r="AR151" s="124">
        <v>9.5900424076000004</v>
      </c>
      <c r="AS151" s="124">
        <v>912.58843550721599</v>
      </c>
      <c r="AT151" s="124"/>
      <c r="AU151" s="124"/>
      <c r="AV151" s="124"/>
      <c r="AW151" s="124"/>
      <c r="AX151" s="124"/>
      <c r="AY151" s="124"/>
      <c r="AZ151" s="146"/>
      <c r="BA151" s="125"/>
      <c r="BB151" s="125"/>
      <c r="BC151" s="125"/>
      <c r="BD151" s="125"/>
      <c r="BE151" s="125"/>
      <c r="BF151" s="125"/>
      <c r="BG151" s="125"/>
      <c r="BH151" s="125"/>
      <c r="BI151" s="125"/>
      <c r="BJ151" s="125"/>
      <c r="BK151" s="125"/>
      <c r="BL151" s="125"/>
      <c r="BM151" s="125"/>
      <c r="BN151" s="125"/>
      <c r="BO151" s="125"/>
      <c r="BP151" s="244">
        <f t="shared" si="36"/>
        <v>9.5900424076000004</v>
      </c>
      <c r="BQ151" s="248">
        <f t="shared" si="39"/>
        <v>19.180084815200001</v>
      </c>
      <c r="BR151" s="105">
        <f t="shared" si="37"/>
        <v>912.58843550721599</v>
      </c>
      <c r="BS151" s="248">
        <f t="shared" si="40"/>
        <v>1825.176871014432</v>
      </c>
    </row>
    <row r="152" spans="1:71" s="16" customFormat="1" ht="17" hidden="1" x14ac:dyDescent="0.15">
      <c r="A152" s="118" t="s">
        <v>613</v>
      </c>
      <c r="B152" s="162" t="s">
        <v>420</v>
      </c>
      <c r="C152" s="162" t="s">
        <v>615</v>
      </c>
      <c r="D152" s="119" t="s">
        <v>614</v>
      </c>
      <c r="E152" s="117" t="s">
        <v>51</v>
      </c>
      <c r="F152" s="120">
        <v>47.099999999999994</v>
      </c>
      <c r="G152" s="120">
        <v>2.4716644380000004</v>
      </c>
      <c r="H152" s="120">
        <v>117.60179396004</v>
      </c>
      <c r="I152" s="121">
        <v>4.5</v>
      </c>
      <c r="J152" s="122">
        <v>211.95</v>
      </c>
      <c r="K152" s="120"/>
      <c r="L152" s="123"/>
      <c r="M152" s="123"/>
      <c r="N152" s="123"/>
      <c r="O152" s="123"/>
      <c r="P152" s="123"/>
      <c r="Q152" s="123"/>
      <c r="R152" s="123"/>
      <c r="S152" s="123"/>
      <c r="T152" s="123"/>
      <c r="U152" s="252"/>
      <c r="V152" s="210"/>
      <c r="W152" s="210">
        <v>4.5</v>
      </c>
      <c r="X152" s="210">
        <f>+W152*F152</f>
        <v>211.95</v>
      </c>
      <c r="Y152" s="210"/>
      <c r="Z152" s="210"/>
      <c r="AA152" s="210"/>
      <c r="AB152" s="210"/>
      <c r="AC152" s="163">
        <f t="shared" si="27"/>
        <v>4.5</v>
      </c>
      <c r="AD152" s="163">
        <f t="shared" si="27"/>
        <v>211.95</v>
      </c>
      <c r="AE152" s="124" t="s">
        <v>601</v>
      </c>
      <c r="AF152" s="124"/>
      <c r="AG152" s="124"/>
      <c r="AH152" s="124"/>
      <c r="AI152" s="124"/>
      <c r="AJ152" s="124"/>
      <c r="AK152" s="124"/>
      <c r="AL152" s="124"/>
      <c r="AM152" s="124"/>
      <c r="AN152" s="124"/>
      <c r="AO152" s="124"/>
      <c r="AP152" s="124"/>
      <c r="AQ152" s="124"/>
      <c r="AR152" s="124">
        <v>1.2358322190000002</v>
      </c>
      <c r="AS152" s="124">
        <v>58.800896980019999</v>
      </c>
      <c r="AT152" s="124"/>
      <c r="AU152" s="124"/>
      <c r="AV152" s="124"/>
      <c r="AW152" s="124"/>
      <c r="AX152" s="124"/>
      <c r="AY152" s="124"/>
      <c r="AZ152" s="146"/>
      <c r="BA152" s="125"/>
      <c r="BB152" s="125"/>
      <c r="BC152" s="125"/>
      <c r="BD152" s="125"/>
      <c r="BE152" s="125"/>
      <c r="BF152" s="125"/>
      <c r="BG152" s="125"/>
      <c r="BH152" s="125"/>
      <c r="BI152" s="125"/>
      <c r="BJ152" s="125"/>
      <c r="BK152" s="125"/>
      <c r="BL152" s="125"/>
      <c r="BM152" s="125"/>
      <c r="BN152" s="125"/>
      <c r="BO152" s="125"/>
      <c r="BP152" s="244">
        <f t="shared" si="36"/>
        <v>1.2358322190000002</v>
      </c>
      <c r="BQ152" s="248">
        <f t="shared" si="39"/>
        <v>2.4716644380000004</v>
      </c>
      <c r="BR152" s="105">
        <f t="shared" si="37"/>
        <v>58.800896980019999</v>
      </c>
      <c r="BS152" s="248">
        <f t="shared" si="40"/>
        <v>117.60179396004</v>
      </c>
    </row>
    <row r="153" spans="1:71" s="16" customFormat="1" ht="17" hidden="1" x14ac:dyDescent="0.15">
      <c r="A153" s="118" t="s">
        <v>627</v>
      </c>
      <c r="B153" s="162" t="s">
        <v>469</v>
      </c>
      <c r="C153" s="162" t="s">
        <v>634</v>
      </c>
      <c r="D153" s="119" t="s">
        <v>455</v>
      </c>
      <c r="E153" s="117" t="s">
        <v>121</v>
      </c>
      <c r="F153" s="120">
        <v>60.61</v>
      </c>
      <c r="G153" s="120">
        <v>14.74</v>
      </c>
      <c r="H153" s="120">
        <v>893.36</v>
      </c>
      <c r="I153" s="121">
        <v>15.771800000000001</v>
      </c>
      <c r="J153" s="122">
        <v>955.92879800000003</v>
      </c>
      <c r="K153" s="120"/>
      <c r="L153" s="123"/>
      <c r="M153" s="123"/>
      <c r="N153" s="123"/>
      <c r="O153" s="123"/>
      <c r="P153" s="123"/>
      <c r="Q153" s="123"/>
      <c r="R153" s="123"/>
      <c r="S153" s="123"/>
      <c r="T153" s="123"/>
      <c r="U153" s="252"/>
      <c r="V153" s="210"/>
      <c r="W153" s="210"/>
      <c r="X153" s="210"/>
      <c r="Y153" s="210">
        <v>15.771800000000001</v>
      </c>
      <c r="Z153" s="251">
        <f t="shared" ref="Z153:Z154" si="41">+Y153*F153</f>
        <v>955.92879800000003</v>
      </c>
      <c r="AA153" s="251"/>
      <c r="AB153" s="251">
        <f>+AA153*F153</f>
        <v>0</v>
      </c>
      <c r="AC153" s="163">
        <f t="shared" si="27"/>
        <v>15.771800000000001</v>
      </c>
      <c r="AD153" s="163">
        <f t="shared" si="27"/>
        <v>955.92879800000003</v>
      </c>
      <c r="AE153" s="124" t="s">
        <v>703</v>
      </c>
      <c r="AF153" s="124"/>
      <c r="AG153" s="124"/>
      <c r="AH153" s="124"/>
      <c r="AI153" s="124"/>
      <c r="AJ153" s="222">
        <v>7.37</v>
      </c>
      <c r="AK153" s="222">
        <v>446.68</v>
      </c>
      <c r="AL153" s="222"/>
      <c r="AM153" s="222"/>
      <c r="AN153" s="222"/>
      <c r="AO153" s="222"/>
      <c r="AP153" s="222"/>
      <c r="AQ153" s="222"/>
      <c r="AR153" s="222"/>
      <c r="AS153" s="222"/>
      <c r="AT153" s="222"/>
      <c r="AU153" s="222"/>
      <c r="AV153" s="222"/>
      <c r="AW153" s="222"/>
      <c r="AX153" s="222"/>
      <c r="AY153" s="222"/>
      <c r="AZ153" s="146"/>
      <c r="BA153" s="125"/>
      <c r="BB153" s="125"/>
      <c r="BC153" s="125"/>
      <c r="BD153" s="125"/>
      <c r="BE153" s="125"/>
      <c r="BF153" s="125"/>
      <c r="BG153" s="125"/>
      <c r="BH153" s="125"/>
      <c r="BI153" s="125"/>
      <c r="BJ153" s="125"/>
      <c r="BK153" s="125"/>
      <c r="BL153" s="125"/>
      <c r="BM153" s="125"/>
      <c r="BN153" s="125"/>
      <c r="BO153" s="125"/>
      <c r="BP153" s="244">
        <f t="shared" si="36"/>
        <v>7.37</v>
      </c>
      <c r="BQ153" s="248">
        <f t="shared" si="39"/>
        <v>14.74</v>
      </c>
      <c r="BR153" s="105">
        <f t="shared" si="37"/>
        <v>446.68</v>
      </c>
      <c r="BS153" s="248">
        <f t="shared" si="40"/>
        <v>893.36</v>
      </c>
    </row>
    <row r="154" spans="1:71" s="16" customFormat="1" ht="17" hidden="1" x14ac:dyDescent="0.15">
      <c r="A154" s="118" t="s">
        <v>628</v>
      </c>
      <c r="B154" s="162" t="s">
        <v>420</v>
      </c>
      <c r="C154" s="162" t="s">
        <v>460</v>
      </c>
      <c r="D154" s="119" t="s">
        <v>638</v>
      </c>
      <c r="E154" s="117" t="s">
        <v>51</v>
      </c>
      <c r="F154" s="120">
        <v>11.895</v>
      </c>
      <c r="G154" s="120">
        <v>32.068936527952921</v>
      </c>
      <c r="H154" s="120">
        <v>381.46</v>
      </c>
      <c r="I154" s="121">
        <v>17.795460277427491</v>
      </c>
      <c r="J154" s="122">
        <v>211.67699999999999</v>
      </c>
      <c r="K154" s="120"/>
      <c r="L154" s="123"/>
      <c r="M154" s="123"/>
      <c r="N154" s="123"/>
      <c r="O154" s="123"/>
      <c r="P154" s="123"/>
      <c r="Q154" s="123"/>
      <c r="R154" s="123"/>
      <c r="S154" s="123"/>
      <c r="T154" s="123"/>
      <c r="U154" s="252"/>
      <c r="V154" s="210"/>
      <c r="W154" s="210"/>
      <c r="X154" s="210"/>
      <c r="Y154" s="210">
        <v>17.795460277427491</v>
      </c>
      <c r="Z154" s="251">
        <f t="shared" si="41"/>
        <v>211.67699999999999</v>
      </c>
      <c r="AA154" s="251">
        <v>19</v>
      </c>
      <c r="AB154" s="251">
        <f>+AA154*F154</f>
        <v>226.005</v>
      </c>
      <c r="AC154" s="163">
        <f t="shared" si="27"/>
        <v>36.795460277427495</v>
      </c>
      <c r="AD154" s="163">
        <f t="shared" si="27"/>
        <v>437.68200000000002</v>
      </c>
      <c r="AE154" s="124" t="s">
        <v>725</v>
      </c>
      <c r="AF154" s="124"/>
      <c r="AG154" s="124"/>
      <c r="AH154" s="124"/>
      <c r="AI154" s="124"/>
      <c r="AJ154" s="209">
        <v>8.0159730979403108</v>
      </c>
      <c r="AK154" s="209">
        <v>95.35</v>
      </c>
      <c r="AL154" s="209"/>
      <c r="AM154" s="209"/>
      <c r="AN154" s="209"/>
      <c r="AO154" s="209"/>
      <c r="AP154" s="209"/>
      <c r="AQ154" s="209"/>
      <c r="AR154" s="209"/>
      <c r="AS154" s="209"/>
      <c r="AT154" s="209">
        <v>8.0184951660361499</v>
      </c>
      <c r="AU154" s="209">
        <v>95.38</v>
      </c>
      <c r="AV154" s="209"/>
      <c r="AW154" s="209"/>
      <c r="AX154" s="209"/>
      <c r="AY154" s="209"/>
      <c r="AZ154" s="146"/>
      <c r="BA154" s="125"/>
      <c r="BB154" s="125"/>
      <c r="BC154" s="125"/>
      <c r="BD154" s="125"/>
      <c r="BE154" s="125"/>
      <c r="BF154" s="125"/>
      <c r="BG154" s="125"/>
      <c r="BH154" s="125"/>
      <c r="BI154" s="125"/>
      <c r="BJ154" s="125"/>
      <c r="BK154" s="125"/>
      <c r="BL154" s="125"/>
      <c r="BM154" s="125"/>
      <c r="BN154" s="125"/>
      <c r="BO154" s="125"/>
      <c r="BP154" s="244">
        <f t="shared" si="36"/>
        <v>16.034468263976461</v>
      </c>
      <c r="BQ154" s="248">
        <f t="shared" si="39"/>
        <v>32.068936527952921</v>
      </c>
      <c r="BR154" s="105">
        <f t="shared" si="37"/>
        <v>190.73</v>
      </c>
      <c r="BS154" s="248">
        <f t="shared" si="40"/>
        <v>381.46</v>
      </c>
    </row>
    <row r="155" spans="1:71" s="16" customFormat="1" ht="17" hidden="1" x14ac:dyDescent="0.15">
      <c r="A155" s="118" t="s">
        <v>629</v>
      </c>
      <c r="B155" s="162" t="s">
        <v>420</v>
      </c>
      <c r="C155" s="162" t="s">
        <v>722</v>
      </c>
      <c r="D155" s="119" t="s">
        <v>638</v>
      </c>
      <c r="E155" s="117" t="s">
        <v>51</v>
      </c>
      <c r="F155" s="120">
        <v>79.3</v>
      </c>
      <c r="G155" s="120">
        <v>0.10390920554854982</v>
      </c>
      <c r="H155" s="120">
        <v>8.24</v>
      </c>
      <c r="I155" s="121"/>
      <c r="J155" s="122"/>
      <c r="K155" s="120"/>
      <c r="L155" s="123"/>
      <c r="M155" s="123"/>
      <c r="N155" s="123"/>
      <c r="O155" s="123"/>
      <c r="P155" s="123"/>
      <c r="Q155" s="123"/>
      <c r="R155" s="123"/>
      <c r="S155" s="123"/>
      <c r="T155" s="123"/>
      <c r="U155" s="252"/>
      <c r="V155" s="210"/>
      <c r="W155" s="210"/>
      <c r="X155" s="210"/>
      <c r="Y155" s="210"/>
      <c r="Z155" s="210"/>
      <c r="AA155" s="210">
        <v>1</v>
      </c>
      <c r="AB155" s="210">
        <f>+AA155*F155</f>
        <v>79.3</v>
      </c>
      <c r="AC155" s="163">
        <f t="shared" si="27"/>
        <v>1</v>
      </c>
      <c r="AD155" s="163">
        <f t="shared" si="27"/>
        <v>79.3</v>
      </c>
      <c r="AE155" s="124" t="s">
        <v>725</v>
      </c>
      <c r="AF155" s="124"/>
      <c r="AG155" s="124"/>
      <c r="AH155" s="124"/>
      <c r="AI155" s="124"/>
      <c r="AJ155" s="222">
        <v>2.5977301387137455E-2</v>
      </c>
      <c r="AK155" s="222">
        <v>2.06</v>
      </c>
      <c r="AL155" s="222"/>
      <c r="AM155" s="222"/>
      <c r="AN155" s="222"/>
      <c r="AO155" s="222"/>
      <c r="AP155" s="222"/>
      <c r="AQ155" s="222"/>
      <c r="AR155" s="222"/>
      <c r="AS155" s="222"/>
      <c r="AT155" s="222">
        <v>2.5977301387137455E-2</v>
      </c>
      <c r="AU155" s="222">
        <v>2.06</v>
      </c>
      <c r="AV155" s="222"/>
      <c r="AW155" s="222"/>
      <c r="AX155" s="222"/>
      <c r="AY155" s="222"/>
      <c r="AZ155" s="146"/>
      <c r="BA155" s="125"/>
      <c r="BB155" s="125"/>
      <c r="BC155" s="125"/>
      <c r="BD155" s="125"/>
      <c r="BE155" s="125"/>
      <c r="BF155" s="125"/>
      <c r="BG155" s="125"/>
      <c r="BH155" s="125"/>
      <c r="BI155" s="125"/>
      <c r="BJ155" s="125"/>
      <c r="BK155" s="125"/>
      <c r="BL155" s="125"/>
      <c r="BM155" s="125"/>
      <c r="BN155" s="125"/>
      <c r="BO155" s="125"/>
      <c r="BP155" s="244">
        <f t="shared" si="36"/>
        <v>5.1954602774274911E-2</v>
      </c>
      <c r="BQ155" s="248">
        <f t="shared" si="39"/>
        <v>0.10390920554854982</v>
      </c>
      <c r="BR155" s="105">
        <f t="shared" si="37"/>
        <v>4.12</v>
      </c>
      <c r="BS155" s="248">
        <f t="shared" si="40"/>
        <v>8.24</v>
      </c>
    </row>
    <row r="156" spans="1:71" s="16" customFormat="1" ht="17" hidden="1" x14ac:dyDescent="0.15">
      <c r="A156" s="118" t="s">
        <v>630</v>
      </c>
      <c r="B156" s="162" t="s">
        <v>470</v>
      </c>
      <c r="C156" s="162" t="s">
        <v>707</v>
      </c>
      <c r="D156" s="119" t="s">
        <v>471</v>
      </c>
      <c r="E156" s="117" t="s">
        <v>51</v>
      </c>
      <c r="F156" s="120">
        <v>111.02</v>
      </c>
      <c r="G156" s="120">
        <v>0.85624211853720056</v>
      </c>
      <c r="H156" s="120">
        <v>95.06</v>
      </c>
      <c r="I156" s="121">
        <v>3</v>
      </c>
      <c r="J156" s="122">
        <v>333.06</v>
      </c>
      <c r="K156" s="120"/>
      <c r="L156" s="123"/>
      <c r="M156" s="123"/>
      <c r="N156" s="123"/>
      <c r="O156" s="123"/>
      <c r="P156" s="123"/>
      <c r="Q156" s="123"/>
      <c r="R156" s="123"/>
      <c r="S156" s="123"/>
      <c r="T156" s="123"/>
      <c r="U156" s="252"/>
      <c r="V156" s="210"/>
      <c r="W156" s="210"/>
      <c r="X156" s="210"/>
      <c r="Y156" s="210">
        <v>3</v>
      </c>
      <c r="Z156" s="251">
        <f t="shared" ref="Z156:Z164" si="42">+Y156*F156</f>
        <v>333.06</v>
      </c>
      <c r="AA156" s="251"/>
      <c r="AB156" s="251"/>
      <c r="AC156" s="163">
        <f t="shared" si="27"/>
        <v>3</v>
      </c>
      <c r="AD156" s="163">
        <f t="shared" si="27"/>
        <v>333.06</v>
      </c>
      <c r="AE156" s="124" t="s">
        <v>703</v>
      </c>
      <c r="AF156" s="124"/>
      <c r="AG156" s="124"/>
      <c r="AH156" s="124"/>
      <c r="AI156" s="124"/>
      <c r="AJ156" s="222">
        <v>0.42812105926860028</v>
      </c>
      <c r="AK156" s="222">
        <v>47.53</v>
      </c>
      <c r="AL156" s="222"/>
      <c r="AM156" s="222"/>
      <c r="AN156" s="222"/>
      <c r="AO156" s="222"/>
      <c r="AP156" s="222"/>
      <c r="AQ156" s="222"/>
      <c r="AR156" s="222"/>
      <c r="AS156" s="222"/>
      <c r="AT156" s="222"/>
      <c r="AU156" s="222"/>
      <c r="AV156" s="222"/>
      <c r="AW156" s="222"/>
      <c r="AX156" s="222"/>
      <c r="AY156" s="222"/>
      <c r="AZ156" s="146"/>
      <c r="BA156" s="125"/>
      <c r="BB156" s="125"/>
      <c r="BC156" s="125"/>
      <c r="BD156" s="125"/>
      <c r="BE156" s="125"/>
      <c r="BF156" s="125"/>
      <c r="BG156" s="125"/>
      <c r="BH156" s="125"/>
      <c r="BI156" s="125"/>
      <c r="BJ156" s="125"/>
      <c r="BK156" s="125"/>
      <c r="BL156" s="125"/>
      <c r="BM156" s="125"/>
      <c r="BN156" s="125"/>
      <c r="BO156" s="125"/>
      <c r="BP156" s="244">
        <f t="shared" si="36"/>
        <v>0.42812105926860028</v>
      </c>
      <c r="BQ156" s="248">
        <f t="shared" si="39"/>
        <v>0.85624211853720056</v>
      </c>
      <c r="BR156" s="105">
        <f t="shared" si="37"/>
        <v>47.53</v>
      </c>
      <c r="BS156" s="248">
        <f t="shared" si="40"/>
        <v>95.06</v>
      </c>
    </row>
    <row r="157" spans="1:71" s="16" customFormat="1" ht="17" hidden="1" x14ac:dyDescent="0.15">
      <c r="A157" s="118" t="s">
        <v>631</v>
      </c>
      <c r="B157" s="162" t="s">
        <v>420</v>
      </c>
      <c r="C157" s="162" t="s">
        <v>611</v>
      </c>
      <c r="D157" s="119" t="s">
        <v>638</v>
      </c>
      <c r="E157" s="117" t="s">
        <v>51</v>
      </c>
      <c r="F157" s="120">
        <v>47.58</v>
      </c>
      <c r="G157" s="120">
        <v>44.456494325346789</v>
      </c>
      <c r="H157" s="120">
        <v>2115.2400000000002</v>
      </c>
      <c r="I157" s="121">
        <v>49.346708701134943</v>
      </c>
      <c r="J157" s="122">
        <v>2347.9164000000005</v>
      </c>
      <c r="K157" s="120"/>
      <c r="L157" s="123"/>
      <c r="M157" s="123"/>
      <c r="N157" s="123"/>
      <c r="O157" s="123"/>
      <c r="P157" s="123"/>
      <c r="Q157" s="123"/>
      <c r="R157" s="123"/>
      <c r="S157" s="123"/>
      <c r="T157" s="123"/>
      <c r="U157" s="252"/>
      <c r="V157" s="210"/>
      <c r="W157" s="210"/>
      <c r="X157" s="210"/>
      <c r="Y157" s="210">
        <v>49.346708701134943</v>
      </c>
      <c r="Z157" s="251">
        <f t="shared" si="42"/>
        <v>2347.9164000000005</v>
      </c>
      <c r="AA157" s="251">
        <v>2</v>
      </c>
      <c r="AB157" s="251">
        <f>+AA157*F157</f>
        <v>95.16</v>
      </c>
      <c r="AC157" s="163">
        <f t="shared" si="27"/>
        <v>51.346708701134943</v>
      </c>
      <c r="AD157" s="163">
        <f t="shared" si="27"/>
        <v>2443.0764000000004</v>
      </c>
      <c r="AE157" s="124" t="s">
        <v>725</v>
      </c>
      <c r="AF157" s="124"/>
      <c r="AG157" s="124"/>
      <c r="AH157" s="124"/>
      <c r="AI157" s="124"/>
      <c r="AJ157" s="222">
        <v>22.228247162673394</v>
      </c>
      <c r="AK157" s="222">
        <v>1057.6200000000001</v>
      </c>
      <c r="AL157" s="222"/>
      <c r="AM157" s="222"/>
      <c r="AN157" s="222"/>
      <c r="AO157" s="222"/>
      <c r="AP157" s="222"/>
      <c r="AQ157" s="222"/>
      <c r="AR157" s="222"/>
      <c r="AS157" s="222"/>
      <c r="AT157" s="222"/>
      <c r="AU157" s="222"/>
      <c r="AV157" s="222"/>
      <c r="AW157" s="222"/>
      <c r="AX157" s="222"/>
      <c r="AY157" s="222"/>
      <c r="AZ157" s="146"/>
      <c r="BA157" s="125"/>
      <c r="BB157" s="125"/>
      <c r="BC157" s="125"/>
      <c r="BD157" s="125"/>
      <c r="BE157" s="125"/>
      <c r="BF157" s="125"/>
      <c r="BG157" s="125"/>
      <c r="BH157" s="125"/>
      <c r="BI157" s="125"/>
      <c r="BJ157" s="125"/>
      <c r="BK157" s="125"/>
      <c r="BL157" s="125"/>
      <c r="BM157" s="125"/>
      <c r="BN157" s="125"/>
      <c r="BO157" s="125"/>
      <c r="BP157" s="244">
        <f t="shared" si="36"/>
        <v>22.228247162673394</v>
      </c>
      <c r="BQ157" s="248">
        <f t="shared" si="39"/>
        <v>44.456494325346789</v>
      </c>
      <c r="BR157" s="105">
        <f t="shared" si="37"/>
        <v>1057.6200000000001</v>
      </c>
      <c r="BS157" s="248">
        <f t="shared" si="40"/>
        <v>2115.2400000000002</v>
      </c>
    </row>
    <row r="158" spans="1:71" s="16" customFormat="1" ht="17" hidden="1" x14ac:dyDescent="0.15">
      <c r="A158" s="118" t="s">
        <v>632</v>
      </c>
      <c r="B158" s="162" t="s">
        <v>639</v>
      </c>
      <c r="C158" s="162" t="s">
        <v>640</v>
      </c>
      <c r="D158" s="119" t="s">
        <v>638</v>
      </c>
      <c r="E158" s="117" t="s">
        <v>121</v>
      </c>
      <c r="F158" s="120">
        <v>0.88800000000000001</v>
      </c>
      <c r="G158" s="120">
        <v>2.8479999999999999</v>
      </c>
      <c r="H158" s="120">
        <v>2.2999999999999998</v>
      </c>
      <c r="I158" s="121">
        <v>3</v>
      </c>
      <c r="J158" s="122">
        <v>2.6640000000000001</v>
      </c>
      <c r="K158" s="120"/>
      <c r="L158" s="123"/>
      <c r="M158" s="123"/>
      <c r="N158" s="123"/>
      <c r="O158" s="123"/>
      <c r="P158" s="123"/>
      <c r="Q158" s="123"/>
      <c r="R158" s="123"/>
      <c r="S158" s="123"/>
      <c r="T158" s="123"/>
      <c r="U158" s="252"/>
      <c r="V158" s="210"/>
      <c r="W158" s="210"/>
      <c r="X158" s="210"/>
      <c r="Y158" s="210">
        <v>3</v>
      </c>
      <c r="Z158" s="251">
        <f t="shared" si="42"/>
        <v>2.6640000000000001</v>
      </c>
      <c r="AA158" s="251"/>
      <c r="AB158" s="251"/>
      <c r="AC158" s="163">
        <f t="shared" si="27"/>
        <v>3</v>
      </c>
      <c r="AD158" s="163">
        <f t="shared" si="27"/>
        <v>2.6640000000000001</v>
      </c>
      <c r="AE158" s="124" t="s">
        <v>703</v>
      </c>
      <c r="AF158" s="124"/>
      <c r="AG158" s="124"/>
      <c r="AH158" s="124"/>
      <c r="AI158" s="124"/>
      <c r="AJ158" s="209">
        <v>0.71199999999999997</v>
      </c>
      <c r="AK158" s="209">
        <v>0.56999999999999995</v>
      </c>
      <c r="AL158" s="209"/>
      <c r="AM158" s="209"/>
      <c r="AN158" s="209"/>
      <c r="AO158" s="209"/>
      <c r="AP158" s="209"/>
      <c r="AQ158" s="209"/>
      <c r="AR158" s="209"/>
      <c r="AS158" s="209"/>
      <c r="AT158" s="209">
        <v>0.71199999999999997</v>
      </c>
      <c r="AU158" s="209">
        <v>0.57999999999999996</v>
      </c>
      <c r="AV158" s="209"/>
      <c r="AW158" s="209"/>
      <c r="AX158" s="209"/>
      <c r="AY158" s="209"/>
      <c r="AZ158" s="146"/>
      <c r="BA158" s="125"/>
      <c r="BB158" s="125"/>
      <c r="BC158" s="125"/>
      <c r="BD158" s="125"/>
      <c r="BE158" s="125"/>
      <c r="BF158" s="125"/>
      <c r="BG158" s="125"/>
      <c r="BH158" s="125"/>
      <c r="BI158" s="125"/>
      <c r="BJ158" s="125"/>
      <c r="BK158" s="125"/>
      <c r="BL158" s="125"/>
      <c r="BM158" s="125"/>
      <c r="BN158" s="125"/>
      <c r="BO158" s="125"/>
      <c r="BP158" s="244">
        <f t="shared" si="36"/>
        <v>1.4239999999999999</v>
      </c>
      <c r="BQ158" s="248">
        <f t="shared" si="39"/>
        <v>2.8479999999999999</v>
      </c>
      <c r="BR158" s="105">
        <f t="shared" si="37"/>
        <v>1.1499999999999999</v>
      </c>
      <c r="BS158" s="248">
        <f t="shared" si="40"/>
        <v>2.2999999999999998</v>
      </c>
    </row>
    <row r="159" spans="1:71" s="16" customFormat="1" ht="17" hidden="1" x14ac:dyDescent="0.15">
      <c r="A159" s="118" t="s">
        <v>633</v>
      </c>
      <c r="B159" s="162" t="s">
        <v>639</v>
      </c>
      <c r="C159" s="162" t="s">
        <v>586</v>
      </c>
      <c r="D159" s="119" t="s">
        <v>638</v>
      </c>
      <c r="E159" s="117" t="s">
        <v>121</v>
      </c>
      <c r="F159" s="120">
        <v>6.1999999999999998E-3</v>
      </c>
      <c r="G159" s="120">
        <v>551.54</v>
      </c>
      <c r="H159" s="120">
        <v>2.34</v>
      </c>
      <c r="I159" s="121">
        <v>1500</v>
      </c>
      <c r="J159" s="122">
        <v>9.2999999999999989</v>
      </c>
      <c r="K159" s="120"/>
      <c r="L159" s="123"/>
      <c r="M159" s="123"/>
      <c r="N159" s="123"/>
      <c r="O159" s="123"/>
      <c r="P159" s="123"/>
      <c r="Q159" s="123"/>
      <c r="R159" s="123"/>
      <c r="S159" s="123"/>
      <c r="T159" s="123"/>
      <c r="U159" s="252"/>
      <c r="V159" s="210"/>
      <c r="W159" s="210"/>
      <c r="X159" s="210"/>
      <c r="Y159" s="210">
        <v>1500</v>
      </c>
      <c r="Z159" s="251">
        <f t="shared" si="42"/>
        <v>9.2999999999999989</v>
      </c>
      <c r="AA159" s="251"/>
      <c r="AB159" s="251"/>
      <c r="AC159" s="163">
        <f t="shared" si="27"/>
        <v>1500</v>
      </c>
      <c r="AD159" s="163">
        <f t="shared" si="27"/>
        <v>9.2999999999999989</v>
      </c>
      <c r="AE159" s="124" t="s">
        <v>703</v>
      </c>
      <c r="AF159" s="124"/>
      <c r="AG159" s="124"/>
      <c r="AH159" s="124"/>
      <c r="AI159" s="124"/>
      <c r="AJ159" s="209">
        <v>275.77</v>
      </c>
      <c r="AK159" s="209">
        <v>1.17</v>
      </c>
      <c r="AL159" s="209"/>
      <c r="AM159" s="209"/>
      <c r="AN159" s="209"/>
      <c r="AO159" s="209"/>
      <c r="AP159" s="209"/>
      <c r="AQ159" s="209"/>
      <c r="AR159" s="209"/>
      <c r="AS159" s="209"/>
      <c r="AT159" s="209"/>
      <c r="AU159" s="209"/>
      <c r="AV159" s="209"/>
      <c r="AW159" s="209"/>
      <c r="AX159" s="209"/>
      <c r="AY159" s="209"/>
      <c r="AZ159" s="146"/>
      <c r="BA159" s="125"/>
      <c r="BB159" s="125"/>
      <c r="BC159" s="125"/>
      <c r="BD159" s="125"/>
      <c r="BE159" s="125"/>
      <c r="BF159" s="125"/>
      <c r="BG159" s="125"/>
      <c r="BH159" s="125"/>
      <c r="BI159" s="125"/>
      <c r="BJ159" s="125"/>
      <c r="BK159" s="125"/>
      <c r="BL159" s="125"/>
      <c r="BM159" s="125"/>
      <c r="BN159" s="125"/>
      <c r="BO159" s="125"/>
      <c r="BP159" s="244">
        <f t="shared" si="36"/>
        <v>275.77</v>
      </c>
      <c r="BQ159" s="248">
        <f t="shared" si="39"/>
        <v>551.54</v>
      </c>
      <c r="BR159" s="105">
        <f t="shared" si="37"/>
        <v>1.17</v>
      </c>
      <c r="BS159" s="248">
        <f t="shared" si="40"/>
        <v>2.34</v>
      </c>
    </row>
    <row r="160" spans="1:71" s="16" customFormat="1" ht="17" x14ac:dyDescent="0.15">
      <c r="A160" s="118" t="s">
        <v>641</v>
      </c>
      <c r="B160" s="162" t="s">
        <v>639</v>
      </c>
      <c r="C160" s="162" t="s">
        <v>586</v>
      </c>
      <c r="D160" s="119" t="s">
        <v>587</v>
      </c>
      <c r="E160" s="117" t="s">
        <v>121</v>
      </c>
      <c r="F160" s="120">
        <v>6.1999999999999998E-3</v>
      </c>
      <c r="G160" s="120">
        <v>225.45599999999999</v>
      </c>
      <c r="H160" s="120">
        <v>1</v>
      </c>
      <c r="I160" s="121">
        <v>1500</v>
      </c>
      <c r="J160" s="122">
        <v>9.2999999999999989</v>
      </c>
      <c r="K160" s="120"/>
      <c r="L160" s="123"/>
      <c r="M160" s="123"/>
      <c r="N160" s="123"/>
      <c r="O160" s="123"/>
      <c r="P160" s="123"/>
      <c r="Q160" s="123"/>
      <c r="R160" s="123"/>
      <c r="S160" s="123"/>
      <c r="T160" s="123"/>
      <c r="U160" s="252"/>
      <c r="V160" s="210"/>
      <c r="W160" s="210"/>
      <c r="X160" s="210"/>
      <c r="Y160" s="210">
        <v>1500</v>
      </c>
      <c r="Z160" s="251">
        <f t="shared" si="42"/>
        <v>9.2999999999999989</v>
      </c>
      <c r="AA160" s="251"/>
      <c r="AB160" s="251"/>
      <c r="AC160" s="163">
        <f t="shared" si="27"/>
        <v>1500</v>
      </c>
      <c r="AD160" s="163">
        <f t="shared" si="27"/>
        <v>9.2999999999999989</v>
      </c>
      <c r="AE160" s="124" t="s">
        <v>703</v>
      </c>
      <c r="AF160" s="124"/>
      <c r="AG160" s="124"/>
      <c r="AH160" s="124">
        <v>112.72799999999999</v>
      </c>
      <c r="AI160" s="124">
        <v>0.5</v>
      </c>
      <c r="AJ160" s="209"/>
      <c r="AK160" s="209"/>
      <c r="AL160" s="209"/>
      <c r="AM160" s="209"/>
      <c r="AN160" s="209"/>
      <c r="AO160" s="209"/>
      <c r="AP160" s="209"/>
      <c r="AQ160" s="209"/>
      <c r="AR160" s="209"/>
      <c r="AS160" s="209"/>
      <c r="AT160" s="209"/>
      <c r="AU160" s="209"/>
      <c r="AV160" s="209"/>
      <c r="AW160" s="209"/>
      <c r="AX160" s="209"/>
      <c r="AY160" s="209"/>
      <c r="AZ160" s="146"/>
      <c r="BA160" s="125"/>
      <c r="BB160" s="125"/>
      <c r="BC160" s="125"/>
      <c r="BD160" s="125"/>
      <c r="BE160" s="125"/>
      <c r="BF160" s="125"/>
      <c r="BG160" s="125"/>
      <c r="BH160" s="125"/>
      <c r="BI160" s="125"/>
      <c r="BJ160" s="125"/>
      <c r="BK160" s="125"/>
      <c r="BL160" s="125"/>
      <c r="BM160" s="125"/>
      <c r="BN160" s="125"/>
      <c r="BO160" s="125"/>
      <c r="BP160" s="244">
        <f t="shared" si="36"/>
        <v>112.72799999999999</v>
      </c>
      <c r="BQ160" s="248">
        <f t="shared" si="39"/>
        <v>225.45599999999999</v>
      </c>
      <c r="BR160" s="105">
        <f t="shared" si="37"/>
        <v>0.5</v>
      </c>
      <c r="BS160" s="248">
        <f t="shared" si="40"/>
        <v>1</v>
      </c>
    </row>
    <row r="161" spans="1:71" s="16" customFormat="1" ht="17" x14ac:dyDescent="0.15">
      <c r="A161" s="118" t="s">
        <v>649</v>
      </c>
      <c r="B161" s="162" t="s">
        <v>469</v>
      </c>
      <c r="C161" s="162" t="s">
        <v>653</v>
      </c>
      <c r="D161" s="119" t="s">
        <v>455</v>
      </c>
      <c r="E161" s="117" t="s">
        <v>121</v>
      </c>
      <c r="F161" s="120">
        <v>42.705382436260621</v>
      </c>
      <c r="G161" s="120">
        <v>2.8239999999999998</v>
      </c>
      <c r="H161" s="120">
        <v>120.6</v>
      </c>
      <c r="I161" s="121">
        <v>4</v>
      </c>
      <c r="J161" s="122">
        <v>170.82152974504248</v>
      </c>
      <c r="K161" s="120"/>
      <c r="L161" s="123"/>
      <c r="M161" s="123"/>
      <c r="N161" s="123"/>
      <c r="O161" s="123"/>
      <c r="P161" s="123"/>
      <c r="Q161" s="123"/>
      <c r="R161" s="123"/>
      <c r="S161" s="123"/>
      <c r="T161" s="123"/>
      <c r="U161" s="252"/>
      <c r="V161" s="210"/>
      <c r="W161" s="210"/>
      <c r="X161" s="210"/>
      <c r="Y161" s="210">
        <v>4</v>
      </c>
      <c r="Z161" s="251">
        <f t="shared" si="42"/>
        <v>170.82152974504248</v>
      </c>
      <c r="AA161" s="251"/>
      <c r="AB161" s="251"/>
      <c r="AC161" s="163">
        <f t="shared" si="27"/>
        <v>4</v>
      </c>
      <c r="AD161" s="163">
        <f t="shared" si="27"/>
        <v>170.82152974504248</v>
      </c>
      <c r="AE161" s="124" t="s">
        <v>703</v>
      </c>
      <c r="AF161" s="124"/>
      <c r="AG161" s="124"/>
      <c r="AH161" s="124">
        <v>1.4119999999999999</v>
      </c>
      <c r="AI161" s="124">
        <v>60.3</v>
      </c>
      <c r="AJ161" s="124"/>
      <c r="AK161" s="124"/>
      <c r="AL161" s="124"/>
      <c r="AM161" s="124"/>
      <c r="AN161" s="124"/>
      <c r="AO161" s="124"/>
      <c r="AP161" s="124"/>
      <c r="AQ161" s="124"/>
      <c r="AR161" s="124"/>
      <c r="AS161" s="124"/>
      <c r="AT161" s="124"/>
      <c r="AU161" s="124"/>
      <c r="AV161" s="124"/>
      <c r="AW161" s="124"/>
      <c r="AX161" s="124"/>
      <c r="AY161" s="124"/>
      <c r="AZ161" s="146"/>
      <c r="BA161" s="125"/>
      <c r="BB161" s="125"/>
      <c r="BC161" s="125"/>
      <c r="BD161" s="125"/>
      <c r="BE161" s="125"/>
      <c r="BF161" s="125"/>
      <c r="BG161" s="125"/>
      <c r="BH161" s="125"/>
      <c r="BI161" s="125"/>
      <c r="BJ161" s="125"/>
      <c r="BK161" s="125"/>
      <c r="BL161" s="125"/>
      <c r="BM161" s="125"/>
      <c r="BN161" s="125"/>
      <c r="BO161" s="125"/>
      <c r="BP161" s="244">
        <f t="shared" si="36"/>
        <v>1.4119999999999999</v>
      </c>
      <c r="BQ161" s="248">
        <f t="shared" si="39"/>
        <v>2.8239999999999998</v>
      </c>
      <c r="BR161" s="105">
        <f t="shared" si="37"/>
        <v>60.3</v>
      </c>
      <c r="BS161" s="248">
        <f t="shared" si="40"/>
        <v>120.6</v>
      </c>
    </row>
    <row r="162" spans="1:71" s="16" customFormat="1" ht="17" x14ac:dyDescent="0.15">
      <c r="A162" s="118" t="s">
        <v>650</v>
      </c>
      <c r="B162" s="162" t="s">
        <v>469</v>
      </c>
      <c r="C162" s="162" t="s">
        <v>654</v>
      </c>
      <c r="D162" s="119" t="s">
        <v>585</v>
      </c>
      <c r="E162" s="117" t="s">
        <v>121</v>
      </c>
      <c r="F162" s="120">
        <v>2.1099290780141846</v>
      </c>
      <c r="G162" s="120">
        <v>1.1279999999999999</v>
      </c>
      <c r="H162" s="120">
        <v>2.38</v>
      </c>
      <c r="I162" s="121">
        <v>2</v>
      </c>
      <c r="J162" s="122">
        <v>4.2198581560283692</v>
      </c>
      <c r="K162" s="120"/>
      <c r="L162" s="123"/>
      <c r="M162" s="123"/>
      <c r="N162" s="123"/>
      <c r="O162" s="123"/>
      <c r="P162" s="123"/>
      <c r="Q162" s="123"/>
      <c r="R162" s="123"/>
      <c r="S162" s="123"/>
      <c r="T162" s="123"/>
      <c r="U162" s="252"/>
      <c r="V162" s="210"/>
      <c r="W162" s="210"/>
      <c r="X162" s="210"/>
      <c r="Y162" s="210">
        <v>2</v>
      </c>
      <c r="Z162" s="251">
        <f t="shared" si="42"/>
        <v>4.2198581560283692</v>
      </c>
      <c r="AA162" s="251"/>
      <c r="AB162" s="251"/>
      <c r="AC162" s="163">
        <f t="shared" si="27"/>
        <v>2</v>
      </c>
      <c r="AD162" s="163">
        <f t="shared" si="27"/>
        <v>4.2198581560283692</v>
      </c>
      <c r="AE162" s="124" t="s">
        <v>703</v>
      </c>
      <c r="AF162" s="124"/>
      <c r="AG162" s="124"/>
      <c r="AH162" s="124">
        <v>0.56399999999999995</v>
      </c>
      <c r="AI162" s="124">
        <v>1.19</v>
      </c>
      <c r="AJ162" s="124"/>
      <c r="AK162" s="124"/>
      <c r="AL162" s="124"/>
      <c r="AM162" s="124"/>
      <c r="AN162" s="124"/>
      <c r="AO162" s="124"/>
      <c r="AP162" s="124"/>
      <c r="AQ162" s="124"/>
      <c r="AR162" s="124"/>
      <c r="AS162" s="124"/>
      <c r="AT162" s="124"/>
      <c r="AU162" s="124"/>
      <c r="AV162" s="124"/>
      <c r="AW162" s="124"/>
      <c r="AX162" s="124"/>
      <c r="AY162" s="124"/>
      <c r="AZ162" s="146"/>
      <c r="BA162" s="125"/>
      <c r="BB162" s="125"/>
      <c r="BC162" s="125"/>
      <c r="BD162" s="125"/>
      <c r="BE162" s="125"/>
      <c r="BF162" s="125"/>
      <c r="BG162" s="125"/>
      <c r="BH162" s="125"/>
      <c r="BI162" s="125"/>
      <c r="BJ162" s="125"/>
      <c r="BK162" s="125"/>
      <c r="BL162" s="125"/>
      <c r="BM162" s="125"/>
      <c r="BN162" s="125"/>
      <c r="BO162" s="125"/>
      <c r="BP162" s="244">
        <f t="shared" si="36"/>
        <v>0.56399999999999995</v>
      </c>
      <c r="BQ162" s="248">
        <f t="shared" si="39"/>
        <v>1.1279999999999999</v>
      </c>
      <c r="BR162" s="105">
        <f t="shared" si="37"/>
        <v>1.19</v>
      </c>
      <c r="BS162" s="248">
        <f t="shared" si="40"/>
        <v>2.38</v>
      </c>
    </row>
    <row r="163" spans="1:71" s="16" customFormat="1" ht="17" x14ac:dyDescent="0.15">
      <c r="A163" s="118" t="s">
        <v>651</v>
      </c>
      <c r="B163" s="162" t="s">
        <v>469</v>
      </c>
      <c r="C163" s="162" t="s">
        <v>655</v>
      </c>
      <c r="D163" s="119" t="s">
        <v>585</v>
      </c>
      <c r="E163" s="117" t="s">
        <v>121</v>
      </c>
      <c r="F163" s="120">
        <v>73.908996897621506</v>
      </c>
      <c r="G163" s="120">
        <v>1.9339999999999999</v>
      </c>
      <c r="H163" s="120">
        <v>142.94</v>
      </c>
      <c r="I163" s="121">
        <v>2.5</v>
      </c>
      <c r="J163" s="122">
        <v>184.77249224405375</v>
      </c>
      <c r="K163" s="120"/>
      <c r="L163" s="123"/>
      <c r="M163" s="123"/>
      <c r="N163" s="123"/>
      <c r="O163" s="123"/>
      <c r="P163" s="123"/>
      <c r="Q163" s="123"/>
      <c r="R163" s="123"/>
      <c r="S163" s="123"/>
      <c r="T163" s="123"/>
      <c r="U163" s="252"/>
      <c r="V163" s="210"/>
      <c r="W163" s="210"/>
      <c r="X163" s="210"/>
      <c r="Y163" s="210">
        <v>2.5</v>
      </c>
      <c r="Z163" s="251">
        <f t="shared" si="42"/>
        <v>184.77249224405375</v>
      </c>
      <c r="AA163" s="251"/>
      <c r="AB163" s="251"/>
      <c r="AC163" s="163">
        <f t="shared" si="27"/>
        <v>2.5</v>
      </c>
      <c r="AD163" s="163">
        <f t="shared" si="27"/>
        <v>184.77249224405375</v>
      </c>
      <c r="AE163" s="124" t="s">
        <v>703</v>
      </c>
      <c r="AF163" s="124"/>
      <c r="AG163" s="124"/>
      <c r="AH163" s="124">
        <v>0.96699999999999997</v>
      </c>
      <c r="AI163" s="124">
        <v>71.47</v>
      </c>
      <c r="AJ163" s="124"/>
      <c r="AK163" s="124"/>
      <c r="AL163" s="124"/>
      <c r="AM163" s="124"/>
      <c r="AN163" s="124"/>
      <c r="AO163" s="124"/>
      <c r="AP163" s="124"/>
      <c r="AQ163" s="124"/>
      <c r="AR163" s="124"/>
      <c r="AS163" s="124"/>
      <c r="AT163" s="124"/>
      <c r="AU163" s="124"/>
      <c r="AV163" s="124"/>
      <c r="AW163" s="124"/>
      <c r="AX163" s="124"/>
      <c r="AY163" s="124"/>
      <c r="AZ163" s="146"/>
      <c r="BA163" s="125"/>
      <c r="BB163" s="125"/>
      <c r="BC163" s="125"/>
      <c r="BD163" s="125"/>
      <c r="BE163" s="125"/>
      <c r="BF163" s="125"/>
      <c r="BG163" s="125"/>
      <c r="BH163" s="125"/>
      <c r="BI163" s="125"/>
      <c r="BJ163" s="125"/>
      <c r="BK163" s="125"/>
      <c r="BL163" s="125"/>
      <c r="BM163" s="125"/>
      <c r="BN163" s="125"/>
      <c r="BO163" s="125"/>
      <c r="BP163" s="244">
        <f t="shared" si="36"/>
        <v>0.96699999999999997</v>
      </c>
      <c r="BQ163" s="248">
        <f t="shared" si="39"/>
        <v>1.9339999999999999</v>
      </c>
      <c r="BR163" s="105">
        <f t="shared" si="37"/>
        <v>71.47</v>
      </c>
      <c r="BS163" s="248">
        <f t="shared" si="40"/>
        <v>142.94</v>
      </c>
    </row>
    <row r="164" spans="1:71" s="16" customFormat="1" ht="17" x14ac:dyDescent="0.15">
      <c r="A164" s="118" t="s">
        <v>652</v>
      </c>
      <c r="B164" s="162" t="s">
        <v>469</v>
      </c>
      <c r="C164" s="162" t="s">
        <v>656</v>
      </c>
      <c r="D164" s="119" t="s">
        <v>585</v>
      </c>
      <c r="E164" s="117" t="s">
        <v>121</v>
      </c>
      <c r="F164" s="120">
        <v>8.5605524079320112</v>
      </c>
      <c r="G164" s="120">
        <v>22.591999999999999</v>
      </c>
      <c r="H164" s="120">
        <v>193.4</v>
      </c>
      <c r="I164" s="121">
        <v>26</v>
      </c>
      <c r="J164" s="122">
        <v>222.57436260623228</v>
      </c>
      <c r="K164" s="120"/>
      <c r="L164" s="123"/>
      <c r="M164" s="123"/>
      <c r="N164" s="123"/>
      <c r="O164" s="123"/>
      <c r="P164" s="123"/>
      <c r="Q164" s="123"/>
      <c r="R164" s="123"/>
      <c r="S164" s="123"/>
      <c r="T164" s="123"/>
      <c r="U164" s="252"/>
      <c r="V164" s="210"/>
      <c r="W164" s="210"/>
      <c r="X164" s="210"/>
      <c r="Y164" s="210">
        <v>26</v>
      </c>
      <c r="Z164" s="251">
        <f t="shared" si="42"/>
        <v>222.57436260623228</v>
      </c>
      <c r="AA164" s="251"/>
      <c r="AB164" s="251"/>
      <c r="AC164" s="163">
        <f t="shared" si="27"/>
        <v>26</v>
      </c>
      <c r="AD164" s="163">
        <f t="shared" si="27"/>
        <v>222.57436260623228</v>
      </c>
      <c r="AE164" s="124" t="s">
        <v>703</v>
      </c>
      <c r="AF164" s="124"/>
      <c r="AG164" s="124"/>
      <c r="AH164" s="124">
        <v>11.295999999999999</v>
      </c>
      <c r="AI164" s="124">
        <v>96.7</v>
      </c>
      <c r="AJ164" s="124"/>
      <c r="AK164" s="124"/>
      <c r="AL164" s="124"/>
      <c r="AM164" s="124"/>
      <c r="AN164" s="124"/>
      <c r="AO164" s="124"/>
      <c r="AP164" s="124"/>
      <c r="AQ164" s="124"/>
      <c r="AR164" s="124"/>
      <c r="AS164" s="124"/>
      <c r="AT164" s="124"/>
      <c r="AU164" s="124"/>
      <c r="AV164" s="124"/>
      <c r="AW164" s="124"/>
      <c r="AX164" s="124"/>
      <c r="AY164" s="124"/>
      <c r="AZ164" s="146"/>
      <c r="BA164" s="125"/>
      <c r="BB164" s="125"/>
      <c r="BC164" s="125"/>
      <c r="BD164" s="125"/>
      <c r="BE164" s="125"/>
      <c r="BF164" s="125"/>
      <c r="BG164" s="125"/>
      <c r="BH164" s="125"/>
      <c r="BI164" s="125"/>
      <c r="BJ164" s="125"/>
      <c r="BK164" s="125"/>
      <c r="BL164" s="125"/>
      <c r="BM164" s="125"/>
      <c r="BN164" s="125"/>
      <c r="BO164" s="125"/>
      <c r="BP164" s="244">
        <f t="shared" si="36"/>
        <v>11.295999999999999</v>
      </c>
      <c r="BQ164" s="248">
        <f t="shared" si="39"/>
        <v>22.591999999999999</v>
      </c>
      <c r="BR164" s="105">
        <f t="shared" si="37"/>
        <v>96.7</v>
      </c>
      <c r="BS164" s="248">
        <f t="shared" si="40"/>
        <v>193.4</v>
      </c>
    </row>
    <row r="165" spans="1:71" s="16" customFormat="1" ht="17" hidden="1" x14ac:dyDescent="0.15">
      <c r="A165" s="118" t="s">
        <v>739</v>
      </c>
      <c r="B165" s="258" t="s">
        <v>737</v>
      </c>
      <c r="C165" s="118" t="s">
        <v>738</v>
      </c>
      <c r="D165" s="117" t="s">
        <v>587</v>
      </c>
      <c r="E165" s="119" t="s">
        <v>51</v>
      </c>
      <c r="F165" s="260">
        <v>1.369</v>
      </c>
      <c r="G165" s="120">
        <v>1500</v>
      </c>
      <c r="H165" s="120">
        <v>2053.5</v>
      </c>
      <c r="I165" s="121"/>
      <c r="J165" s="122"/>
      <c r="K165" s="120"/>
      <c r="L165" s="123"/>
      <c r="M165" s="123"/>
      <c r="N165" s="123"/>
      <c r="O165" s="123"/>
      <c r="P165" s="123"/>
      <c r="Q165" s="123"/>
      <c r="R165" s="123"/>
      <c r="S165" s="123"/>
      <c r="T165" s="123"/>
      <c r="U165" s="252"/>
      <c r="V165" s="210"/>
      <c r="W165" s="210"/>
      <c r="X165" s="210"/>
      <c r="Y165" s="210"/>
      <c r="Z165" s="251"/>
      <c r="AA165" s="251">
        <v>1600</v>
      </c>
      <c r="AB165" s="251">
        <f>+AA165*F165</f>
        <v>2190.4</v>
      </c>
      <c r="AC165" s="163">
        <f t="shared" si="27"/>
        <v>1600</v>
      </c>
      <c r="AD165" s="163">
        <f t="shared" si="27"/>
        <v>2190.4</v>
      </c>
      <c r="AE165" s="124" t="s">
        <v>725</v>
      </c>
      <c r="AF165" s="124">
        <v>750</v>
      </c>
      <c r="AG165" s="124">
        <v>1026.75</v>
      </c>
      <c r="AH165" s="124"/>
      <c r="AI165" s="124"/>
      <c r="AJ165" s="124"/>
      <c r="AK165" s="124"/>
      <c r="AL165" s="124"/>
      <c r="AM165" s="124"/>
      <c r="AN165" s="124"/>
      <c r="AO165" s="124"/>
      <c r="AP165" s="124"/>
      <c r="AQ165" s="124"/>
      <c r="AR165" s="124"/>
      <c r="AS165" s="124"/>
      <c r="AT165" s="124"/>
      <c r="AU165" s="124"/>
      <c r="AV165" s="124"/>
      <c r="AW165" s="124"/>
      <c r="AX165" s="124"/>
      <c r="AY165" s="124"/>
      <c r="AZ165" s="146"/>
      <c r="BA165" s="125"/>
      <c r="BB165" s="125"/>
      <c r="BC165" s="125"/>
      <c r="BD165" s="125"/>
      <c r="BE165" s="125"/>
      <c r="BF165" s="125"/>
      <c r="BG165" s="125"/>
      <c r="BH165" s="125"/>
      <c r="BI165" s="125"/>
      <c r="BJ165" s="125"/>
      <c r="BK165" s="125"/>
      <c r="BL165" s="125"/>
      <c r="BM165" s="125"/>
      <c r="BN165" s="125"/>
      <c r="BO165" s="125"/>
      <c r="BP165" s="244">
        <f t="shared" si="36"/>
        <v>750</v>
      </c>
      <c r="BQ165" s="248">
        <f t="shared" si="39"/>
        <v>1500</v>
      </c>
      <c r="BR165" s="105">
        <f t="shared" si="37"/>
        <v>1026.75</v>
      </c>
      <c r="BS165" s="248">
        <f t="shared" si="40"/>
        <v>2053.5</v>
      </c>
    </row>
    <row r="166" spans="1:71" s="16" customFormat="1" ht="17" hidden="1" x14ac:dyDescent="0.15">
      <c r="A166" s="118" t="s">
        <v>772</v>
      </c>
      <c r="B166" s="162" t="s">
        <v>470</v>
      </c>
      <c r="C166" s="162" t="s">
        <v>464</v>
      </c>
      <c r="D166" s="117" t="s">
        <v>587</v>
      </c>
      <c r="E166" s="119" t="s">
        <v>51</v>
      </c>
      <c r="F166" s="120">
        <f>12*7.93</f>
        <v>95.16</v>
      </c>
      <c r="G166" s="120">
        <v>22.667597999999998</v>
      </c>
      <c r="H166" s="120">
        <v>2157.0486256799995</v>
      </c>
      <c r="I166" s="121"/>
      <c r="J166" s="122"/>
      <c r="K166" s="120"/>
      <c r="L166" s="123"/>
      <c r="M166" s="123"/>
      <c r="N166" s="123"/>
      <c r="O166" s="123"/>
      <c r="P166" s="123"/>
      <c r="Q166" s="123"/>
      <c r="R166" s="123"/>
      <c r="S166" s="123"/>
      <c r="T166" s="123"/>
      <c r="U166" s="252"/>
      <c r="V166" s="210"/>
      <c r="W166" s="210"/>
      <c r="X166" s="210"/>
      <c r="Y166" s="210"/>
      <c r="Z166" s="251"/>
      <c r="AA166" s="251">
        <v>27</v>
      </c>
      <c r="AB166" s="251">
        <f>+AA166*F166</f>
        <v>2569.3199999999997</v>
      </c>
      <c r="AC166" s="163">
        <f t="shared" ref="AC166" si="43">+I166+AA166</f>
        <v>27</v>
      </c>
      <c r="AD166" s="163">
        <f t="shared" ref="AD166" si="44">+J166+AB166</f>
        <v>2569.3199999999997</v>
      </c>
      <c r="AE166" s="124" t="s">
        <v>725</v>
      </c>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46"/>
      <c r="BA166" s="125"/>
      <c r="BB166" s="125"/>
      <c r="BC166" s="125"/>
      <c r="BD166" s="125"/>
      <c r="BE166" s="125"/>
      <c r="BF166" s="125"/>
      <c r="BG166" s="125"/>
      <c r="BH166" s="125"/>
      <c r="BI166" s="125"/>
      <c r="BJ166" s="125"/>
      <c r="BK166" s="125"/>
      <c r="BL166" s="125">
        <v>11.333798999999999</v>
      </c>
      <c r="BM166" s="125">
        <v>1078.5243128399998</v>
      </c>
      <c r="BN166" s="125"/>
      <c r="BO166" s="125"/>
      <c r="BP166" s="244">
        <f t="shared" si="36"/>
        <v>11.333798999999999</v>
      </c>
      <c r="BQ166" s="248">
        <f t="shared" si="39"/>
        <v>22.667597999999998</v>
      </c>
      <c r="BR166" s="105">
        <f t="shared" si="37"/>
        <v>1078.5243128399998</v>
      </c>
      <c r="BS166" s="248">
        <f t="shared" si="40"/>
        <v>2157.0486256799995</v>
      </c>
    </row>
    <row r="167" spans="1:71" s="16" customFormat="1" ht="17" hidden="1" x14ac:dyDescent="0.15">
      <c r="A167" s="165" t="s">
        <v>69</v>
      </c>
      <c r="B167" s="320" t="s">
        <v>70</v>
      </c>
      <c r="C167" s="321"/>
      <c r="D167" s="148"/>
      <c r="E167" s="149"/>
      <c r="F167" s="150"/>
      <c r="G167" s="150"/>
      <c r="H167" s="157">
        <f>+SUM(H168:H169)</f>
        <v>17380.2</v>
      </c>
      <c r="I167" s="151"/>
      <c r="J167" s="152"/>
      <c r="K167" s="150"/>
      <c r="L167" s="153"/>
      <c r="M167" s="153"/>
      <c r="N167" s="153"/>
      <c r="O167" s="153"/>
      <c r="P167" s="153"/>
      <c r="Q167" s="153"/>
      <c r="R167" s="153"/>
      <c r="S167" s="153"/>
      <c r="T167" s="153"/>
      <c r="U167" s="213"/>
      <c r="V167" s="153"/>
      <c r="W167" s="153"/>
      <c r="X167" s="153"/>
      <c r="Y167" s="153"/>
      <c r="Z167" s="153"/>
      <c r="AA167" s="153"/>
      <c r="AB167" s="157">
        <f>+SUM(AB168:AB169)</f>
        <v>17380.2</v>
      </c>
      <c r="AC167" s="154"/>
      <c r="AD167" s="157">
        <f>+SUM(AD168:AD169)</f>
        <v>17380.2</v>
      </c>
      <c r="AE167" s="155"/>
      <c r="AF167" s="155"/>
      <c r="AG167" s="155"/>
      <c r="AH167" s="155"/>
      <c r="AI167" s="155"/>
      <c r="AJ167" s="155"/>
      <c r="AK167" s="155"/>
      <c r="AL167" s="155"/>
      <c r="AM167" s="155"/>
      <c r="AN167" s="155"/>
      <c r="AO167" s="155"/>
      <c r="AP167" s="155"/>
      <c r="AQ167" s="155"/>
      <c r="AR167" s="155"/>
      <c r="AS167" s="155"/>
      <c r="AT167" s="155"/>
      <c r="AU167" s="155"/>
      <c r="AV167" s="155"/>
      <c r="AW167" s="155"/>
      <c r="AX167" s="155"/>
      <c r="AY167" s="155"/>
      <c r="AZ167" s="146"/>
      <c r="BA167" s="125"/>
      <c r="BB167" s="125"/>
      <c r="BC167" s="125"/>
      <c r="BD167" s="125"/>
      <c r="BE167" s="125"/>
      <c r="BF167" s="125"/>
      <c r="BG167" s="125"/>
      <c r="BH167" s="125"/>
      <c r="BI167" s="125"/>
      <c r="BJ167" s="125"/>
      <c r="BK167" s="125"/>
      <c r="BL167" s="125"/>
      <c r="BM167" s="125"/>
      <c r="BN167" s="125"/>
      <c r="BO167" s="125"/>
      <c r="BP167" s="244">
        <f t="shared" si="36"/>
        <v>0</v>
      </c>
      <c r="BQ167" s="248">
        <f t="shared" si="39"/>
        <v>0</v>
      </c>
      <c r="BR167" s="105">
        <f t="shared" si="37"/>
        <v>0</v>
      </c>
      <c r="BS167" s="248">
        <f t="shared" si="40"/>
        <v>0</v>
      </c>
    </row>
    <row r="168" spans="1:71" s="16" customFormat="1" ht="17" hidden="1" x14ac:dyDescent="0.15">
      <c r="A168" s="162" t="s">
        <v>748</v>
      </c>
      <c r="B168" s="162" t="s">
        <v>752</v>
      </c>
      <c r="C168" s="162" t="s">
        <v>750</v>
      </c>
      <c r="D168" s="119" t="s">
        <v>754</v>
      </c>
      <c r="E168" s="117" t="s">
        <v>735</v>
      </c>
      <c r="F168" s="120"/>
      <c r="G168" s="120"/>
      <c r="H168" s="120">
        <v>6586.42</v>
      </c>
      <c r="I168" s="121"/>
      <c r="J168" s="122"/>
      <c r="K168" s="120"/>
      <c r="L168" s="123"/>
      <c r="M168" s="123"/>
      <c r="N168" s="123"/>
      <c r="O168" s="123"/>
      <c r="P168" s="123"/>
      <c r="Q168" s="123"/>
      <c r="R168" s="123"/>
      <c r="S168" s="123"/>
      <c r="T168" s="123"/>
      <c r="U168" s="252"/>
      <c r="V168" s="123"/>
      <c r="W168" s="123"/>
      <c r="X168" s="123"/>
      <c r="Y168" s="123"/>
      <c r="Z168" s="123"/>
      <c r="AA168" s="123"/>
      <c r="AB168" s="123">
        <v>6586.42</v>
      </c>
      <c r="AC168" s="163">
        <f t="shared" ref="AC168:AD169" si="45">+I168+AA168</f>
        <v>0</v>
      </c>
      <c r="AD168" s="163">
        <f t="shared" si="45"/>
        <v>6586.42</v>
      </c>
      <c r="AE168" s="124" t="s">
        <v>725</v>
      </c>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46"/>
      <c r="BA168" s="125"/>
      <c r="BB168" s="125"/>
      <c r="BC168" s="125"/>
      <c r="BD168" s="125"/>
      <c r="BE168" s="125"/>
      <c r="BF168" s="125"/>
      <c r="BG168" s="125">
        <v>3293.21</v>
      </c>
      <c r="BH168" s="125"/>
      <c r="BI168" s="125"/>
      <c r="BJ168" s="125"/>
      <c r="BK168" s="125"/>
      <c r="BL168" s="125"/>
      <c r="BM168" s="125"/>
      <c r="BN168" s="125"/>
      <c r="BO168" s="125"/>
      <c r="BP168" s="244">
        <f t="shared" si="36"/>
        <v>0</v>
      </c>
      <c r="BQ168" s="248">
        <f t="shared" si="39"/>
        <v>0</v>
      </c>
      <c r="BR168" s="105">
        <f t="shared" si="37"/>
        <v>3293.21</v>
      </c>
      <c r="BS168" s="248">
        <f t="shared" si="40"/>
        <v>6586.42</v>
      </c>
    </row>
    <row r="169" spans="1:71" s="16" customFormat="1" ht="17" hidden="1" x14ac:dyDescent="0.15">
      <c r="A169" s="162" t="s">
        <v>749</v>
      </c>
      <c r="B169" s="162" t="s">
        <v>753</v>
      </c>
      <c r="C169" s="162" t="s">
        <v>751</v>
      </c>
      <c r="D169" s="119" t="s">
        <v>754</v>
      </c>
      <c r="E169" s="117" t="s">
        <v>735</v>
      </c>
      <c r="F169" s="120"/>
      <c r="G169" s="120"/>
      <c r="H169" s="120">
        <v>10793.78</v>
      </c>
      <c r="I169" s="121"/>
      <c r="J169" s="122"/>
      <c r="K169" s="120"/>
      <c r="L169" s="123"/>
      <c r="M169" s="123"/>
      <c r="N169" s="123"/>
      <c r="O169" s="123"/>
      <c r="P169" s="123"/>
      <c r="Q169" s="123"/>
      <c r="R169" s="123"/>
      <c r="S169" s="123"/>
      <c r="T169" s="123"/>
      <c r="U169" s="252"/>
      <c r="V169" s="123"/>
      <c r="W169" s="123"/>
      <c r="X169" s="123"/>
      <c r="Y169" s="123"/>
      <c r="Z169" s="123"/>
      <c r="AA169" s="123"/>
      <c r="AB169" s="123">
        <v>10793.78</v>
      </c>
      <c r="AC169" s="163">
        <f t="shared" si="45"/>
        <v>0</v>
      </c>
      <c r="AD169" s="163">
        <f t="shared" si="45"/>
        <v>10793.78</v>
      </c>
      <c r="AE169" s="124" t="s">
        <v>725</v>
      </c>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46"/>
      <c r="BA169" s="125"/>
      <c r="BB169" s="125"/>
      <c r="BC169" s="125"/>
      <c r="BD169" s="125"/>
      <c r="BE169" s="125"/>
      <c r="BF169" s="125"/>
      <c r="BG169" s="125">
        <v>5396.89</v>
      </c>
      <c r="BH169" s="125"/>
      <c r="BI169" s="125"/>
      <c r="BJ169" s="125"/>
      <c r="BK169" s="125"/>
      <c r="BL169" s="125"/>
      <c r="BM169" s="125"/>
      <c r="BN169" s="125"/>
      <c r="BO169" s="125"/>
      <c r="BP169" s="244">
        <f t="shared" si="36"/>
        <v>0</v>
      </c>
      <c r="BQ169" s="248">
        <f t="shared" si="39"/>
        <v>0</v>
      </c>
      <c r="BR169" s="105">
        <f t="shared" si="37"/>
        <v>5396.89</v>
      </c>
      <c r="BS169" s="248">
        <f t="shared" si="40"/>
        <v>10793.78</v>
      </c>
    </row>
    <row r="170" spans="1:71" s="16" customFormat="1" ht="17" hidden="1" x14ac:dyDescent="0.15">
      <c r="A170" s="165" t="s">
        <v>71</v>
      </c>
      <c r="B170" s="320" t="s">
        <v>72</v>
      </c>
      <c r="C170" s="321"/>
      <c r="D170" s="148"/>
      <c r="E170" s="149"/>
      <c r="F170" s="150"/>
      <c r="G170" s="150"/>
      <c r="H170" s="157">
        <f>+SUM(H171:H219)</f>
        <v>201133.43934062592</v>
      </c>
      <c r="I170" s="151"/>
      <c r="J170" s="157">
        <f>+SUM(J171:J219)</f>
        <v>222094.69781659389</v>
      </c>
      <c r="K170" s="150"/>
      <c r="L170" s="153"/>
      <c r="M170" s="153"/>
      <c r="N170" s="153"/>
      <c r="O170" s="153"/>
      <c r="P170" s="153"/>
      <c r="Q170" s="153"/>
      <c r="R170" s="153"/>
      <c r="S170" s="153"/>
      <c r="T170" s="153"/>
      <c r="U170" s="213"/>
      <c r="V170" s="157">
        <f>+SUM(V171:V209)</f>
        <v>196873.49781659388</v>
      </c>
      <c r="W170" s="157"/>
      <c r="X170" s="157"/>
      <c r="Y170" s="157"/>
      <c r="Z170" s="157">
        <f>+SUM(Z171:Z219)</f>
        <v>25221.200000000001</v>
      </c>
      <c r="AA170" s="157"/>
      <c r="AB170" s="157">
        <f>+SUM(AB171:AB219)</f>
        <v>0</v>
      </c>
      <c r="AC170" s="154"/>
      <c r="AD170" s="157">
        <f>+SUM(AD171:AD219)</f>
        <v>222094.69781659389</v>
      </c>
      <c r="AE170" s="155"/>
      <c r="AF170" s="155"/>
      <c r="AG170" s="155"/>
      <c r="AH170" s="155"/>
      <c r="AI170" s="155"/>
      <c r="AJ170" s="155"/>
      <c r="AK170" s="155"/>
      <c r="AL170" s="155"/>
      <c r="AM170" s="155"/>
      <c r="AN170" s="155"/>
      <c r="AO170" s="155"/>
      <c r="AP170" s="155"/>
      <c r="AQ170" s="155"/>
      <c r="AR170" s="155"/>
      <c r="AS170" s="155"/>
      <c r="AT170" s="155"/>
      <c r="AU170" s="155"/>
      <c r="AV170" s="155"/>
      <c r="AW170" s="155"/>
      <c r="AX170" s="155"/>
      <c r="AY170" s="155"/>
      <c r="AZ170" s="146"/>
      <c r="BA170" s="125"/>
      <c r="BB170" s="125"/>
      <c r="BC170" s="125"/>
      <c r="BD170" s="125"/>
      <c r="BE170" s="125"/>
      <c r="BF170" s="125"/>
      <c r="BG170" s="125"/>
      <c r="BH170" s="125"/>
      <c r="BI170" s="125"/>
      <c r="BJ170" s="125"/>
      <c r="BK170" s="125"/>
      <c r="BL170" s="125"/>
      <c r="BM170" s="125"/>
      <c r="BN170" s="125"/>
      <c r="BO170" s="125"/>
      <c r="BP170" s="244">
        <f t="shared" si="36"/>
        <v>0</v>
      </c>
      <c r="BQ170" s="248">
        <f t="shared" si="39"/>
        <v>0</v>
      </c>
      <c r="BR170" s="105">
        <f t="shared" si="37"/>
        <v>0</v>
      </c>
      <c r="BS170" s="248">
        <f t="shared" si="40"/>
        <v>0</v>
      </c>
    </row>
    <row r="171" spans="1:71" s="16" customFormat="1" ht="17" hidden="1" x14ac:dyDescent="0.15">
      <c r="A171" s="162" t="s">
        <v>472</v>
      </c>
      <c r="B171" s="162" t="s">
        <v>495</v>
      </c>
      <c r="C171" s="162" t="s">
        <v>499</v>
      </c>
      <c r="D171" s="119" t="s">
        <v>496</v>
      </c>
      <c r="E171" s="117" t="s">
        <v>51</v>
      </c>
      <c r="F171" s="120">
        <v>0.37991266375545851</v>
      </c>
      <c r="G171" s="120">
        <v>17.125828241113133</v>
      </c>
      <c r="H171" s="120">
        <v>6.5079627776000013</v>
      </c>
      <c r="I171" s="121">
        <v>25</v>
      </c>
      <c r="J171" s="122">
        <v>9.497816593886462</v>
      </c>
      <c r="K171" s="120"/>
      <c r="L171" s="123"/>
      <c r="M171" s="123"/>
      <c r="N171" s="123"/>
      <c r="O171" s="123"/>
      <c r="P171" s="123"/>
      <c r="Q171" s="123"/>
      <c r="R171" s="123"/>
      <c r="S171" s="123"/>
      <c r="T171" s="123"/>
      <c r="U171" s="252">
        <v>25</v>
      </c>
      <c r="V171" s="210">
        <f>+U171*F171</f>
        <v>9.497816593886462</v>
      </c>
      <c r="W171" s="210"/>
      <c r="X171" s="210"/>
      <c r="Y171" s="210"/>
      <c r="Z171" s="210"/>
      <c r="AA171" s="210"/>
      <c r="AB171" s="210"/>
      <c r="AC171" s="163">
        <f t="shared" ref="AC171:AD219" si="46">+I171+AA171</f>
        <v>25</v>
      </c>
      <c r="AD171" s="163">
        <f t="shared" si="46"/>
        <v>9.497816593886462</v>
      </c>
      <c r="AE171" s="124" t="s">
        <v>365</v>
      </c>
      <c r="AF171" s="124"/>
      <c r="AG171" s="124"/>
      <c r="AH171" s="124"/>
      <c r="AI171" s="124"/>
      <c r="AJ171" s="124"/>
      <c r="AK171" s="124"/>
      <c r="AL171" s="124"/>
      <c r="AM171" s="124"/>
      <c r="AN171" s="124"/>
      <c r="AO171" s="124"/>
      <c r="AP171" s="124"/>
      <c r="AQ171" s="124"/>
      <c r="AR171" s="124"/>
      <c r="AS171" s="124"/>
      <c r="AT171" s="124"/>
      <c r="AU171" s="124"/>
      <c r="AV171" s="124"/>
      <c r="AW171" s="124"/>
      <c r="AX171" s="124">
        <v>0.52600000000000002</v>
      </c>
      <c r="AY171" s="124">
        <v>0.2</v>
      </c>
      <c r="AZ171" s="147">
        <v>0.52643678160919538</v>
      </c>
      <c r="BA171" s="231">
        <v>0.2</v>
      </c>
      <c r="BB171" s="231"/>
      <c r="BC171" s="231"/>
      <c r="BD171" s="231"/>
      <c r="BE171" s="231"/>
      <c r="BF171" s="231"/>
      <c r="BG171" s="231"/>
      <c r="BH171" s="231"/>
      <c r="BI171" s="231"/>
      <c r="BJ171" s="231"/>
      <c r="BK171" s="231"/>
      <c r="BL171" s="231">
        <v>7.5104773389473705</v>
      </c>
      <c r="BM171" s="231">
        <v>2.8539813888000007</v>
      </c>
      <c r="BN171" s="231"/>
      <c r="BO171" s="231"/>
      <c r="BP171" s="244">
        <f t="shared" si="36"/>
        <v>8.5629141205565666</v>
      </c>
      <c r="BQ171" s="248">
        <f t="shared" si="39"/>
        <v>17.125828241113133</v>
      </c>
      <c r="BR171" s="105">
        <f t="shared" si="37"/>
        <v>3.2539813888000007</v>
      </c>
      <c r="BS171" s="248">
        <f t="shared" si="40"/>
        <v>6.5079627776000013</v>
      </c>
    </row>
    <row r="172" spans="1:71" s="16" customFormat="1" ht="17" hidden="1" x14ac:dyDescent="0.15">
      <c r="A172" s="162" t="s">
        <v>473</v>
      </c>
      <c r="B172" s="162" t="s">
        <v>495</v>
      </c>
      <c r="C172" s="162" t="s">
        <v>503</v>
      </c>
      <c r="D172" s="119" t="s">
        <v>497</v>
      </c>
      <c r="E172" s="117" t="s">
        <v>498</v>
      </c>
      <c r="F172" s="120">
        <v>128</v>
      </c>
      <c r="G172" s="120">
        <v>6.6691376294400007</v>
      </c>
      <c r="H172" s="120">
        <v>853.64961656832008</v>
      </c>
      <c r="I172" s="121">
        <v>8</v>
      </c>
      <c r="J172" s="122">
        <v>1024</v>
      </c>
      <c r="K172" s="120"/>
      <c r="L172" s="123"/>
      <c r="M172" s="123"/>
      <c r="N172" s="123"/>
      <c r="O172" s="123"/>
      <c r="P172" s="123"/>
      <c r="Q172" s="123"/>
      <c r="R172" s="123"/>
      <c r="S172" s="123"/>
      <c r="T172" s="123"/>
      <c r="U172" s="252">
        <v>8</v>
      </c>
      <c r="V172" s="210">
        <f>+U172*F172</f>
        <v>1024</v>
      </c>
      <c r="W172" s="210"/>
      <c r="X172" s="210"/>
      <c r="Y172" s="210"/>
      <c r="Z172" s="210"/>
      <c r="AA172" s="210"/>
      <c r="AB172" s="210"/>
      <c r="AC172" s="163">
        <f t="shared" si="46"/>
        <v>8</v>
      </c>
      <c r="AD172" s="163">
        <f t="shared" si="46"/>
        <v>1024</v>
      </c>
      <c r="AE172" s="124" t="s">
        <v>365</v>
      </c>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46"/>
      <c r="BA172" s="125"/>
      <c r="BB172" s="125">
        <v>2.6220024979200005</v>
      </c>
      <c r="BC172" s="125">
        <v>335.61631973376006</v>
      </c>
      <c r="BD172" s="125"/>
      <c r="BE172" s="125"/>
      <c r="BF172" s="125"/>
      <c r="BG172" s="125"/>
      <c r="BH172" s="125"/>
      <c r="BI172" s="125"/>
      <c r="BJ172" s="125"/>
      <c r="BK172" s="125"/>
      <c r="BL172" s="125">
        <v>0.62198585279999996</v>
      </c>
      <c r="BM172" s="125">
        <v>79.614189158399995</v>
      </c>
      <c r="BN172" s="125">
        <v>9.0580463999999999E-2</v>
      </c>
      <c r="BO172" s="125">
        <v>11.594299392</v>
      </c>
      <c r="BP172" s="244">
        <f t="shared" si="36"/>
        <v>3.3345688147200003</v>
      </c>
      <c r="BQ172" s="248">
        <f t="shared" si="39"/>
        <v>6.6691376294400007</v>
      </c>
      <c r="BR172" s="105">
        <f t="shared" si="37"/>
        <v>426.82480828416004</v>
      </c>
      <c r="BS172" s="248">
        <f t="shared" si="40"/>
        <v>853.64961656832008</v>
      </c>
    </row>
    <row r="173" spans="1:71" s="16" customFormat="1" ht="17" x14ac:dyDescent="0.15">
      <c r="A173" s="162" t="s">
        <v>474</v>
      </c>
      <c r="B173" s="162" t="s">
        <v>495</v>
      </c>
      <c r="C173" s="162" t="s">
        <v>500</v>
      </c>
      <c r="D173" s="119" t="s">
        <v>497</v>
      </c>
      <c r="E173" s="117" t="s">
        <v>498</v>
      </c>
      <c r="F173" s="120">
        <v>128</v>
      </c>
      <c r="G173" s="120">
        <v>122.10875467538462</v>
      </c>
      <c r="H173" s="120">
        <v>15629.920598449231</v>
      </c>
      <c r="I173" s="121">
        <v>134</v>
      </c>
      <c r="J173" s="122">
        <v>17152</v>
      </c>
      <c r="K173" s="120"/>
      <c r="L173" s="123"/>
      <c r="M173" s="123"/>
      <c r="N173" s="123"/>
      <c r="O173" s="123"/>
      <c r="P173" s="123"/>
      <c r="Q173" s="123"/>
      <c r="R173" s="123"/>
      <c r="S173" s="123"/>
      <c r="T173" s="123"/>
      <c r="U173" s="252">
        <v>100</v>
      </c>
      <c r="V173" s="210">
        <f t="shared" ref="V173:V174" si="47">+U173*F173</f>
        <v>12800</v>
      </c>
      <c r="W173" s="210"/>
      <c r="X173" s="210"/>
      <c r="Y173" s="210">
        <v>34</v>
      </c>
      <c r="Z173" s="210">
        <f>+Y173*F173</f>
        <v>4352</v>
      </c>
      <c r="AA173" s="210"/>
      <c r="AB173" s="210"/>
      <c r="AC173" s="163">
        <f t="shared" si="46"/>
        <v>134</v>
      </c>
      <c r="AD173" s="163">
        <f t="shared" si="46"/>
        <v>17152</v>
      </c>
      <c r="AE173" s="124" t="s">
        <v>365</v>
      </c>
      <c r="AF173" s="124">
        <v>17.998551682692309</v>
      </c>
      <c r="AG173" s="124">
        <v>2303.8146153846155</v>
      </c>
      <c r="AH173" s="124">
        <v>13.346781249999999</v>
      </c>
      <c r="AI173" s="124">
        <v>1708.3879999999999</v>
      </c>
      <c r="AJ173" s="124"/>
      <c r="AK173" s="124"/>
      <c r="AL173" s="124"/>
      <c r="AM173" s="124"/>
      <c r="AN173" s="124"/>
      <c r="AO173" s="124"/>
      <c r="AP173" s="124"/>
      <c r="AQ173" s="124"/>
      <c r="AR173" s="124">
        <v>3.1803125000000003</v>
      </c>
      <c r="AS173" s="124">
        <v>407.08000000000004</v>
      </c>
      <c r="AT173" s="124"/>
      <c r="AU173" s="124"/>
      <c r="AV173" s="124">
        <v>4.8310468750000002</v>
      </c>
      <c r="AW173" s="124">
        <v>618.37400000000002</v>
      </c>
      <c r="AX173" s="124">
        <v>0.8153125</v>
      </c>
      <c r="AY173" s="124">
        <v>104.36</v>
      </c>
      <c r="AZ173" s="234">
        <f>+BA173/128</f>
        <v>10.07078125</v>
      </c>
      <c r="BA173" s="125">
        <v>1289.06</v>
      </c>
      <c r="BB173" s="125">
        <v>5.0539253760000005</v>
      </c>
      <c r="BC173" s="125">
        <v>646.90244812800006</v>
      </c>
      <c r="BD173" s="125"/>
      <c r="BE173" s="125"/>
      <c r="BF173" s="125"/>
      <c r="BG173" s="125"/>
      <c r="BH173" s="125"/>
      <c r="BI173" s="125"/>
      <c r="BJ173" s="125"/>
      <c r="BK173" s="125"/>
      <c r="BL173" s="125">
        <v>5.2304411520000009</v>
      </c>
      <c r="BM173" s="125">
        <v>669.49646745600012</v>
      </c>
      <c r="BN173" s="125">
        <v>0.52722475200000007</v>
      </c>
      <c r="BO173" s="125">
        <v>67.48476825600001</v>
      </c>
      <c r="BP173" s="244">
        <f t="shared" si="36"/>
        <v>61.054377337692308</v>
      </c>
      <c r="BQ173" s="248">
        <f t="shared" si="39"/>
        <v>122.10875467538462</v>
      </c>
      <c r="BR173" s="105">
        <f t="shared" si="37"/>
        <v>7814.9602992246155</v>
      </c>
      <c r="BS173" s="248">
        <f t="shared" si="40"/>
        <v>15629.920598449231</v>
      </c>
    </row>
    <row r="174" spans="1:71" s="16" customFormat="1" ht="17" x14ac:dyDescent="0.15">
      <c r="A174" s="162" t="s">
        <v>475</v>
      </c>
      <c r="B174" s="162" t="s">
        <v>495</v>
      </c>
      <c r="C174" s="162" t="s">
        <v>501</v>
      </c>
      <c r="D174" s="119" t="s">
        <v>497</v>
      </c>
      <c r="E174" s="117" t="s">
        <v>498</v>
      </c>
      <c r="F174" s="120">
        <v>128</v>
      </c>
      <c r="G174" s="120">
        <v>1442.5262590846153</v>
      </c>
      <c r="H174" s="120">
        <v>184643.36116283076</v>
      </c>
      <c r="I174" s="121">
        <v>1593.0406250000001</v>
      </c>
      <c r="J174" s="122">
        <v>203909.2</v>
      </c>
      <c r="K174" s="120"/>
      <c r="L174" s="123"/>
      <c r="M174" s="123"/>
      <c r="N174" s="123"/>
      <c r="O174" s="123"/>
      <c r="P174" s="123"/>
      <c r="Q174" s="123"/>
      <c r="R174" s="123"/>
      <c r="S174" s="123"/>
      <c r="T174" s="123"/>
      <c r="U174" s="252">
        <v>1430</v>
      </c>
      <c r="V174" s="210">
        <f t="shared" si="47"/>
        <v>183040</v>
      </c>
      <c r="W174" s="210"/>
      <c r="X174" s="210"/>
      <c r="Y174" s="210">
        <f>+Z174/F174</f>
        <v>163.04062500000001</v>
      </c>
      <c r="Z174" s="210">
        <v>20869.2</v>
      </c>
      <c r="AA174" s="210"/>
      <c r="AB174" s="210"/>
      <c r="AC174" s="163">
        <f t="shared" si="46"/>
        <v>1593.0406250000001</v>
      </c>
      <c r="AD174" s="163">
        <f t="shared" si="46"/>
        <v>203909.2</v>
      </c>
      <c r="AE174" s="124" t="s">
        <v>365</v>
      </c>
      <c r="AF174" s="124">
        <v>215.98262019230771</v>
      </c>
      <c r="AG174" s="124">
        <v>27645.775384615386</v>
      </c>
      <c r="AH174" s="124">
        <v>57.15625</v>
      </c>
      <c r="AI174" s="124">
        <v>7316</v>
      </c>
      <c r="AJ174" s="124">
        <v>202.272734375</v>
      </c>
      <c r="AK174" s="124">
        <v>25890.91</v>
      </c>
      <c r="AL174" s="124"/>
      <c r="AM174" s="124"/>
      <c r="AN174" s="124"/>
      <c r="AO174" s="124"/>
      <c r="AP174" s="124"/>
      <c r="AQ174" s="124"/>
      <c r="AR174" s="124">
        <v>38.786249999999995</v>
      </c>
      <c r="AS174" s="124">
        <v>4964.6399999999994</v>
      </c>
      <c r="AT174" s="124">
        <v>104.45468750000001</v>
      </c>
      <c r="AU174" s="124">
        <v>13370.2</v>
      </c>
      <c r="AV174" s="124">
        <v>19.324187500000001</v>
      </c>
      <c r="AW174" s="124">
        <v>2473.4960000000001</v>
      </c>
      <c r="AX174" s="124">
        <v>20.925234374999999</v>
      </c>
      <c r="AY174" s="124">
        <v>2678.43</v>
      </c>
      <c r="AZ174" s="146"/>
      <c r="BA174" s="125"/>
      <c r="BB174" s="125"/>
      <c r="BC174" s="125"/>
      <c r="BD174" s="125"/>
      <c r="BE174" s="125"/>
      <c r="BF174" s="125"/>
      <c r="BG174" s="125"/>
      <c r="BH174" s="125"/>
      <c r="BI174" s="125"/>
      <c r="BJ174" s="125"/>
      <c r="BK174" s="125"/>
      <c r="BL174" s="125">
        <v>61.659747648</v>
      </c>
      <c r="BM174" s="125">
        <v>7892.447698944</v>
      </c>
      <c r="BN174" s="125">
        <v>0.70141795200000012</v>
      </c>
      <c r="BO174" s="125">
        <v>89.781497856000016</v>
      </c>
      <c r="BP174" s="244">
        <f t="shared" si="36"/>
        <v>721.26312954230764</v>
      </c>
      <c r="BQ174" s="248">
        <f t="shared" si="39"/>
        <v>1442.5262590846153</v>
      </c>
      <c r="BR174" s="105">
        <f t="shared" si="37"/>
        <v>92321.680581415378</v>
      </c>
      <c r="BS174" s="248">
        <f t="shared" si="40"/>
        <v>184643.36116283076</v>
      </c>
    </row>
    <row r="175" spans="1:71" s="16" customFormat="1" ht="17" x14ac:dyDescent="0.2">
      <c r="A175" s="162" t="s">
        <v>476</v>
      </c>
      <c r="B175" s="162" t="s">
        <v>566</v>
      </c>
      <c r="C175" s="262" t="s">
        <v>527</v>
      </c>
      <c r="D175" s="119" t="s">
        <v>563</v>
      </c>
      <c r="E175" s="117" t="s">
        <v>83</v>
      </c>
      <c r="F175" s="120"/>
      <c r="G175" s="227">
        <v>49936</v>
      </c>
      <c r="H175" s="120"/>
      <c r="I175" s="121">
        <v>52105</v>
      </c>
      <c r="J175" s="122">
        <v>0</v>
      </c>
      <c r="K175" s="120"/>
      <c r="L175" s="123"/>
      <c r="M175" s="123"/>
      <c r="N175" s="123"/>
      <c r="O175" s="123"/>
      <c r="P175" s="123"/>
      <c r="Q175" s="123"/>
      <c r="R175" s="123"/>
      <c r="S175" s="123"/>
      <c r="T175" s="123"/>
      <c r="U175" s="256">
        <f>+ROUNDUP(G175*1.05,0)</f>
        <v>52433</v>
      </c>
      <c r="V175" s="123"/>
      <c r="W175" s="123"/>
      <c r="X175" s="123"/>
      <c r="Y175" s="123">
        <v>19500</v>
      </c>
      <c r="Z175" s="123"/>
      <c r="AA175" s="123"/>
      <c r="AB175" s="123"/>
      <c r="AC175" s="163">
        <f t="shared" si="46"/>
        <v>52105</v>
      </c>
      <c r="AD175" s="163">
        <f t="shared" si="46"/>
        <v>0</v>
      </c>
      <c r="AE175" s="124" t="s">
        <v>703</v>
      </c>
      <c r="AF175" s="124">
        <v>24</v>
      </c>
      <c r="AG175" s="124"/>
      <c r="AH175" s="124">
        <f>4460*2</f>
        <v>8920</v>
      </c>
      <c r="AI175" s="124"/>
      <c r="AJ175" s="124"/>
      <c r="AK175" s="124"/>
      <c r="AL175" s="124"/>
      <c r="AM175" s="124"/>
      <c r="AN175" s="124"/>
      <c r="AO175" s="124"/>
      <c r="AP175" s="124"/>
      <c r="AQ175" s="124"/>
      <c r="AR175" s="124">
        <v>24</v>
      </c>
      <c r="AS175" s="124"/>
      <c r="AT175" s="124"/>
      <c r="AU175" s="124"/>
      <c r="AV175" s="124">
        <f>1632*2</f>
        <v>3264</v>
      </c>
      <c r="AW175" s="124"/>
      <c r="AX175" s="124">
        <f>1649*2</f>
        <v>3298</v>
      </c>
      <c r="AY175" s="124"/>
      <c r="AZ175" s="146">
        <f>1467*2</f>
        <v>2934</v>
      </c>
      <c r="BA175" s="125"/>
      <c r="BB175" s="125">
        <v>4314</v>
      </c>
      <c r="BC175" s="125"/>
      <c r="BD175" s="125"/>
      <c r="BE175" s="125"/>
      <c r="BF175" s="125"/>
      <c r="BG175" s="125"/>
      <c r="BH175" s="125"/>
      <c r="BI175" s="125"/>
      <c r="BJ175" s="125"/>
      <c r="BK175" s="125"/>
      <c r="BL175" s="125">
        <v>1614</v>
      </c>
      <c r="BM175" s="125"/>
      <c r="BN175" s="125">
        <v>576</v>
      </c>
      <c r="BO175" s="125"/>
      <c r="BP175" s="244">
        <f t="shared" si="36"/>
        <v>24968</v>
      </c>
      <c r="BQ175" s="248">
        <f t="shared" si="39"/>
        <v>49936</v>
      </c>
      <c r="BR175" s="105">
        <f t="shared" si="37"/>
        <v>0</v>
      </c>
      <c r="BS175" s="248">
        <f t="shared" si="40"/>
        <v>0</v>
      </c>
    </row>
    <row r="176" spans="1:71" s="16" customFormat="1" ht="17" hidden="1" x14ac:dyDescent="0.2">
      <c r="A176" s="162" t="s">
        <v>477</v>
      </c>
      <c r="B176" s="162" t="s">
        <v>567</v>
      </c>
      <c r="C176" s="262" t="s">
        <v>528</v>
      </c>
      <c r="D176" s="119" t="s">
        <v>563</v>
      </c>
      <c r="E176" s="117" t="s">
        <v>83</v>
      </c>
      <c r="F176" s="120"/>
      <c r="G176" s="212">
        <v>45992</v>
      </c>
      <c r="H176" s="120"/>
      <c r="I176" s="121">
        <v>47960</v>
      </c>
      <c r="J176" s="122">
        <v>0</v>
      </c>
      <c r="K176" s="120"/>
      <c r="L176" s="123"/>
      <c r="M176" s="123"/>
      <c r="N176" s="123"/>
      <c r="O176" s="123"/>
      <c r="P176" s="123"/>
      <c r="Q176" s="123"/>
      <c r="R176" s="123"/>
      <c r="S176" s="123"/>
      <c r="T176" s="123"/>
      <c r="U176" s="256">
        <f t="shared" ref="U176:U209" si="48">+ROUNDUP(G176*1.05,0)</f>
        <v>48292</v>
      </c>
      <c r="V176" s="123"/>
      <c r="W176" s="123"/>
      <c r="X176" s="123"/>
      <c r="Y176" s="123"/>
      <c r="Z176" s="123"/>
      <c r="AA176" s="123"/>
      <c r="AB176" s="123"/>
      <c r="AC176" s="163">
        <f t="shared" si="46"/>
        <v>47960</v>
      </c>
      <c r="AD176" s="163">
        <f t="shared" si="46"/>
        <v>0</v>
      </c>
      <c r="AE176" s="124" t="s">
        <v>365</v>
      </c>
      <c r="AF176" s="124">
        <f>9730*2</f>
        <v>19460</v>
      </c>
      <c r="AG176" s="124"/>
      <c r="AH176" s="124"/>
      <c r="AI176" s="124"/>
      <c r="AJ176" s="124"/>
      <c r="AK176" s="124"/>
      <c r="AL176" s="124"/>
      <c r="AM176" s="124"/>
      <c r="AN176" s="124"/>
      <c r="AO176" s="124"/>
      <c r="AP176" s="124"/>
      <c r="AQ176" s="124"/>
      <c r="AR176" s="124">
        <v>2162</v>
      </c>
      <c r="AS176" s="124"/>
      <c r="AT176" s="124"/>
      <c r="AU176" s="124"/>
      <c r="AV176" s="124"/>
      <c r="AW176" s="124"/>
      <c r="AX176" s="124"/>
      <c r="AY176" s="124"/>
      <c r="AZ176" s="146"/>
      <c r="BA176" s="125"/>
      <c r="BB176" s="125"/>
      <c r="BC176" s="125"/>
      <c r="BD176" s="125"/>
      <c r="BE176" s="125"/>
      <c r="BF176" s="125"/>
      <c r="BG176" s="125"/>
      <c r="BH176" s="125"/>
      <c r="BI176" s="125"/>
      <c r="BJ176" s="125"/>
      <c r="BK176" s="125"/>
      <c r="BL176" s="125">
        <v>1374</v>
      </c>
      <c r="BM176" s="125"/>
      <c r="BN176" s="125"/>
      <c r="BO176" s="125"/>
      <c r="BP176" s="244">
        <f t="shared" si="36"/>
        <v>22996</v>
      </c>
      <c r="BQ176" s="248">
        <f t="shared" si="39"/>
        <v>45992</v>
      </c>
      <c r="BR176" s="105">
        <f t="shared" si="37"/>
        <v>0</v>
      </c>
      <c r="BS176" s="248">
        <f t="shared" si="40"/>
        <v>0</v>
      </c>
    </row>
    <row r="177" spans="1:71" s="16" customFormat="1" ht="17" hidden="1" x14ac:dyDescent="0.2">
      <c r="A177" s="162" t="s">
        <v>478</v>
      </c>
      <c r="B177" s="162" t="s">
        <v>579</v>
      </c>
      <c r="C177" s="262" t="s">
        <v>529</v>
      </c>
      <c r="D177" s="119" t="s">
        <v>564</v>
      </c>
      <c r="E177" s="117" t="s">
        <v>83</v>
      </c>
      <c r="F177" s="120"/>
      <c r="G177" s="212">
        <v>20516</v>
      </c>
      <c r="H177" s="120"/>
      <c r="I177" s="121">
        <v>21423</v>
      </c>
      <c r="J177" s="122">
        <v>0</v>
      </c>
      <c r="K177" s="120"/>
      <c r="L177" s="123"/>
      <c r="M177" s="123"/>
      <c r="N177" s="123"/>
      <c r="O177" s="123"/>
      <c r="P177" s="123"/>
      <c r="Q177" s="123"/>
      <c r="R177" s="123"/>
      <c r="S177" s="123"/>
      <c r="T177" s="123"/>
      <c r="U177" s="256">
        <f t="shared" si="48"/>
        <v>21542</v>
      </c>
      <c r="V177" s="123"/>
      <c r="W177" s="123"/>
      <c r="X177" s="123"/>
      <c r="Y177" s="123">
        <v>11800</v>
      </c>
      <c r="Z177" s="123"/>
      <c r="AA177" s="123"/>
      <c r="AB177" s="123"/>
      <c r="AC177" s="163">
        <f t="shared" si="46"/>
        <v>21423</v>
      </c>
      <c r="AD177" s="163">
        <f t="shared" si="46"/>
        <v>0</v>
      </c>
      <c r="AE177" s="124" t="s">
        <v>703</v>
      </c>
      <c r="AF177" s="124"/>
      <c r="AG177" s="124"/>
      <c r="AH177" s="124"/>
      <c r="AI177" s="124"/>
      <c r="AJ177" s="124">
        <f>5672+24</f>
        <v>5696</v>
      </c>
      <c r="AK177" s="124"/>
      <c r="AL177" s="124"/>
      <c r="AM177" s="124"/>
      <c r="AN177" s="124"/>
      <c r="AO177" s="124"/>
      <c r="AP177" s="124"/>
      <c r="AQ177" s="124"/>
      <c r="AR177" s="124"/>
      <c r="AS177" s="124"/>
      <c r="AT177" s="124">
        <f>1566*2</f>
        <v>3132</v>
      </c>
      <c r="AU177" s="124"/>
      <c r="AV177" s="124"/>
      <c r="AW177" s="124"/>
      <c r="AX177" s="124"/>
      <c r="AY177" s="124"/>
      <c r="AZ177" s="146"/>
      <c r="BA177" s="125"/>
      <c r="BB177" s="125"/>
      <c r="BC177" s="125"/>
      <c r="BD177" s="125"/>
      <c r="BE177" s="125"/>
      <c r="BF177" s="125"/>
      <c r="BG177" s="125"/>
      <c r="BH177" s="125"/>
      <c r="BI177" s="125"/>
      <c r="BJ177" s="125"/>
      <c r="BK177" s="125"/>
      <c r="BL177" s="125">
        <v>1430</v>
      </c>
      <c r="BM177" s="125"/>
      <c r="BN177" s="125"/>
      <c r="BO177" s="125"/>
      <c r="BP177" s="244">
        <f t="shared" si="36"/>
        <v>10258</v>
      </c>
      <c r="BQ177" s="248">
        <f t="shared" si="39"/>
        <v>20516</v>
      </c>
      <c r="BR177" s="105">
        <f t="shared" si="37"/>
        <v>0</v>
      </c>
      <c r="BS177" s="248">
        <f t="shared" si="40"/>
        <v>0</v>
      </c>
    </row>
    <row r="178" spans="1:71" s="16" customFormat="1" ht="17" x14ac:dyDescent="0.2">
      <c r="A178" s="162" t="s">
        <v>479</v>
      </c>
      <c r="B178" s="162" t="s">
        <v>509</v>
      </c>
      <c r="C178" s="262" t="s">
        <v>530</v>
      </c>
      <c r="D178" s="119" t="s">
        <v>565</v>
      </c>
      <c r="E178" s="117" t="s">
        <v>83</v>
      </c>
      <c r="F178" s="120"/>
      <c r="G178" s="212">
        <v>49840</v>
      </c>
      <c r="H178" s="120"/>
      <c r="I178" s="121">
        <v>52105</v>
      </c>
      <c r="J178" s="122">
        <v>0</v>
      </c>
      <c r="K178" s="120"/>
      <c r="L178" s="123"/>
      <c r="M178" s="123"/>
      <c r="N178" s="123"/>
      <c r="O178" s="123"/>
      <c r="P178" s="123"/>
      <c r="Q178" s="123"/>
      <c r="R178" s="123"/>
      <c r="S178" s="123"/>
      <c r="T178" s="123"/>
      <c r="U178" s="256">
        <f t="shared" si="48"/>
        <v>52332</v>
      </c>
      <c r="V178" s="123"/>
      <c r="W178" s="123"/>
      <c r="X178" s="123"/>
      <c r="Y178" s="123">
        <v>19500</v>
      </c>
      <c r="Z178" s="123"/>
      <c r="AA178" s="123"/>
      <c r="AB178" s="123"/>
      <c r="AC178" s="163">
        <f t="shared" si="46"/>
        <v>52105</v>
      </c>
      <c r="AD178" s="163">
        <f t="shared" si="46"/>
        <v>0</v>
      </c>
      <c r="AE178" s="124" t="s">
        <v>703</v>
      </c>
      <c r="AF178" s="124"/>
      <c r="AG178" s="124"/>
      <c r="AH178" s="124">
        <v>8920</v>
      </c>
      <c r="AI178" s="124"/>
      <c r="AJ178" s="124"/>
      <c r="AK178" s="124"/>
      <c r="AL178" s="124"/>
      <c r="AM178" s="124"/>
      <c r="AN178" s="124"/>
      <c r="AO178" s="124"/>
      <c r="AP178" s="124"/>
      <c r="AQ178" s="124"/>
      <c r="AR178" s="124"/>
      <c r="AS178" s="124"/>
      <c r="AT178" s="124"/>
      <c r="AU178" s="124"/>
      <c r="AV178" s="124">
        <v>3264</v>
      </c>
      <c r="AW178" s="124"/>
      <c r="AX178" s="124">
        <v>3298</v>
      </c>
      <c r="AY178" s="124"/>
      <c r="AZ178" s="146">
        <v>2934</v>
      </c>
      <c r="BA178" s="125"/>
      <c r="BB178" s="125">
        <v>4314</v>
      </c>
      <c r="BC178" s="125"/>
      <c r="BD178" s="125"/>
      <c r="BE178" s="125"/>
      <c r="BF178" s="125"/>
      <c r="BG178" s="125"/>
      <c r="BH178" s="125"/>
      <c r="BI178" s="125"/>
      <c r="BJ178" s="125"/>
      <c r="BK178" s="125"/>
      <c r="BL178" s="125">
        <v>1614</v>
      </c>
      <c r="BM178" s="125"/>
      <c r="BN178" s="125">
        <v>576</v>
      </c>
      <c r="BO178" s="125"/>
      <c r="BP178" s="244">
        <f t="shared" si="36"/>
        <v>24920</v>
      </c>
      <c r="BQ178" s="248">
        <f t="shared" si="39"/>
        <v>49840</v>
      </c>
      <c r="BR178" s="105">
        <f t="shared" si="37"/>
        <v>0</v>
      </c>
      <c r="BS178" s="248">
        <f t="shared" si="40"/>
        <v>0</v>
      </c>
    </row>
    <row r="179" spans="1:71" s="16" customFormat="1" ht="17" hidden="1" x14ac:dyDescent="0.2">
      <c r="A179" s="162" t="s">
        <v>480</v>
      </c>
      <c r="B179" s="162" t="s">
        <v>561</v>
      </c>
      <c r="C179" s="262" t="s">
        <v>531</v>
      </c>
      <c r="D179" s="119" t="s">
        <v>563</v>
      </c>
      <c r="E179" s="117" t="s">
        <v>83</v>
      </c>
      <c r="F179" s="120"/>
      <c r="G179" s="212">
        <v>7120</v>
      </c>
      <c r="H179" s="120"/>
      <c r="I179" s="121">
        <v>7426</v>
      </c>
      <c r="J179" s="122">
        <v>0</v>
      </c>
      <c r="K179" s="120"/>
      <c r="L179" s="123"/>
      <c r="M179" s="123"/>
      <c r="N179" s="123"/>
      <c r="O179" s="123"/>
      <c r="P179" s="123"/>
      <c r="Q179" s="123"/>
      <c r="R179" s="123"/>
      <c r="S179" s="123"/>
      <c r="T179" s="123"/>
      <c r="U179" s="256">
        <f t="shared" si="48"/>
        <v>7476</v>
      </c>
      <c r="V179" s="123"/>
      <c r="W179" s="123"/>
      <c r="X179" s="123"/>
      <c r="Y179" s="123"/>
      <c r="Z179" s="123"/>
      <c r="AA179" s="123"/>
      <c r="AB179" s="123"/>
      <c r="AC179" s="163">
        <f t="shared" si="46"/>
        <v>7426</v>
      </c>
      <c r="AD179" s="163">
        <f t="shared" si="46"/>
        <v>0</v>
      </c>
      <c r="AE179" s="124" t="s">
        <v>365</v>
      </c>
      <c r="AF179" s="124">
        <v>24</v>
      </c>
      <c r="AG179" s="124"/>
      <c r="AH179" s="124"/>
      <c r="AI179" s="124"/>
      <c r="AJ179" s="124"/>
      <c r="AK179" s="124"/>
      <c r="AL179" s="124"/>
      <c r="AM179" s="124"/>
      <c r="AN179" s="124"/>
      <c r="AO179" s="124"/>
      <c r="AP179" s="124"/>
      <c r="AQ179" s="124"/>
      <c r="AR179" s="124">
        <v>2162</v>
      </c>
      <c r="AS179" s="124"/>
      <c r="AT179" s="124"/>
      <c r="AU179" s="124"/>
      <c r="AV179" s="124"/>
      <c r="AW179" s="124"/>
      <c r="AX179" s="124"/>
      <c r="AY179" s="124"/>
      <c r="AZ179" s="146"/>
      <c r="BA179" s="125"/>
      <c r="BB179" s="125"/>
      <c r="BC179" s="125"/>
      <c r="BD179" s="125"/>
      <c r="BE179" s="125"/>
      <c r="BF179" s="125"/>
      <c r="BG179" s="125"/>
      <c r="BH179" s="125"/>
      <c r="BI179" s="125"/>
      <c r="BJ179" s="125"/>
      <c r="BK179" s="125"/>
      <c r="BL179" s="125">
        <v>1374</v>
      </c>
      <c r="BM179" s="125"/>
      <c r="BN179" s="125"/>
      <c r="BO179" s="125"/>
      <c r="BP179" s="244">
        <f t="shared" si="36"/>
        <v>3560</v>
      </c>
      <c r="BQ179" s="248">
        <f t="shared" si="39"/>
        <v>7120</v>
      </c>
      <c r="BR179" s="105">
        <f t="shared" si="37"/>
        <v>0</v>
      </c>
      <c r="BS179" s="248">
        <f t="shared" si="40"/>
        <v>0</v>
      </c>
    </row>
    <row r="180" spans="1:71" s="16" customFormat="1" ht="17" hidden="1" x14ac:dyDescent="0.2">
      <c r="A180" s="162" t="s">
        <v>481</v>
      </c>
      <c r="B180" s="162" t="s">
        <v>509</v>
      </c>
      <c r="C180" s="262" t="s">
        <v>532</v>
      </c>
      <c r="D180" s="119" t="s">
        <v>564</v>
      </c>
      <c r="E180" s="117" t="s">
        <v>83</v>
      </c>
      <c r="F180" s="120"/>
      <c r="G180" s="212">
        <v>20468</v>
      </c>
      <c r="H180" s="120"/>
      <c r="I180" s="121">
        <v>21423</v>
      </c>
      <c r="J180" s="122">
        <v>0</v>
      </c>
      <c r="K180" s="120"/>
      <c r="L180" s="123"/>
      <c r="M180" s="123"/>
      <c r="N180" s="123"/>
      <c r="O180" s="123"/>
      <c r="P180" s="123"/>
      <c r="Q180" s="123"/>
      <c r="R180" s="123"/>
      <c r="S180" s="123"/>
      <c r="T180" s="123"/>
      <c r="U180" s="256">
        <f t="shared" si="48"/>
        <v>21492</v>
      </c>
      <c r="V180" s="123"/>
      <c r="W180" s="123"/>
      <c r="X180" s="123"/>
      <c r="Y180" s="123">
        <v>11800</v>
      </c>
      <c r="Z180" s="123"/>
      <c r="AA180" s="123"/>
      <c r="AB180" s="123"/>
      <c r="AC180" s="163">
        <f t="shared" si="46"/>
        <v>21423</v>
      </c>
      <c r="AD180" s="163">
        <f t="shared" si="46"/>
        <v>0</v>
      </c>
      <c r="AE180" s="124" t="s">
        <v>703</v>
      </c>
      <c r="AF180" s="124"/>
      <c r="AG180" s="124"/>
      <c r="AH180" s="124"/>
      <c r="AI180" s="124"/>
      <c r="AJ180" s="124">
        <v>5672</v>
      </c>
      <c r="AK180" s="124"/>
      <c r="AL180" s="124"/>
      <c r="AM180" s="124"/>
      <c r="AN180" s="124"/>
      <c r="AO180" s="124"/>
      <c r="AP180" s="124"/>
      <c r="AQ180" s="124"/>
      <c r="AR180" s="124"/>
      <c r="AS180" s="124"/>
      <c r="AT180" s="124">
        <v>3132</v>
      </c>
      <c r="AU180" s="124"/>
      <c r="AV180" s="124"/>
      <c r="AW180" s="124"/>
      <c r="AX180" s="124"/>
      <c r="AY180" s="124"/>
      <c r="AZ180" s="146"/>
      <c r="BA180" s="125"/>
      <c r="BB180" s="125"/>
      <c r="BC180" s="125"/>
      <c r="BD180" s="125"/>
      <c r="BE180" s="125"/>
      <c r="BF180" s="125"/>
      <c r="BG180" s="125"/>
      <c r="BH180" s="125"/>
      <c r="BI180" s="125"/>
      <c r="BJ180" s="125"/>
      <c r="BK180" s="125"/>
      <c r="BL180" s="125">
        <v>1430</v>
      </c>
      <c r="BM180" s="125"/>
      <c r="BN180" s="125"/>
      <c r="BO180" s="125"/>
      <c r="BP180" s="244">
        <f t="shared" si="36"/>
        <v>10234</v>
      </c>
      <c r="BQ180" s="248">
        <f t="shared" si="39"/>
        <v>20468</v>
      </c>
      <c r="BR180" s="105">
        <f t="shared" si="37"/>
        <v>0</v>
      </c>
      <c r="BS180" s="248">
        <f t="shared" si="40"/>
        <v>0</v>
      </c>
    </row>
    <row r="181" spans="1:71" s="16" customFormat="1" ht="17" hidden="1" x14ac:dyDescent="0.2">
      <c r="A181" s="162" t="s">
        <v>482</v>
      </c>
      <c r="B181" s="162" t="s">
        <v>562</v>
      </c>
      <c r="C181" s="262" t="s">
        <v>533</v>
      </c>
      <c r="D181" s="119" t="s">
        <v>563</v>
      </c>
      <c r="E181" s="117" t="s">
        <v>83</v>
      </c>
      <c r="F181" s="120"/>
      <c r="G181" s="212">
        <f>38476+324</f>
        <v>38800</v>
      </c>
      <c r="H181" s="120"/>
      <c r="I181" s="121">
        <v>40400</v>
      </c>
      <c r="J181" s="122">
        <v>0</v>
      </c>
      <c r="K181" s="120"/>
      <c r="L181" s="123"/>
      <c r="M181" s="123"/>
      <c r="N181" s="123"/>
      <c r="O181" s="123"/>
      <c r="P181" s="123"/>
      <c r="Q181" s="123"/>
      <c r="R181" s="123"/>
      <c r="S181" s="123"/>
      <c r="T181" s="123"/>
      <c r="U181" s="256">
        <f t="shared" si="48"/>
        <v>40740</v>
      </c>
      <c r="V181" s="123"/>
      <c r="W181" s="123"/>
      <c r="X181" s="123"/>
      <c r="Y181" s="123"/>
      <c r="Z181" s="123"/>
      <c r="AA181" s="123"/>
      <c r="AB181" s="123"/>
      <c r="AC181" s="163">
        <f t="shared" si="46"/>
        <v>40400</v>
      </c>
      <c r="AD181" s="163">
        <f t="shared" si="46"/>
        <v>0</v>
      </c>
      <c r="AE181" s="124" t="s">
        <v>365</v>
      </c>
      <c r="AF181" s="124">
        <f>9700*2</f>
        <v>19400</v>
      </c>
      <c r="AG181" s="124"/>
      <c r="AH181" s="124"/>
      <c r="AI181" s="124"/>
      <c r="AJ181" s="124"/>
      <c r="AK181" s="124"/>
      <c r="AL181" s="124"/>
      <c r="AM181" s="124"/>
      <c r="AN181" s="124"/>
      <c r="AO181" s="124"/>
      <c r="AP181" s="124"/>
      <c r="AQ181" s="124"/>
      <c r="AR181" s="124"/>
      <c r="AS181" s="124"/>
      <c r="AT181" s="124"/>
      <c r="AU181" s="124"/>
      <c r="AV181" s="124"/>
      <c r="AW181" s="124"/>
      <c r="AX181" s="124"/>
      <c r="AY181" s="124"/>
      <c r="AZ181" s="146"/>
      <c r="BA181" s="125"/>
      <c r="BB181" s="125"/>
      <c r="BC181" s="125"/>
      <c r="BD181" s="125"/>
      <c r="BE181" s="125"/>
      <c r="BF181" s="125"/>
      <c r="BG181" s="125"/>
      <c r="BH181" s="125"/>
      <c r="BI181" s="125"/>
      <c r="BJ181" s="125"/>
      <c r="BK181" s="125"/>
      <c r="BL181" s="125"/>
      <c r="BM181" s="125"/>
      <c r="BN181" s="125"/>
      <c r="BO181" s="125"/>
      <c r="BP181" s="244">
        <f t="shared" si="36"/>
        <v>19400</v>
      </c>
      <c r="BQ181" s="248">
        <f t="shared" si="39"/>
        <v>38800</v>
      </c>
      <c r="BR181" s="105">
        <f t="shared" si="37"/>
        <v>0</v>
      </c>
      <c r="BS181" s="248">
        <f t="shared" si="40"/>
        <v>0</v>
      </c>
    </row>
    <row r="182" spans="1:71" s="16" customFormat="1" ht="17" hidden="1" x14ac:dyDescent="0.2">
      <c r="A182" s="162" t="s">
        <v>483</v>
      </c>
      <c r="B182" s="162" t="s">
        <v>510</v>
      </c>
      <c r="C182" s="262" t="s">
        <v>534</v>
      </c>
      <c r="D182" s="119" t="s">
        <v>563</v>
      </c>
      <c r="E182" s="117" t="s">
        <v>83</v>
      </c>
      <c r="F182" s="120"/>
      <c r="G182" s="212">
        <v>20</v>
      </c>
      <c r="H182" s="120"/>
      <c r="I182" s="121">
        <v>21</v>
      </c>
      <c r="J182" s="122">
        <v>0</v>
      </c>
      <c r="K182" s="120"/>
      <c r="L182" s="123"/>
      <c r="M182" s="123"/>
      <c r="N182" s="123"/>
      <c r="O182" s="123"/>
      <c r="P182" s="123"/>
      <c r="Q182" s="123"/>
      <c r="R182" s="123"/>
      <c r="S182" s="123"/>
      <c r="T182" s="123"/>
      <c r="U182" s="256">
        <f t="shared" si="48"/>
        <v>21</v>
      </c>
      <c r="V182" s="123"/>
      <c r="W182" s="123"/>
      <c r="X182" s="123"/>
      <c r="Y182" s="123"/>
      <c r="Z182" s="123"/>
      <c r="AA182" s="123"/>
      <c r="AB182" s="123"/>
      <c r="AC182" s="163">
        <f t="shared" si="46"/>
        <v>21</v>
      </c>
      <c r="AD182" s="163">
        <f t="shared" si="46"/>
        <v>0</v>
      </c>
      <c r="AE182" s="124" t="s">
        <v>365</v>
      </c>
      <c r="AF182" s="124"/>
      <c r="AG182" s="124"/>
      <c r="AH182" s="124"/>
      <c r="AI182" s="124"/>
      <c r="AJ182" s="124"/>
      <c r="AK182" s="124"/>
      <c r="AL182" s="124"/>
      <c r="AM182" s="124"/>
      <c r="AN182" s="124"/>
      <c r="AO182" s="124"/>
      <c r="AP182" s="124"/>
      <c r="AQ182" s="124"/>
      <c r="AR182" s="124"/>
      <c r="AS182" s="124"/>
      <c r="AT182" s="124"/>
      <c r="AU182" s="124"/>
      <c r="AV182" s="124"/>
      <c r="AW182" s="124"/>
      <c r="AX182" s="124">
        <v>10</v>
      </c>
      <c r="AY182" s="124"/>
      <c r="AZ182" s="146"/>
      <c r="BA182" s="125"/>
      <c r="BB182" s="125"/>
      <c r="BC182" s="125"/>
      <c r="BD182" s="125"/>
      <c r="BE182" s="125"/>
      <c r="BF182" s="125"/>
      <c r="BG182" s="125"/>
      <c r="BH182" s="125"/>
      <c r="BI182" s="125"/>
      <c r="BJ182" s="125"/>
      <c r="BK182" s="125"/>
      <c r="BL182" s="125"/>
      <c r="BM182" s="125"/>
      <c r="BN182" s="125"/>
      <c r="BO182" s="125"/>
      <c r="BP182" s="244">
        <f t="shared" si="36"/>
        <v>10</v>
      </c>
      <c r="BQ182" s="248">
        <f t="shared" si="39"/>
        <v>20</v>
      </c>
      <c r="BR182" s="105">
        <f t="shared" si="37"/>
        <v>0</v>
      </c>
      <c r="BS182" s="248">
        <f t="shared" si="40"/>
        <v>0</v>
      </c>
    </row>
    <row r="183" spans="1:71" s="16" customFormat="1" ht="17" hidden="1" x14ac:dyDescent="0.2">
      <c r="A183" s="162" t="s">
        <v>484</v>
      </c>
      <c r="B183" s="162" t="s">
        <v>510</v>
      </c>
      <c r="C183" s="262" t="s">
        <v>535</v>
      </c>
      <c r="D183" s="119" t="s">
        <v>563</v>
      </c>
      <c r="E183" s="117" t="s">
        <v>83</v>
      </c>
      <c r="F183" s="120"/>
      <c r="G183" s="212">
        <v>2004</v>
      </c>
      <c r="H183" s="120"/>
      <c r="I183" s="121">
        <v>2105</v>
      </c>
      <c r="J183" s="122">
        <v>0</v>
      </c>
      <c r="K183" s="120"/>
      <c r="L183" s="123"/>
      <c r="M183" s="123"/>
      <c r="N183" s="123"/>
      <c r="O183" s="123"/>
      <c r="P183" s="123"/>
      <c r="Q183" s="123"/>
      <c r="R183" s="123"/>
      <c r="S183" s="123"/>
      <c r="T183" s="123"/>
      <c r="U183" s="256">
        <f t="shared" si="48"/>
        <v>2105</v>
      </c>
      <c r="V183" s="123"/>
      <c r="W183" s="123"/>
      <c r="X183" s="123"/>
      <c r="Y183" s="123"/>
      <c r="Z183" s="123"/>
      <c r="AA183" s="123"/>
      <c r="AB183" s="123"/>
      <c r="AC183" s="163">
        <f t="shared" si="46"/>
        <v>2105</v>
      </c>
      <c r="AD183" s="163">
        <f t="shared" si="46"/>
        <v>0</v>
      </c>
      <c r="AE183" s="124" t="s">
        <v>365</v>
      </c>
      <c r="AF183" s="124"/>
      <c r="AG183" s="124"/>
      <c r="AH183" s="124"/>
      <c r="AI183" s="124"/>
      <c r="AJ183" s="124"/>
      <c r="AK183" s="124"/>
      <c r="AL183" s="124"/>
      <c r="AM183" s="124"/>
      <c r="AN183" s="124"/>
      <c r="AO183" s="124"/>
      <c r="AP183" s="124"/>
      <c r="AQ183" s="124"/>
      <c r="AR183" s="124"/>
      <c r="AS183" s="124"/>
      <c r="AT183" s="124"/>
      <c r="AU183" s="124"/>
      <c r="AV183" s="124"/>
      <c r="AW183" s="124"/>
      <c r="AX183" s="124">
        <v>906</v>
      </c>
      <c r="AY183" s="124"/>
      <c r="AZ183" s="146"/>
      <c r="BA183" s="125"/>
      <c r="BB183" s="125"/>
      <c r="BC183" s="125"/>
      <c r="BD183" s="125"/>
      <c r="BE183" s="125"/>
      <c r="BF183" s="125"/>
      <c r="BG183" s="125"/>
      <c r="BH183" s="125"/>
      <c r="BI183" s="125"/>
      <c r="BJ183" s="125"/>
      <c r="BK183" s="125"/>
      <c r="BL183" s="125"/>
      <c r="BM183" s="125"/>
      <c r="BN183" s="125">
        <v>96</v>
      </c>
      <c r="BO183" s="125"/>
      <c r="BP183" s="244">
        <f t="shared" si="36"/>
        <v>1002</v>
      </c>
      <c r="BQ183" s="248">
        <f t="shared" si="39"/>
        <v>2004</v>
      </c>
      <c r="BR183" s="105">
        <f t="shared" si="37"/>
        <v>0</v>
      </c>
      <c r="BS183" s="248">
        <f t="shared" si="40"/>
        <v>0</v>
      </c>
    </row>
    <row r="184" spans="1:71" s="16" customFormat="1" ht="17" hidden="1" x14ac:dyDescent="0.2">
      <c r="A184" s="162" t="s">
        <v>485</v>
      </c>
      <c r="B184" s="162" t="s">
        <v>510</v>
      </c>
      <c r="C184" s="262" t="s">
        <v>536</v>
      </c>
      <c r="D184" s="119" t="s">
        <v>563</v>
      </c>
      <c r="E184" s="117" t="s">
        <v>83</v>
      </c>
      <c r="F184" s="120"/>
      <c r="G184" s="212">
        <v>558</v>
      </c>
      <c r="H184" s="120"/>
      <c r="I184" s="121">
        <v>586</v>
      </c>
      <c r="J184" s="122">
        <v>0</v>
      </c>
      <c r="K184" s="120"/>
      <c r="L184" s="123"/>
      <c r="M184" s="123"/>
      <c r="N184" s="123"/>
      <c r="O184" s="123"/>
      <c r="P184" s="123"/>
      <c r="Q184" s="123"/>
      <c r="R184" s="123"/>
      <c r="S184" s="123"/>
      <c r="T184" s="123"/>
      <c r="U184" s="256">
        <f t="shared" si="48"/>
        <v>586</v>
      </c>
      <c r="V184" s="123"/>
      <c r="W184" s="123"/>
      <c r="X184" s="123"/>
      <c r="Y184" s="123"/>
      <c r="Z184" s="123"/>
      <c r="AA184" s="123"/>
      <c r="AB184" s="123"/>
      <c r="AC184" s="163">
        <f t="shared" si="46"/>
        <v>586</v>
      </c>
      <c r="AD184" s="163">
        <f t="shared" si="46"/>
        <v>0</v>
      </c>
      <c r="AE184" s="124" t="s">
        <v>365</v>
      </c>
      <c r="AF184" s="124"/>
      <c r="AG184" s="124"/>
      <c r="AH184" s="124"/>
      <c r="AI184" s="124"/>
      <c r="AJ184" s="124"/>
      <c r="AK184" s="124"/>
      <c r="AL184" s="124"/>
      <c r="AM184" s="124"/>
      <c r="AN184" s="124"/>
      <c r="AO184" s="124"/>
      <c r="AP184" s="124"/>
      <c r="AQ184" s="124"/>
      <c r="AR184" s="124"/>
      <c r="AS184" s="124"/>
      <c r="AT184" s="124"/>
      <c r="AU184" s="124"/>
      <c r="AV184" s="124"/>
      <c r="AW184" s="124"/>
      <c r="AX184" s="124">
        <v>279</v>
      </c>
      <c r="AY184" s="124"/>
      <c r="AZ184" s="146"/>
      <c r="BA184" s="125"/>
      <c r="BB184" s="125"/>
      <c r="BC184" s="125"/>
      <c r="BD184" s="125"/>
      <c r="BE184" s="125"/>
      <c r="BF184" s="125"/>
      <c r="BG184" s="125"/>
      <c r="BH184" s="125"/>
      <c r="BI184" s="125"/>
      <c r="BJ184" s="125"/>
      <c r="BK184" s="125"/>
      <c r="BL184" s="125"/>
      <c r="BM184" s="125"/>
      <c r="BN184" s="125"/>
      <c r="BO184" s="125"/>
      <c r="BP184" s="244">
        <f t="shared" si="36"/>
        <v>279</v>
      </c>
      <c r="BQ184" s="248">
        <f t="shared" si="39"/>
        <v>558</v>
      </c>
      <c r="BR184" s="105">
        <f t="shared" si="37"/>
        <v>0</v>
      </c>
      <c r="BS184" s="248">
        <f t="shared" si="40"/>
        <v>0</v>
      </c>
    </row>
    <row r="185" spans="1:71" s="16" customFormat="1" ht="17" hidden="1" x14ac:dyDescent="0.2">
      <c r="A185" s="162" t="s">
        <v>486</v>
      </c>
      <c r="B185" s="162" t="s">
        <v>510</v>
      </c>
      <c r="C185" s="262" t="s">
        <v>537</v>
      </c>
      <c r="D185" s="119" t="s">
        <v>563</v>
      </c>
      <c r="E185" s="117" t="s">
        <v>83</v>
      </c>
      <c r="F185" s="120"/>
      <c r="G185" s="212">
        <v>908</v>
      </c>
      <c r="H185" s="120"/>
      <c r="I185" s="121">
        <v>954</v>
      </c>
      <c r="J185" s="122">
        <v>0</v>
      </c>
      <c r="K185" s="120"/>
      <c r="L185" s="123"/>
      <c r="M185" s="123"/>
      <c r="N185" s="123"/>
      <c r="O185" s="123"/>
      <c r="P185" s="123"/>
      <c r="Q185" s="123"/>
      <c r="R185" s="123"/>
      <c r="S185" s="123"/>
      <c r="T185" s="123"/>
      <c r="U185" s="256">
        <f t="shared" si="48"/>
        <v>954</v>
      </c>
      <c r="V185" s="123"/>
      <c r="W185" s="123"/>
      <c r="X185" s="123"/>
      <c r="Y185" s="123"/>
      <c r="Z185" s="123"/>
      <c r="AA185" s="123"/>
      <c r="AB185" s="123"/>
      <c r="AC185" s="163">
        <f t="shared" si="46"/>
        <v>954</v>
      </c>
      <c r="AD185" s="163">
        <f t="shared" si="46"/>
        <v>0</v>
      </c>
      <c r="AE185" s="124" t="s">
        <v>365</v>
      </c>
      <c r="AF185" s="124"/>
      <c r="AG185" s="124"/>
      <c r="AH185" s="124"/>
      <c r="AI185" s="124"/>
      <c r="AJ185" s="124"/>
      <c r="AK185" s="124"/>
      <c r="AL185" s="124"/>
      <c r="AM185" s="124"/>
      <c r="AN185" s="124"/>
      <c r="AO185" s="124"/>
      <c r="AP185" s="124"/>
      <c r="AQ185" s="124"/>
      <c r="AR185" s="124"/>
      <c r="AS185" s="124"/>
      <c r="AT185" s="124"/>
      <c r="AU185" s="124"/>
      <c r="AV185" s="124"/>
      <c r="AW185" s="124"/>
      <c r="AX185" s="124">
        <v>154</v>
      </c>
      <c r="AY185" s="124"/>
      <c r="AZ185" s="146">
        <v>300</v>
      </c>
      <c r="BA185" s="125"/>
      <c r="BB185" s="125"/>
      <c r="BC185" s="125"/>
      <c r="BD185" s="125"/>
      <c r="BE185" s="125"/>
      <c r="BF185" s="125"/>
      <c r="BG185" s="125"/>
      <c r="BH185" s="125"/>
      <c r="BI185" s="125"/>
      <c r="BJ185" s="125"/>
      <c r="BK185" s="125"/>
      <c r="BL185" s="125"/>
      <c r="BM185" s="125"/>
      <c r="BN185" s="125"/>
      <c r="BO185" s="125"/>
      <c r="BP185" s="244">
        <f t="shared" si="36"/>
        <v>454</v>
      </c>
      <c r="BQ185" s="248">
        <f t="shared" si="39"/>
        <v>908</v>
      </c>
      <c r="BR185" s="105">
        <f t="shared" si="37"/>
        <v>0</v>
      </c>
      <c r="BS185" s="248">
        <f t="shared" si="40"/>
        <v>0</v>
      </c>
    </row>
    <row r="186" spans="1:71" s="16" customFormat="1" ht="17" x14ac:dyDescent="0.2">
      <c r="A186" s="162" t="s">
        <v>487</v>
      </c>
      <c r="B186" s="162" t="s">
        <v>510</v>
      </c>
      <c r="C186" s="262" t="s">
        <v>538</v>
      </c>
      <c r="D186" s="119" t="s">
        <v>563</v>
      </c>
      <c r="E186" s="117" t="s">
        <v>83</v>
      </c>
      <c r="F186" s="120"/>
      <c r="G186" s="212">
        <f>2778+7040</f>
        <v>9818</v>
      </c>
      <c r="H186" s="120"/>
      <c r="I186" s="121">
        <v>10217</v>
      </c>
      <c r="J186" s="122">
        <v>0</v>
      </c>
      <c r="K186" s="120"/>
      <c r="L186" s="123"/>
      <c r="M186" s="123"/>
      <c r="N186" s="123"/>
      <c r="O186" s="123"/>
      <c r="P186" s="123"/>
      <c r="Q186" s="123"/>
      <c r="R186" s="123"/>
      <c r="S186" s="123"/>
      <c r="T186" s="123"/>
      <c r="U186" s="256">
        <f t="shared" si="48"/>
        <v>10309</v>
      </c>
      <c r="V186" s="123"/>
      <c r="W186" s="123"/>
      <c r="X186" s="123"/>
      <c r="Y186" s="123">
        <v>7300</v>
      </c>
      <c r="Z186" s="123"/>
      <c r="AA186" s="123"/>
      <c r="AB186" s="123"/>
      <c r="AC186" s="163">
        <f t="shared" si="46"/>
        <v>10217</v>
      </c>
      <c r="AD186" s="163">
        <f t="shared" si="46"/>
        <v>0</v>
      </c>
      <c r="AE186" s="124" t="s">
        <v>703</v>
      </c>
      <c r="AF186" s="124"/>
      <c r="AG186" s="124"/>
      <c r="AH186" s="124">
        <v>3520</v>
      </c>
      <c r="AI186" s="124"/>
      <c r="AJ186" s="124"/>
      <c r="AK186" s="124"/>
      <c r="AL186" s="124"/>
      <c r="AM186" s="124"/>
      <c r="AN186" s="124"/>
      <c r="AO186" s="124"/>
      <c r="AP186" s="124"/>
      <c r="AQ186" s="124"/>
      <c r="AR186" s="124"/>
      <c r="AS186" s="124"/>
      <c r="AT186" s="124"/>
      <c r="AU186" s="124"/>
      <c r="AV186" s="124">
        <v>1032</v>
      </c>
      <c r="AW186" s="124"/>
      <c r="AX186" s="124"/>
      <c r="AY186" s="124"/>
      <c r="AZ186" s="146"/>
      <c r="BA186" s="125"/>
      <c r="BB186" s="125"/>
      <c r="BC186" s="125"/>
      <c r="BD186" s="125"/>
      <c r="BE186" s="125"/>
      <c r="BF186" s="125"/>
      <c r="BG186" s="125"/>
      <c r="BH186" s="125"/>
      <c r="BI186" s="125"/>
      <c r="BJ186" s="125"/>
      <c r="BK186" s="125"/>
      <c r="BL186" s="125">
        <v>357</v>
      </c>
      <c r="BM186" s="125"/>
      <c r="BN186" s="125"/>
      <c r="BO186" s="125"/>
      <c r="BP186" s="244">
        <f t="shared" si="36"/>
        <v>4909</v>
      </c>
      <c r="BQ186" s="248">
        <f t="shared" si="39"/>
        <v>9818</v>
      </c>
      <c r="BR186" s="105">
        <f t="shared" si="37"/>
        <v>0</v>
      </c>
      <c r="BS186" s="248">
        <f t="shared" si="40"/>
        <v>0</v>
      </c>
    </row>
    <row r="187" spans="1:71" s="16" customFormat="1" ht="17" x14ac:dyDescent="0.2">
      <c r="A187" s="162" t="s">
        <v>488</v>
      </c>
      <c r="B187" s="162" t="s">
        <v>510</v>
      </c>
      <c r="C187" s="262" t="s">
        <v>539</v>
      </c>
      <c r="D187" s="119" t="s">
        <v>563</v>
      </c>
      <c r="E187" s="117" t="s">
        <v>83</v>
      </c>
      <c r="F187" s="120"/>
      <c r="G187" s="212">
        <f>556+1468</f>
        <v>2024</v>
      </c>
      <c r="H187" s="120"/>
      <c r="I187" s="121">
        <v>2114</v>
      </c>
      <c r="J187" s="122">
        <v>0</v>
      </c>
      <c r="K187" s="120"/>
      <c r="L187" s="123"/>
      <c r="M187" s="123"/>
      <c r="N187" s="123"/>
      <c r="O187" s="123"/>
      <c r="P187" s="123"/>
      <c r="Q187" s="123"/>
      <c r="R187" s="123"/>
      <c r="S187" s="123"/>
      <c r="T187" s="123"/>
      <c r="U187" s="256">
        <f t="shared" si="48"/>
        <v>2126</v>
      </c>
      <c r="V187" s="123"/>
      <c r="W187" s="123"/>
      <c r="X187" s="123"/>
      <c r="Y187" s="123">
        <v>1530</v>
      </c>
      <c r="Z187" s="123"/>
      <c r="AA187" s="123"/>
      <c r="AB187" s="123"/>
      <c r="AC187" s="163">
        <f t="shared" si="46"/>
        <v>2114</v>
      </c>
      <c r="AD187" s="163">
        <f t="shared" si="46"/>
        <v>0</v>
      </c>
      <c r="AE187" s="124" t="s">
        <v>703</v>
      </c>
      <c r="AF187" s="124"/>
      <c r="AG187" s="124"/>
      <c r="AH187" s="124">
        <v>734</v>
      </c>
      <c r="AI187" s="124"/>
      <c r="AJ187" s="124"/>
      <c r="AK187" s="124"/>
      <c r="AL187" s="124"/>
      <c r="AM187" s="124"/>
      <c r="AN187" s="124"/>
      <c r="AO187" s="124"/>
      <c r="AP187" s="124"/>
      <c r="AQ187" s="124"/>
      <c r="AR187" s="124"/>
      <c r="AS187" s="124"/>
      <c r="AT187" s="124"/>
      <c r="AU187" s="124"/>
      <c r="AV187" s="124">
        <v>278</v>
      </c>
      <c r="AW187" s="124"/>
      <c r="AX187" s="124"/>
      <c r="AY187" s="124"/>
      <c r="AZ187" s="146"/>
      <c r="BA187" s="125"/>
      <c r="BB187" s="125"/>
      <c r="BC187" s="125"/>
      <c r="BD187" s="125"/>
      <c r="BE187" s="125"/>
      <c r="BF187" s="125"/>
      <c r="BG187" s="125"/>
      <c r="BH187" s="125"/>
      <c r="BI187" s="125"/>
      <c r="BJ187" s="125"/>
      <c r="BK187" s="125"/>
      <c r="BL187" s="125"/>
      <c r="BM187" s="125"/>
      <c r="BN187" s="125"/>
      <c r="BO187" s="125"/>
      <c r="BP187" s="244">
        <f t="shared" si="36"/>
        <v>1012</v>
      </c>
      <c r="BQ187" s="248">
        <f t="shared" si="39"/>
        <v>2024</v>
      </c>
      <c r="BR187" s="105">
        <f t="shared" si="37"/>
        <v>0</v>
      </c>
      <c r="BS187" s="248">
        <f t="shared" si="40"/>
        <v>0</v>
      </c>
    </row>
    <row r="188" spans="1:71" s="16" customFormat="1" ht="17" hidden="1" x14ac:dyDescent="0.2">
      <c r="A188" s="162" t="s">
        <v>489</v>
      </c>
      <c r="B188" s="162" t="s">
        <v>510</v>
      </c>
      <c r="C188" s="262" t="s">
        <v>540</v>
      </c>
      <c r="D188" s="119" t="s">
        <v>563</v>
      </c>
      <c r="E188" s="117" t="s">
        <v>83</v>
      </c>
      <c r="F188" s="120"/>
      <c r="G188" s="212">
        <v>624</v>
      </c>
      <c r="H188" s="120"/>
      <c r="I188" s="121">
        <v>656</v>
      </c>
      <c r="J188" s="122">
        <v>0</v>
      </c>
      <c r="K188" s="120"/>
      <c r="L188" s="123"/>
      <c r="M188" s="123"/>
      <c r="N188" s="123"/>
      <c r="O188" s="123"/>
      <c r="P188" s="123"/>
      <c r="Q188" s="123"/>
      <c r="R188" s="123"/>
      <c r="S188" s="123"/>
      <c r="T188" s="123"/>
      <c r="U188" s="256">
        <f t="shared" si="48"/>
        <v>656</v>
      </c>
      <c r="V188" s="123"/>
      <c r="W188" s="123"/>
      <c r="X188" s="123"/>
      <c r="Y188" s="123"/>
      <c r="Z188" s="123"/>
      <c r="AA188" s="123"/>
      <c r="AB188" s="123"/>
      <c r="AC188" s="163">
        <f t="shared" si="46"/>
        <v>656</v>
      </c>
      <c r="AD188" s="163">
        <f t="shared" si="46"/>
        <v>0</v>
      </c>
      <c r="AE188" s="124" t="s">
        <v>365</v>
      </c>
      <c r="AF188" s="124"/>
      <c r="AG188" s="124"/>
      <c r="AH188" s="124"/>
      <c r="AI188" s="124"/>
      <c r="AJ188" s="124"/>
      <c r="AK188" s="124"/>
      <c r="AL188" s="124"/>
      <c r="AM188" s="124"/>
      <c r="AN188" s="124"/>
      <c r="AO188" s="124"/>
      <c r="AP188" s="124"/>
      <c r="AQ188" s="124"/>
      <c r="AR188" s="124"/>
      <c r="AS188" s="124"/>
      <c r="AT188" s="124"/>
      <c r="AU188" s="124"/>
      <c r="AV188" s="124">
        <v>312</v>
      </c>
      <c r="AW188" s="124"/>
      <c r="AX188" s="124"/>
      <c r="AY188" s="124"/>
      <c r="AZ188" s="146"/>
      <c r="BA188" s="125"/>
      <c r="BB188" s="125"/>
      <c r="BC188" s="125"/>
      <c r="BD188" s="125"/>
      <c r="BE188" s="125"/>
      <c r="BF188" s="125"/>
      <c r="BG188" s="125"/>
      <c r="BH188" s="125"/>
      <c r="BI188" s="125"/>
      <c r="BJ188" s="125"/>
      <c r="BK188" s="125"/>
      <c r="BL188" s="125"/>
      <c r="BM188" s="125"/>
      <c r="BN188" s="125"/>
      <c r="BO188" s="125"/>
      <c r="BP188" s="244">
        <f t="shared" si="36"/>
        <v>312</v>
      </c>
      <c r="BQ188" s="248">
        <f t="shared" si="39"/>
        <v>624</v>
      </c>
      <c r="BR188" s="105">
        <f t="shared" si="37"/>
        <v>0</v>
      </c>
      <c r="BS188" s="248">
        <f t="shared" si="40"/>
        <v>0</v>
      </c>
    </row>
    <row r="189" spans="1:71" s="16" customFormat="1" ht="17" hidden="1" x14ac:dyDescent="0.2">
      <c r="A189" s="162" t="s">
        <v>490</v>
      </c>
      <c r="B189" s="162" t="s">
        <v>510</v>
      </c>
      <c r="C189" s="262" t="s">
        <v>541</v>
      </c>
      <c r="D189" s="119" t="s">
        <v>563</v>
      </c>
      <c r="E189" s="117" t="s">
        <v>83</v>
      </c>
      <c r="F189" s="120"/>
      <c r="G189" s="212">
        <v>600</v>
      </c>
      <c r="H189" s="120"/>
      <c r="I189" s="121">
        <v>630</v>
      </c>
      <c r="J189" s="122">
        <v>0</v>
      </c>
      <c r="K189" s="120"/>
      <c r="L189" s="123"/>
      <c r="M189" s="123"/>
      <c r="N189" s="123"/>
      <c r="O189" s="123"/>
      <c r="P189" s="123"/>
      <c r="Q189" s="123"/>
      <c r="R189" s="123"/>
      <c r="S189" s="123"/>
      <c r="T189" s="123"/>
      <c r="U189" s="256">
        <f t="shared" si="48"/>
        <v>630</v>
      </c>
      <c r="V189" s="123"/>
      <c r="W189" s="123"/>
      <c r="X189" s="123"/>
      <c r="Y189" s="123"/>
      <c r="Z189" s="123"/>
      <c r="AA189" s="123"/>
      <c r="AB189" s="123"/>
      <c r="AC189" s="163">
        <f t="shared" si="46"/>
        <v>630</v>
      </c>
      <c r="AD189" s="163">
        <f t="shared" si="46"/>
        <v>0</v>
      </c>
      <c r="AE189" s="124" t="s">
        <v>365</v>
      </c>
      <c r="AF189" s="124"/>
      <c r="AG189" s="124"/>
      <c r="AH189" s="124"/>
      <c r="AI189" s="124"/>
      <c r="AJ189" s="124"/>
      <c r="AK189" s="124"/>
      <c r="AL189" s="124"/>
      <c r="AM189" s="124"/>
      <c r="AN189" s="124"/>
      <c r="AO189" s="124"/>
      <c r="AP189" s="124"/>
      <c r="AQ189" s="124"/>
      <c r="AR189" s="124"/>
      <c r="AS189" s="124"/>
      <c r="AT189" s="124"/>
      <c r="AU189" s="124"/>
      <c r="AV189" s="124"/>
      <c r="AW189" s="124"/>
      <c r="AX189" s="124">
        <v>300</v>
      </c>
      <c r="AY189" s="124"/>
      <c r="AZ189" s="146"/>
      <c r="BA189" s="125"/>
      <c r="BB189" s="125"/>
      <c r="BC189" s="125"/>
      <c r="BD189" s="125"/>
      <c r="BE189" s="125"/>
      <c r="BF189" s="125"/>
      <c r="BG189" s="125"/>
      <c r="BH189" s="125"/>
      <c r="BI189" s="125"/>
      <c r="BJ189" s="125"/>
      <c r="BK189" s="125"/>
      <c r="BL189" s="125"/>
      <c r="BM189" s="125"/>
      <c r="BN189" s="125"/>
      <c r="BO189" s="125"/>
      <c r="BP189" s="244">
        <f t="shared" si="36"/>
        <v>300</v>
      </c>
      <c r="BQ189" s="248">
        <f t="shared" si="39"/>
        <v>600</v>
      </c>
      <c r="BR189" s="105">
        <f t="shared" si="37"/>
        <v>0</v>
      </c>
      <c r="BS189" s="248">
        <f t="shared" si="40"/>
        <v>0</v>
      </c>
    </row>
    <row r="190" spans="1:71" s="16" customFormat="1" ht="17" x14ac:dyDescent="0.2">
      <c r="A190" s="162" t="s">
        <v>491</v>
      </c>
      <c r="B190" s="162" t="s">
        <v>510</v>
      </c>
      <c r="C190" s="262" t="s">
        <v>542</v>
      </c>
      <c r="D190" s="119" t="s">
        <v>563</v>
      </c>
      <c r="E190" s="117" t="s">
        <v>83</v>
      </c>
      <c r="F190" s="120"/>
      <c r="G190" s="212">
        <f>40+72+20</f>
        <v>132</v>
      </c>
      <c r="H190" s="120"/>
      <c r="I190" s="121">
        <v>118</v>
      </c>
      <c r="J190" s="122">
        <v>0</v>
      </c>
      <c r="K190" s="120"/>
      <c r="L190" s="123"/>
      <c r="M190" s="123"/>
      <c r="N190" s="123"/>
      <c r="O190" s="123"/>
      <c r="P190" s="123"/>
      <c r="Q190" s="123"/>
      <c r="R190" s="123"/>
      <c r="S190" s="123"/>
      <c r="T190" s="123"/>
      <c r="U190" s="256">
        <f t="shared" si="48"/>
        <v>139</v>
      </c>
      <c r="V190" s="123"/>
      <c r="W190" s="123"/>
      <c r="X190" s="123"/>
      <c r="Y190" s="123">
        <v>76</v>
      </c>
      <c r="Z190" s="123"/>
      <c r="AA190" s="123">
        <v>20</v>
      </c>
      <c r="AB190" s="123"/>
      <c r="AC190" s="163">
        <f t="shared" si="46"/>
        <v>138</v>
      </c>
      <c r="AD190" s="163">
        <f t="shared" si="46"/>
        <v>0</v>
      </c>
      <c r="AE190" s="124" t="s">
        <v>725</v>
      </c>
      <c r="AF190" s="124">
        <v>10</v>
      </c>
      <c r="AG190" s="124"/>
      <c r="AH190" s="124">
        <v>36</v>
      </c>
      <c r="AI190" s="124"/>
      <c r="AJ190" s="124"/>
      <c r="AK190" s="124"/>
      <c r="AL190" s="124"/>
      <c r="AM190" s="124"/>
      <c r="AN190" s="124"/>
      <c r="AO190" s="124"/>
      <c r="AP190" s="124"/>
      <c r="AQ190" s="124"/>
      <c r="AR190" s="124">
        <v>10</v>
      </c>
      <c r="AS190" s="124"/>
      <c r="AT190" s="124"/>
      <c r="AU190" s="124"/>
      <c r="AV190" s="124">
        <v>10</v>
      </c>
      <c r="AW190" s="124"/>
      <c r="AX190" s="124"/>
      <c r="AY190" s="124"/>
      <c r="AZ190" s="146"/>
      <c r="BA190" s="125"/>
      <c r="BB190" s="125"/>
      <c r="BC190" s="125"/>
      <c r="BD190" s="125"/>
      <c r="BE190" s="125"/>
      <c r="BF190" s="125"/>
      <c r="BG190" s="125"/>
      <c r="BH190" s="125"/>
      <c r="BI190" s="125"/>
      <c r="BJ190" s="125"/>
      <c r="BK190" s="125"/>
      <c r="BL190" s="125"/>
      <c r="BM190" s="125"/>
      <c r="BN190" s="125"/>
      <c r="BO190" s="125"/>
      <c r="BP190" s="244">
        <f t="shared" si="36"/>
        <v>66</v>
      </c>
      <c r="BQ190" s="248">
        <f t="shared" si="39"/>
        <v>132</v>
      </c>
      <c r="BR190" s="105">
        <f t="shared" si="37"/>
        <v>0</v>
      </c>
      <c r="BS190" s="248">
        <f t="shared" si="40"/>
        <v>0</v>
      </c>
    </row>
    <row r="191" spans="1:71" s="16" customFormat="1" ht="17" hidden="1" x14ac:dyDescent="0.2">
      <c r="A191" s="162" t="s">
        <v>492</v>
      </c>
      <c r="B191" s="162" t="s">
        <v>510</v>
      </c>
      <c r="C191" s="262" t="s">
        <v>543</v>
      </c>
      <c r="D191" s="119" t="s">
        <v>563</v>
      </c>
      <c r="E191" s="117" t="s">
        <v>83</v>
      </c>
      <c r="F191" s="120"/>
      <c r="G191" s="212">
        <v>8</v>
      </c>
      <c r="H191" s="120"/>
      <c r="I191" s="121">
        <v>5</v>
      </c>
      <c r="J191" s="122">
        <v>0</v>
      </c>
      <c r="K191" s="120"/>
      <c r="L191" s="123"/>
      <c r="M191" s="123"/>
      <c r="N191" s="123"/>
      <c r="O191" s="123"/>
      <c r="P191" s="123"/>
      <c r="Q191" s="123"/>
      <c r="R191" s="123"/>
      <c r="S191" s="123"/>
      <c r="T191" s="123"/>
      <c r="U191" s="256">
        <f t="shared" si="48"/>
        <v>9</v>
      </c>
      <c r="V191" s="123"/>
      <c r="W191" s="123"/>
      <c r="X191" s="123"/>
      <c r="Y191" s="123"/>
      <c r="Z191" s="123"/>
      <c r="AA191" s="123">
        <v>5</v>
      </c>
      <c r="AB191" s="123"/>
      <c r="AC191" s="163">
        <f t="shared" si="46"/>
        <v>10</v>
      </c>
      <c r="AD191" s="163">
        <f t="shared" si="46"/>
        <v>0</v>
      </c>
      <c r="AE191" s="124" t="s">
        <v>725</v>
      </c>
      <c r="AF191" s="124">
        <v>2</v>
      </c>
      <c r="AG191" s="124"/>
      <c r="AH191" s="124"/>
      <c r="AI191" s="124"/>
      <c r="AJ191" s="124"/>
      <c r="AK191" s="124"/>
      <c r="AL191" s="124"/>
      <c r="AM191" s="124"/>
      <c r="AN191" s="124"/>
      <c r="AO191" s="124"/>
      <c r="AP191" s="124"/>
      <c r="AQ191" s="124"/>
      <c r="AR191" s="124">
        <v>2</v>
      </c>
      <c r="AS191" s="124"/>
      <c r="AT191" s="124"/>
      <c r="AU191" s="124"/>
      <c r="AV191" s="124"/>
      <c r="AW191" s="124"/>
      <c r="AX191" s="124"/>
      <c r="AY191" s="124"/>
      <c r="AZ191" s="146"/>
      <c r="BA191" s="125"/>
      <c r="BB191" s="125"/>
      <c r="BC191" s="125"/>
      <c r="BD191" s="125"/>
      <c r="BE191" s="125"/>
      <c r="BF191" s="125"/>
      <c r="BG191" s="125"/>
      <c r="BH191" s="125"/>
      <c r="BI191" s="125"/>
      <c r="BJ191" s="125"/>
      <c r="BK191" s="125"/>
      <c r="BL191" s="125"/>
      <c r="BM191" s="125"/>
      <c r="BN191" s="125"/>
      <c r="BO191" s="125"/>
      <c r="BP191" s="244">
        <f t="shared" si="36"/>
        <v>4</v>
      </c>
      <c r="BQ191" s="248">
        <f t="shared" si="39"/>
        <v>8</v>
      </c>
      <c r="BR191" s="105">
        <f t="shared" si="37"/>
        <v>0</v>
      </c>
      <c r="BS191" s="248">
        <f t="shared" si="40"/>
        <v>0</v>
      </c>
    </row>
    <row r="192" spans="1:71" s="16" customFormat="1" ht="17" hidden="1" x14ac:dyDescent="0.2">
      <c r="A192" s="162" t="s">
        <v>493</v>
      </c>
      <c r="B192" s="162" t="s">
        <v>510</v>
      </c>
      <c r="C192" s="262" t="s">
        <v>544</v>
      </c>
      <c r="D192" s="119" t="s">
        <v>563</v>
      </c>
      <c r="E192" s="117" t="s">
        <v>83</v>
      </c>
      <c r="F192" s="120"/>
      <c r="G192" s="212">
        <v>3860</v>
      </c>
      <c r="H192" s="120"/>
      <c r="I192" s="121">
        <v>4053</v>
      </c>
      <c r="J192" s="122">
        <v>0</v>
      </c>
      <c r="K192" s="120"/>
      <c r="L192" s="123"/>
      <c r="M192" s="123"/>
      <c r="N192" s="123"/>
      <c r="O192" s="123"/>
      <c r="P192" s="123"/>
      <c r="Q192" s="123"/>
      <c r="R192" s="123"/>
      <c r="S192" s="123"/>
      <c r="T192" s="123"/>
      <c r="U192" s="256">
        <f t="shared" si="48"/>
        <v>4053</v>
      </c>
      <c r="V192" s="123"/>
      <c r="W192" s="123"/>
      <c r="X192" s="123"/>
      <c r="Y192" s="123"/>
      <c r="Z192" s="123"/>
      <c r="AA192" s="123"/>
      <c r="AB192" s="123"/>
      <c r="AC192" s="163">
        <f t="shared" si="46"/>
        <v>4053</v>
      </c>
      <c r="AD192" s="163">
        <f t="shared" si="46"/>
        <v>0</v>
      </c>
      <c r="AE192" s="124" t="s">
        <v>365</v>
      </c>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46"/>
      <c r="BA192" s="125"/>
      <c r="BB192" s="125">
        <v>1384</v>
      </c>
      <c r="BC192" s="125"/>
      <c r="BD192" s="125"/>
      <c r="BE192" s="125"/>
      <c r="BF192" s="125"/>
      <c r="BG192" s="125"/>
      <c r="BH192" s="125"/>
      <c r="BI192" s="125"/>
      <c r="BJ192" s="125"/>
      <c r="BK192" s="125"/>
      <c r="BL192" s="125">
        <v>450</v>
      </c>
      <c r="BM192" s="125"/>
      <c r="BN192" s="125">
        <v>96</v>
      </c>
      <c r="BO192" s="125"/>
      <c r="BP192" s="244">
        <f t="shared" si="36"/>
        <v>1930</v>
      </c>
      <c r="BQ192" s="248">
        <f t="shared" si="39"/>
        <v>3860</v>
      </c>
      <c r="BR192" s="105">
        <f t="shared" si="37"/>
        <v>0</v>
      </c>
      <c r="BS192" s="248">
        <f t="shared" si="40"/>
        <v>0</v>
      </c>
    </row>
    <row r="193" spans="1:71" s="16" customFormat="1" ht="17" hidden="1" x14ac:dyDescent="0.2">
      <c r="A193" s="162" t="s">
        <v>494</v>
      </c>
      <c r="B193" s="162" t="s">
        <v>510</v>
      </c>
      <c r="C193" s="262" t="s">
        <v>545</v>
      </c>
      <c r="D193" s="119" t="s">
        <v>563</v>
      </c>
      <c r="E193" s="117" t="s">
        <v>83</v>
      </c>
      <c r="F193" s="120"/>
      <c r="G193" s="212">
        <v>558</v>
      </c>
      <c r="H193" s="120"/>
      <c r="I193" s="121">
        <v>586</v>
      </c>
      <c r="J193" s="122">
        <v>0</v>
      </c>
      <c r="K193" s="120"/>
      <c r="L193" s="123"/>
      <c r="M193" s="123"/>
      <c r="N193" s="123"/>
      <c r="O193" s="123"/>
      <c r="P193" s="123"/>
      <c r="Q193" s="123"/>
      <c r="R193" s="123"/>
      <c r="S193" s="123"/>
      <c r="T193" s="123"/>
      <c r="U193" s="256">
        <f t="shared" si="48"/>
        <v>586</v>
      </c>
      <c r="V193" s="123"/>
      <c r="W193" s="123"/>
      <c r="X193" s="123"/>
      <c r="Y193" s="123"/>
      <c r="Z193" s="123"/>
      <c r="AA193" s="123"/>
      <c r="AB193" s="123"/>
      <c r="AC193" s="163">
        <f t="shared" si="46"/>
        <v>586</v>
      </c>
      <c r="AD193" s="163">
        <f t="shared" si="46"/>
        <v>0</v>
      </c>
      <c r="AE193" s="124" t="s">
        <v>365</v>
      </c>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46"/>
      <c r="BA193" s="125"/>
      <c r="BB193" s="125">
        <v>279</v>
      </c>
      <c r="BC193" s="125"/>
      <c r="BD193" s="125"/>
      <c r="BE193" s="125"/>
      <c r="BF193" s="125"/>
      <c r="BG193" s="125"/>
      <c r="BH193" s="125"/>
      <c r="BI193" s="125"/>
      <c r="BJ193" s="125"/>
      <c r="BK193" s="125"/>
      <c r="BL193" s="125"/>
      <c r="BM193" s="125"/>
      <c r="BN193" s="125"/>
      <c r="BO193" s="125"/>
      <c r="BP193" s="244">
        <f t="shared" si="36"/>
        <v>279</v>
      </c>
      <c r="BQ193" s="248">
        <f t="shared" si="39"/>
        <v>558</v>
      </c>
      <c r="BR193" s="105">
        <f t="shared" si="37"/>
        <v>0</v>
      </c>
      <c r="BS193" s="248">
        <f t="shared" si="40"/>
        <v>0</v>
      </c>
    </row>
    <row r="194" spans="1:71" s="16" customFormat="1" ht="17" hidden="1" x14ac:dyDescent="0.2">
      <c r="A194" s="162" t="s">
        <v>502</v>
      </c>
      <c r="B194" s="162" t="s">
        <v>510</v>
      </c>
      <c r="C194" s="262" t="s">
        <v>546</v>
      </c>
      <c r="D194" s="119" t="s">
        <v>563</v>
      </c>
      <c r="E194" s="117" t="s">
        <v>83</v>
      </c>
      <c r="F194" s="120"/>
      <c r="G194" s="212">
        <v>968</v>
      </c>
      <c r="H194" s="120"/>
      <c r="I194" s="121">
        <v>1017</v>
      </c>
      <c r="J194" s="122">
        <v>0</v>
      </c>
      <c r="K194" s="120"/>
      <c r="L194" s="123"/>
      <c r="M194" s="123"/>
      <c r="N194" s="123"/>
      <c r="O194" s="123"/>
      <c r="P194" s="123"/>
      <c r="Q194" s="123"/>
      <c r="R194" s="123"/>
      <c r="S194" s="123"/>
      <c r="T194" s="123"/>
      <c r="U194" s="256">
        <f t="shared" si="48"/>
        <v>1017</v>
      </c>
      <c r="V194" s="123"/>
      <c r="W194" s="123"/>
      <c r="X194" s="123"/>
      <c r="Y194" s="123"/>
      <c r="Z194" s="123"/>
      <c r="AA194" s="123"/>
      <c r="AB194" s="123"/>
      <c r="AC194" s="163">
        <f t="shared" si="46"/>
        <v>1017</v>
      </c>
      <c r="AD194" s="163">
        <f t="shared" si="46"/>
        <v>0</v>
      </c>
      <c r="AE194" s="124" t="s">
        <v>365</v>
      </c>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46"/>
      <c r="BA194" s="125"/>
      <c r="BB194" s="125">
        <v>484</v>
      </c>
      <c r="BC194" s="125"/>
      <c r="BD194" s="125"/>
      <c r="BE194" s="125"/>
      <c r="BF194" s="125"/>
      <c r="BG194" s="125"/>
      <c r="BH194" s="125"/>
      <c r="BI194" s="125"/>
      <c r="BJ194" s="125"/>
      <c r="BK194" s="125"/>
      <c r="BL194" s="125"/>
      <c r="BM194" s="125"/>
      <c r="BN194" s="125"/>
      <c r="BO194" s="125"/>
      <c r="BP194" s="244">
        <f t="shared" si="36"/>
        <v>484</v>
      </c>
      <c r="BQ194" s="248">
        <f t="shared" si="39"/>
        <v>968</v>
      </c>
      <c r="BR194" s="105">
        <f t="shared" si="37"/>
        <v>0</v>
      </c>
      <c r="BS194" s="248">
        <f t="shared" si="40"/>
        <v>0</v>
      </c>
    </row>
    <row r="195" spans="1:71" s="16" customFormat="1" ht="17" hidden="1" x14ac:dyDescent="0.2">
      <c r="A195" s="162" t="s">
        <v>512</v>
      </c>
      <c r="B195" s="162" t="s">
        <v>510</v>
      </c>
      <c r="C195" s="262" t="s">
        <v>547</v>
      </c>
      <c r="D195" s="119" t="s">
        <v>563</v>
      </c>
      <c r="E195" s="117" t="s">
        <v>83</v>
      </c>
      <c r="F195" s="120"/>
      <c r="G195" s="212">
        <v>40</v>
      </c>
      <c r="H195" s="120"/>
      <c r="I195" s="121">
        <v>42</v>
      </c>
      <c r="J195" s="122">
        <v>0</v>
      </c>
      <c r="K195" s="120"/>
      <c r="L195" s="123"/>
      <c r="M195" s="123"/>
      <c r="N195" s="123"/>
      <c r="O195" s="123"/>
      <c r="P195" s="123"/>
      <c r="Q195" s="123"/>
      <c r="R195" s="123"/>
      <c r="S195" s="123"/>
      <c r="T195" s="123"/>
      <c r="U195" s="256">
        <f t="shared" si="48"/>
        <v>42</v>
      </c>
      <c r="V195" s="123"/>
      <c r="W195" s="123"/>
      <c r="X195" s="123"/>
      <c r="Y195" s="123"/>
      <c r="Z195" s="123"/>
      <c r="AA195" s="123"/>
      <c r="AB195" s="123"/>
      <c r="AC195" s="163">
        <f t="shared" si="46"/>
        <v>42</v>
      </c>
      <c r="AD195" s="163">
        <f t="shared" si="46"/>
        <v>0</v>
      </c>
      <c r="AE195" s="124" t="s">
        <v>365</v>
      </c>
      <c r="AF195" s="124"/>
      <c r="AG195" s="124"/>
      <c r="AH195" s="124"/>
      <c r="AI195" s="124"/>
      <c r="AJ195" s="124"/>
      <c r="AK195" s="124"/>
      <c r="AL195" s="124"/>
      <c r="AM195" s="124"/>
      <c r="AN195" s="124">
        <v>10</v>
      </c>
      <c r="AO195" s="124"/>
      <c r="AP195" s="124"/>
      <c r="AQ195" s="124"/>
      <c r="AR195" s="124"/>
      <c r="AS195" s="124"/>
      <c r="AT195" s="124"/>
      <c r="AU195" s="124"/>
      <c r="AV195" s="124"/>
      <c r="AW195" s="124"/>
      <c r="AX195" s="124"/>
      <c r="AY195" s="124"/>
      <c r="AZ195" s="146">
        <v>10</v>
      </c>
      <c r="BA195" s="125"/>
      <c r="BB195" s="125">
        <v>10</v>
      </c>
      <c r="BC195" s="125"/>
      <c r="BD195" s="125"/>
      <c r="BE195" s="125"/>
      <c r="BF195" s="125"/>
      <c r="BG195" s="125"/>
      <c r="BH195" s="125"/>
      <c r="BI195" s="125"/>
      <c r="BJ195" s="125"/>
      <c r="BK195" s="125"/>
      <c r="BL195" s="125"/>
      <c r="BM195" s="125"/>
      <c r="BN195" s="125"/>
      <c r="BO195" s="125"/>
      <c r="BP195" s="244">
        <f t="shared" si="36"/>
        <v>30</v>
      </c>
      <c r="BQ195" s="248">
        <f t="shared" si="39"/>
        <v>60</v>
      </c>
      <c r="BR195" s="105">
        <f t="shared" si="37"/>
        <v>0</v>
      </c>
      <c r="BS195" s="248">
        <f t="shared" si="40"/>
        <v>0</v>
      </c>
    </row>
    <row r="196" spans="1:71" s="16" customFormat="1" ht="17" hidden="1" x14ac:dyDescent="0.2">
      <c r="A196" s="162" t="s">
        <v>513</v>
      </c>
      <c r="B196" s="162" t="s">
        <v>510</v>
      </c>
      <c r="C196" s="262" t="s">
        <v>548</v>
      </c>
      <c r="D196" s="119" t="s">
        <v>563</v>
      </c>
      <c r="E196" s="117" t="s">
        <v>83</v>
      </c>
      <c r="F196" s="120"/>
      <c r="G196" s="212">
        <v>1708</v>
      </c>
      <c r="H196" s="120"/>
      <c r="I196" s="121">
        <v>1785</v>
      </c>
      <c r="J196" s="122">
        <v>0</v>
      </c>
      <c r="K196" s="120"/>
      <c r="L196" s="123"/>
      <c r="M196" s="123"/>
      <c r="N196" s="123"/>
      <c r="O196" s="123"/>
      <c r="P196" s="123"/>
      <c r="Q196" s="123"/>
      <c r="R196" s="123"/>
      <c r="S196" s="123"/>
      <c r="T196" s="123"/>
      <c r="U196" s="256">
        <f t="shared" si="48"/>
        <v>1794</v>
      </c>
      <c r="V196" s="123"/>
      <c r="W196" s="123"/>
      <c r="X196" s="123"/>
      <c r="Y196" s="123"/>
      <c r="Z196" s="123"/>
      <c r="AA196" s="123"/>
      <c r="AB196" s="123"/>
      <c r="AC196" s="163">
        <f t="shared" si="46"/>
        <v>1785</v>
      </c>
      <c r="AD196" s="163">
        <f t="shared" si="46"/>
        <v>0</v>
      </c>
      <c r="AE196" s="124" t="s">
        <v>365</v>
      </c>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46">
        <v>758</v>
      </c>
      <c r="BA196" s="125"/>
      <c r="BB196" s="125"/>
      <c r="BC196" s="125"/>
      <c r="BD196" s="125"/>
      <c r="BE196" s="125"/>
      <c r="BF196" s="125"/>
      <c r="BG196" s="125"/>
      <c r="BH196" s="125"/>
      <c r="BI196" s="125"/>
      <c r="BJ196" s="125"/>
      <c r="BK196" s="125"/>
      <c r="BL196" s="125"/>
      <c r="BM196" s="125"/>
      <c r="BN196" s="125">
        <v>96</v>
      </c>
      <c r="BO196" s="125"/>
      <c r="BP196" s="244">
        <f t="shared" si="36"/>
        <v>854</v>
      </c>
      <c r="BQ196" s="248">
        <f t="shared" si="39"/>
        <v>1708</v>
      </c>
      <c r="BR196" s="105">
        <f t="shared" si="37"/>
        <v>0</v>
      </c>
      <c r="BS196" s="248">
        <f t="shared" si="40"/>
        <v>0</v>
      </c>
    </row>
    <row r="197" spans="1:71" s="16" customFormat="1" ht="17" hidden="1" x14ac:dyDescent="0.2">
      <c r="A197" s="162" t="s">
        <v>514</v>
      </c>
      <c r="B197" s="162" t="s">
        <v>510</v>
      </c>
      <c r="C197" s="262" t="s">
        <v>549</v>
      </c>
      <c r="D197" s="119" t="s">
        <v>563</v>
      </c>
      <c r="E197" s="117" t="s">
        <v>83</v>
      </c>
      <c r="F197" s="120"/>
      <c r="G197" s="212">
        <v>308</v>
      </c>
      <c r="H197" s="120"/>
      <c r="I197" s="121">
        <v>324</v>
      </c>
      <c r="J197" s="122">
        <v>0</v>
      </c>
      <c r="K197" s="120"/>
      <c r="L197" s="123"/>
      <c r="M197" s="123"/>
      <c r="N197" s="123"/>
      <c r="O197" s="123"/>
      <c r="P197" s="123"/>
      <c r="Q197" s="123"/>
      <c r="R197" s="123"/>
      <c r="S197" s="123"/>
      <c r="T197" s="123"/>
      <c r="U197" s="256">
        <f t="shared" si="48"/>
        <v>324</v>
      </c>
      <c r="V197" s="123"/>
      <c r="W197" s="123"/>
      <c r="X197" s="123"/>
      <c r="Y197" s="123"/>
      <c r="Z197" s="123"/>
      <c r="AA197" s="123"/>
      <c r="AB197" s="123"/>
      <c r="AC197" s="163">
        <f t="shared" si="46"/>
        <v>324</v>
      </c>
      <c r="AD197" s="163">
        <f t="shared" si="46"/>
        <v>0</v>
      </c>
      <c r="AE197" s="124" t="s">
        <v>365</v>
      </c>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46">
        <v>154</v>
      </c>
      <c r="BA197" s="125"/>
      <c r="BB197" s="125"/>
      <c r="BC197" s="125"/>
      <c r="BD197" s="125"/>
      <c r="BE197" s="125"/>
      <c r="BF197" s="125"/>
      <c r="BG197" s="125"/>
      <c r="BH197" s="125"/>
      <c r="BI197" s="125"/>
      <c r="BJ197" s="125"/>
      <c r="BK197" s="125"/>
      <c r="BL197" s="125"/>
      <c r="BM197" s="125"/>
      <c r="BN197" s="125"/>
      <c r="BO197" s="125"/>
      <c r="BP197" s="244">
        <f t="shared" si="36"/>
        <v>154</v>
      </c>
      <c r="BQ197" s="248">
        <f t="shared" si="39"/>
        <v>308</v>
      </c>
      <c r="BR197" s="105">
        <f t="shared" si="37"/>
        <v>0</v>
      </c>
      <c r="BS197" s="248">
        <f t="shared" si="40"/>
        <v>0</v>
      </c>
    </row>
    <row r="198" spans="1:71" s="16" customFormat="1" ht="17" hidden="1" x14ac:dyDescent="0.2">
      <c r="A198" s="162" t="s">
        <v>515</v>
      </c>
      <c r="B198" s="162" t="s">
        <v>511</v>
      </c>
      <c r="C198" s="262" t="s">
        <v>550</v>
      </c>
      <c r="D198" s="119" t="s">
        <v>564</v>
      </c>
      <c r="E198" s="117" t="s">
        <v>83</v>
      </c>
      <c r="F198" s="120"/>
      <c r="G198" s="212">
        <v>658</v>
      </c>
      <c r="H198" s="120"/>
      <c r="I198" s="121">
        <v>691</v>
      </c>
      <c r="J198" s="122">
        <v>0</v>
      </c>
      <c r="K198" s="120"/>
      <c r="L198" s="123"/>
      <c r="M198" s="123"/>
      <c r="N198" s="123"/>
      <c r="O198" s="123"/>
      <c r="P198" s="123"/>
      <c r="Q198" s="123"/>
      <c r="R198" s="123"/>
      <c r="S198" s="123"/>
      <c r="T198" s="123"/>
      <c r="U198" s="256">
        <f t="shared" si="48"/>
        <v>691</v>
      </c>
      <c r="V198" s="123"/>
      <c r="W198" s="123"/>
      <c r="X198" s="123"/>
      <c r="Y198" s="123"/>
      <c r="Z198" s="123"/>
      <c r="AA198" s="123"/>
      <c r="AB198" s="123"/>
      <c r="AC198" s="163">
        <f t="shared" si="46"/>
        <v>691</v>
      </c>
      <c r="AD198" s="163">
        <f t="shared" si="46"/>
        <v>0</v>
      </c>
      <c r="AE198" s="124" t="s">
        <v>365</v>
      </c>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46"/>
      <c r="BA198" s="125"/>
      <c r="BB198" s="125"/>
      <c r="BC198" s="125"/>
      <c r="BD198" s="125"/>
      <c r="BE198" s="125"/>
      <c r="BF198" s="125"/>
      <c r="BG198" s="125"/>
      <c r="BH198" s="125"/>
      <c r="BI198" s="125"/>
      <c r="BJ198" s="125"/>
      <c r="BK198" s="125"/>
      <c r="BL198" s="125">
        <v>329</v>
      </c>
      <c r="BM198" s="125"/>
      <c r="BN198" s="125"/>
      <c r="BO198" s="125"/>
      <c r="BP198" s="244">
        <f t="shared" si="36"/>
        <v>329</v>
      </c>
      <c r="BQ198" s="248">
        <f t="shared" si="39"/>
        <v>658</v>
      </c>
      <c r="BR198" s="105">
        <f t="shared" si="37"/>
        <v>0</v>
      </c>
      <c r="BS198" s="248">
        <f t="shared" si="40"/>
        <v>0</v>
      </c>
    </row>
    <row r="199" spans="1:71" s="16" customFormat="1" ht="17" hidden="1" x14ac:dyDescent="0.2">
      <c r="A199" s="162" t="s">
        <v>516</v>
      </c>
      <c r="B199" s="162" t="s">
        <v>510</v>
      </c>
      <c r="C199" s="262" t="s">
        <v>551</v>
      </c>
      <c r="D199" s="119" t="s">
        <v>563</v>
      </c>
      <c r="E199" s="117" t="s">
        <v>83</v>
      </c>
      <c r="F199" s="120"/>
      <c r="G199" s="212">
        <v>24</v>
      </c>
      <c r="H199" s="120"/>
      <c r="I199" s="121">
        <v>26</v>
      </c>
      <c r="J199" s="122">
        <v>0</v>
      </c>
      <c r="K199" s="120"/>
      <c r="L199" s="123"/>
      <c r="M199" s="123"/>
      <c r="N199" s="123"/>
      <c r="O199" s="123"/>
      <c r="P199" s="123"/>
      <c r="Q199" s="123"/>
      <c r="R199" s="123"/>
      <c r="S199" s="123"/>
      <c r="T199" s="123"/>
      <c r="U199" s="256">
        <f t="shared" si="48"/>
        <v>26</v>
      </c>
      <c r="V199" s="123"/>
      <c r="W199" s="123"/>
      <c r="X199" s="123"/>
      <c r="Y199" s="123"/>
      <c r="Z199" s="123"/>
      <c r="AA199" s="123"/>
      <c r="AB199" s="123"/>
      <c r="AC199" s="163">
        <f t="shared" si="46"/>
        <v>26</v>
      </c>
      <c r="AD199" s="163">
        <f t="shared" si="46"/>
        <v>0</v>
      </c>
      <c r="AE199" s="124" t="s">
        <v>365</v>
      </c>
      <c r="AF199" s="124">
        <v>12</v>
      </c>
      <c r="AG199" s="124"/>
      <c r="AH199" s="124"/>
      <c r="AI199" s="124"/>
      <c r="AJ199" s="124"/>
      <c r="AK199" s="124"/>
      <c r="AL199" s="124"/>
      <c r="AM199" s="124"/>
      <c r="AN199" s="124"/>
      <c r="AO199" s="124"/>
      <c r="AP199" s="124"/>
      <c r="AQ199" s="124"/>
      <c r="AR199" s="124"/>
      <c r="AS199" s="124"/>
      <c r="AT199" s="124"/>
      <c r="AU199" s="124"/>
      <c r="AV199" s="124"/>
      <c r="AW199" s="124"/>
      <c r="AX199" s="124"/>
      <c r="AY199" s="124"/>
      <c r="AZ199" s="146"/>
      <c r="BA199" s="125"/>
      <c r="BB199" s="125"/>
      <c r="BC199" s="125"/>
      <c r="BD199" s="125"/>
      <c r="BE199" s="125"/>
      <c r="BF199" s="125"/>
      <c r="BG199" s="125"/>
      <c r="BH199" s="125"/>
      <c r="BI199" s="125"/>
      <c r="BJ199" s="125"/>
      <c r="BK199" s="125"/>
      <c r="BL199" s="125"/>
      <c r="BM199" s="125"/>
      <c r="BN199" s="125"/>
      <c r="BO199" s="125"/>
      <c r="BP199" s="244">
        <f t="shared" si="36"/>
        <v>12</v>
      </c>
      <c r="BQ199" s="248">
        <f t="shared" si="39"/>
        <v>24</v>
      </c>
      <c r="BR199" s="105">
        <f t="shared" si="37"/>
        <v>0</v>
      </c>
      <c r="BS199" s="248">
        <f t="shared" si="40"/>
        <v>0</v>
      </c>
    </row>
    <row r="200" spans="1:71" s="16" customFormat="1" ht="17" hidden="1" x14ac:dyDescent="0.2">
      <c r="A200" s="162" t="s">
        <v>517</v>
      </c>
      <c r="B200" s="162" t="s">
        <v>510</v>
      </c>
      <c r="C200" s="262" t="s">
        <v>552</v>
      </c>
      <c r="D200" s="119" t="s">
        <v>563</v>
      </c>
      <c r="E200" s="117" t="s">
        <v>83</v>
      </c>
      <c r="F200" s="120"/>
      <c r="G200" s="212">
        <v>2826</v>
      </c>
      <c r="H200" s="120"/>
      <c r="I200" s="121">
        <v>2968</v>
      </c>
      <c r="J200" s="122">
        <v>0</v>
      </c>
      <c r="K200" s="120"/>
      <c r="L200" s="123"/>
      <c r="M200" s="123"/>
      <c r="N200" s="123"/>
      <c r="O200" s="123"/>
      <c r="P200" s="123"/>
      <c r="Q200" s="123"/>
      <c r="R200" s="123"/>
      <c r="S200" s="123"/>
      <c r="T200" s="123"/>
      <c r="U200" s="256">
        <f t="shared" si="48"/>
        <v>2968</v>
      </c>
      <c r="V200" s="123"/>
      <c r="W200" s="123"/>
      <c r="X200" s="123"/>
      <c r="Y200" s="123"/>
      <c r="Z200" s="123"/>
      <c r="AA200" s="123"/>
      <c r="AB200" s="123"/>
      <c r="AC200" s="163">
        <f t="shared" si="46"/>
        <v>2968</v>
      </c>
      <c r="AD200" s="163">
        <f t="shared" si="46"/>
        <v>0</v>
      </c>
      <c r="AE200" s="124" t="s">
        <v>365</v>
      </c>
      <c r="AF200" s="124"/>
      <c r="AG200" s="124"/>
      <c r="AH200" s="124"/>
      <c r="AI200" s="124"/>
      <c r="AJ200" s="124"/>
      <c r="AK200" s="124"/>
      <c r="AL200" s="124"/>
      <c r="AM200" s="124"/>
      <c r="AN200" s="124"/>
      <c r="AO200" s="124"/>
      <c r="AP200" s="124"/>
      <c r="AQ200" s="124"/>
      <c r="AR200" s="124">
        <v>849</v>
      </c>
      <c r="AS200" s="124"/>
      <c r="AT200" s="124"/>
      <c r="AU200" s="124"/>
      <c r="AV200" s="124"/>
      <c r="AW200" s="124"/>
      <c r="AX200" s="124"/>
      <c r="AY200" s="124"/>
      <c r="AZ200" s="146"/>
      <c r="BA200" s="125"/>
      <c r="BB200" s="125"/>
      <c r="BC200" s="125"/>
      <c r="BD200" s="125"/>
      <c r="BE200" s="125"/>
      <c r="BF200" s="125"/>
      <c r="BG200" s="125"/>
      <c r="BH200" s="125"/>
      <c r="BI200" s="125"/>
      <c r="BJ200" s="125"/>
      <c r="BK200" s="125"/>
      <c r="BL200" s="125">
        <v>564</v>
      </c>
      <c r="BM200" s="125"/>
      <c r="BN200" s="125"/>
      <c r="BO200" s="125"/>
      <c r="BP200" s="244">
        <f t="shared" si="36"/>
        <v>1413</v>
      </c>
      <c r="BQ200" s="248">
        <f t="shared" si="39"/>
        <v>2826</v>
      </c>
      <c r="BR200" s="105">
        <f t="shared" si="37"/>
        <v>0</v>
      </c>
      <c r="BS200" s="248">
        <f t="shared" si="40"/>
        <v>0</v>
      </c>
    </row>
    <row r="201" spans="1:71" s="16" customFormat="1" ht="17" hidden="1" x14ac:dyDescent="0.2">
      <c r="A201" s="162" t="s">
        <v>518</v>
      </c>
      <c r="B201" s="162" t="s">
        <v>510</v>
      </c>
      <c r="C201" s="262" t="s">
        <v>553</v>
      </c>
      <c r="D201" s="119" t="s">
        <v>563</v>
      </c>
      <c r="E201" s="117" t="s">
        <v>83</v>
      </c>
      <c r="F201" s="120"/>
      <c r="G201" s="212">
        <v>120</v>
      </c>
      <c r="H201" s="120"/>
      <c r="I201" s="121">
        <v>126</v>
      </c>
      <c r="J201" s="122">
        <v>0</v>
      </c>
      <c r="K201" s="120"/>
      <c r="L201" s="123"/>
      <c r="M201" s="123"/>
      <c r="N201" s="123"/>
      <c r="O201" s="123"/>
      <c r="P201" s="123"/>
      <c r="Q201" s="123"/>
      <c r="R201" s="123"/>
      <c r="S201" s="123"/>
      <c r="T201" s="123"/>
      <c r="U201" s="256">
        <f t="shared" si="48"/>
        <v>126</v>
      </c>
      <c r="V201" s="123"/>
      <c r="W201" s="123"/>
      <c r="X201" s="123"/>
      <c r="Y201" s="123"/>
      <c r="Z201" s="123"/>
      <c r="AA201" s="123"/>
      <c r="AB201" s="123"/>
      <c r="AC201" s="163">
        <f t="shared" si="46"/>
        <v>126</v>
      </c>
      <c r="AD201" s="163">
        <f t="shared" si="46"/>
        <v>0</v>
      </c>
      <c r="AE201" s="124" t="s">
        <v>365</v>
      </c>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46"/>
      <c r="BA201" s="125"/>
      <c r="BB201" s="125"/>
      <c r="BC201" s="125"/>
      <c r="BD201" s="125"/>
      <c r="BE201" s="125"/>
      <c r="BF201" s="125"/>
      <c r="BG201" s="125"/>
      <c r="BH201" s="125"/>
      <c r="BI201" s="125"/>
      <c r="BJ201" s="125"/>
      <c r="BK201" s="125"/>
      <c r="BL201" s="125">
        <v>60</v>
      </c>
      <c r="BM201" s="125"/>
      <c r="BN201" s="125"/>
      <c r="BO201" s="125"/>
      <c r="BP201" s="244">
        <f t="shared" si="36"/>
        <v>60</v>
      </c>
      <c r="BQ201" s="248">
        <f t="shared" si="39"/>
        <v>120</v>
      </c>
      <c r="BR201" s="105">
        <f t="shared" si="37"/>
        <v>0</v>
      </c>
      <c r="BS201" s="248">
        <f t="shared" si="40"/>
        <v>0</v>
      </c>
    </row>
    <row r="202" spans="1:71" s="16" customFormat="1" ht="17" hidden="1" x14ac:dyDescent="0.2">
      <c r="A202" s="162" t="s">
        <v>519</v>
      </c>
      <c r="B202" s="162" t="s">
        <v>510</v>
      </c>
      <c r="C202" s="262" t="s">
        <v>554</v>
      </c>
      <c r="D202" s="119" t="s">
        <v>563</v>
      </c>
      <c r="E202" s="117" t="s">
        <v>83</v>
      </c>
      <c r="F202" s="120"/>
      <c r="G202" s="212">
        <f>19238+162</f>
        <v>19400</v>
      </c>
      <c r="H202" s="120"/>
      <c r="I202" s="121">
        <v>20200</v>
      </c>
      <c r="J202" s="122">
        <v>0</v>
      </c>
      <c r="K202" s="120"/>
      <c r="L202" s="123"/>
      <c r="M202" s="123"/>
      <c r="N202" s="123"/>
      <c r="O202" s="123"/>
      <c r="P202" s="123"/>
      <c r="Q202" s="123"/>
      <c r="R202" s="123"/>
      <c r="S202" s="123"/>
      <c r="T202" s="123"/>
      <c r="U202" s="256">
        <f t="shared" si="48"/>
        <v>20370</v>
      </c>
      <c r="V202" s="123"/>
      <c r="W202" s="123"/>
      <c r="X202" s="123"/>
      <c r="Y202" s="123"/>
      <c r="Z202" s="123"/>
      <c r="AA202" s="123"/>
      <c r="AB202" s="123"/>
      <c r="AC202" s="163">
        <f t="shared" si="46"/>
        <v>20200</v>
      </c>
      <c r="AD202" s="163">
        <f t="shared" si="46"/>
        <v>0</v>
      </c>
      <c r="AE202" s="124" t="s">
        <v>365</v>
      </c>
      <c r="AF202" s="124">
        <v>9700</v>
      </c>
      <c r="AG202" s="124"/>
      <c r="AH202" s="124"/>
      <c r="AI202" s="124"/>
      <c r="AJ202" s="124"/>
      <c r="AK202" s="124"/>
      <c r="AL202" s="124"/>
      <c r="AM202" s="124"/>
      <c r="AN202" s="124"/>
      <c r="AO202" s="124"/>
      <c r="AP202" s="124"/>
      <c r="AQ202" s="124"/>
      <c r="AR202" s="124"/>
      <c r="AS202" s="124"/>
      <c r="AT202" s="124"/>
      <c r="AU202" s="124"/>
      <c r="AV202" s="124"/>
      <c r="AW202" s="124"/>
      <c r="AX202" s="124"/>
      <c r="AY202" s="124"/>
      <c r="AZ202" s="146"/>
      <c r="BA202" s="125"/>
      <c r="BB202" s="125"/>
      <c r="BC202" s="125"/>
      <c r="BD202" s="125"/>
      <c r="BE202" s="125"/>
      <c r="BF202" s="125"/>
      <c r="BG202" s="125"/>
      <c r="BH202" s="125"/>
      <c r="BI202" s="125"/>
      <c r="BJ202" s="125"/>
      <c r="BK202" s="125"/>
      <c r="BL202" s="125"/>
      <c r="BM202" s="125"/>
      <c r="BN202" s="125"/>
      <c r="BO202" s="125"/>
      <c r="BP202" s="244">
        <f t="shared" si="36"/>
        <v>9700</v>
      </c>
      <c r="BQ202" s="248">
        <f t="shared" si="39"/>
        <v>19400</v>
      </c>
      <c r="BR202" s="105">
        <f t="shared" si="37"/>
        <v>0</v>
      </c>
      <c r="BS202" s="248">
        <f t="shared" si="40"/>
        <v>0</v>
      </c>
    </row>
    <row r="203" spans="1:71" s="16" customFormat="1" ht="17" hidden="1" x14ac:dyDescent="0.2">
      <c r="A203" s="162" t="s">
        <v>520</v>
      </c>
      <c r="B203" s="162" t="s">
        <v>510</v>
      </c>
      <c r="C203" s="262" t="s">
        <v>555</v>
      </c>
      <c r="D203" s="119" t="s">
        <v>563</v>
      </c>
      <c r="E203" s="117" t="s">
        <v>83</v>
      </c>
      <c r="F203" s="120"/>
      <c r="G203" s="212">
        <v>464</v>
      </c>
      <c r="H203" s="120"/>
      <c r="I203" s="121">
        <v>488</v>
      </c>
      <c r="J203" s="122">
        <v>0</v>
      </c>
      <c r="K203" s="120"/>
      <c r="L203" s="123"/>
      <c r="M203" s="123"/>
      <c r="N203" s="123"/>
      <c r="O203" s="123"/>
      <c r="P203" s="123"/>
      <c r="Q203" s="123"/>
      <c r="R203" s="123"/>
      <c r="S203" s="123"/>
      <c r="T203" s="123"/>
      <c r="U203" s="256">
        <f t="shared" si="48"/>
        <v>488</v>
      </c>
      <c r="V203" s="123"/>
      <c r="W203" s="123"/>
      <c r="X203" s="123"/>
      <c r="Y203" s="123"/>
      <c r="Z203" s="123"/>
      <c r="AA203" s="123"/>
      <c r="AB203" s="123"/>
      <c r="AC203" s="163">
        <f t="shared" si="46"/>
        <v>488</v>
      </c>
      <c r="AD203" s="163">
        <f t="shared" si="46"/>
        <v>0</v>
      </c>
      <c r="AE203" s="124" t="s">
        <v>365</v>
      </c>
      <c r="AF203" s="124"/>
      <c r="AG203" s="124"/>
      <c r="AH203" s="124"/>
      <c r="AI203" s="124"/>
      <c r="AJ203" s="124"/>
      <c r="AK203" s="124"/>
      <c r="AL203" s="124"/>
      <c r="AM203" s="124"/>
      <c r="AN203" s="124"/>
      <c r="AO203" s="124"/>
      <c r="AP203" s="124"/>
      <c r="AQ203" s="124"/>
      <c r="AR203" s="124">
        <v>232</v>
      </c>
      <c r="AS203" s="124"/>
      <c r="AT203" s="124"/>
      <c r="AU203" s="124"/>
      <c r="AV203" s="124"/>
      <c r="AW203" s="124"/>
      <c r="AX203" s="124"/>
      <c r="AY203" s="124"/>
      <c r="AZ203" s="146"/>
      <c r="BA203" s="125"/>
      <c r="BB203" s="125"/>
      <c r="BC203" s="125"/>
      <c r="BD203" s="125"/>
      <c r="BE203" s="125"/>
      <c r="BF203" s="125"/>
      <c r="BG203" s="125"/>
      <c r="BH203" s="125"/>
      <c r="BI203" s="125"/>
      <c r="BJ203" s="125"/>
      <c r="BK203" s="125"/>
      <c r="BL203" s="125"/>
      <c r="BM203" s="125"/>
      <c r="BN203" s="125"/>
      <c r="BO203" s="125"/>
      <c r="BP203" s="244">
        <f t="shared" si="36"/>
        <v>232</v>
      </c>
      <c r="BQ203" s="248">
        <f t="shared" si="39"/>
        <v>464</v>
      </c>
      <c r="BR203" s="105">
        <f t="shared" si="37"/>
        <v>0</v>
      </c>
      <c r="BS203" s="248">
        <f t="shared" si="40"/>
        <v>0</v>
      </c>
    </row>
    <row r="204" spans="1:71" s="16" customFormat="1" ht="17" hidden="1" x14ac:dyDescent="0.2">
      <c r="A204" s="162" t="s">
        <v>521</v>
      </c>
      <c r="B204" s="162" t="s">
        <v>510</v>
      </c>
      <c r="C204" s="262" t="s">
        <v>556</v>
      </c>
      <c r="D204" s="119" t="s">
        <v>563</v>
      </c>
      <c r="E204" s="117" t="s">
        <v>83</v>
      </c>
      <c r="F204" s="120"/>
      <c r="G204" s="212">
        <v>126</v>
      </c>
      <c r="H204" s="120"/>
      <c r="I204" s="121">
        <v>133</v>
      </c>
      <c r="J204" s="122">
        <v>0</v>
      </c>
      <c r="K204" s="120"/>
      <c r="L204" s="123"/>
      <c r="M204" s="123"/>
      <c r="N204" s="123"/>
      <c r="O204" s="123"/>
      <c r="P204" s="123"/>
      <c r="Q204" s="123"/>
      <c r="R204" s="123"/>
      <c r="S204" s="123"/>
      <c r="T204" s="123"/>
      <c r="U204" s="256">
        <f t="shared" si="48"/>
        <v>133</v>
      </c>
      <c r="V204" s="123"/>
      <c r="W204" s="123"/>
      <c r="X204" s="123"/>
      <c r="Y204" s="123"/>
      <c r="Z204" s="123"/>
      <c r="AA204" s="123"/>
      <c r="AB204" s="123"/>
      <c r="AC204" s="163">
        <f t="shared" si="46"/>
        <v>133</v>
      </c>
      <c r="AD204" s="163">
        <f t="shared" si="46"/>
        <v>0</v>
      </c>
      <c r="AE204" s="124" t="s">
        <v>365</v>
      </c>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46"/>
      <c r="BA204" s="125"/>
      <c r="BB204" s="125"/>
      <c r="BC204" s="125"/>
      <c r="BD204" s="125"/>
      <c r="BE204" s="125"/>
      <c r="BF204" s="125"/>
      <c r="BG204" s="125"/>
      <c r="BH204" s="125"/>
      <c r="BI204" s="125"/>
      <c r="BJ204" s="125"/>
      <c r="BK204" s="125"/>
      <c r="BL204" s="125">
        <v>63</v>
      </c>
      <c r="BM204" s="125"/>
      <c r="BN204" s="125"/>
      <c r="BO204" s="125"/>
      <c r="BP204" s="244">
        <f t="shared" si="36"/>
        <v>63</v>
      </c>
      <c r="BQ204" s="248">
        <f t="shared" si="39"/>
        <v>126</v>
      </c>
      <c r="BR204" s="105">
        <f t="shared" si="37"/>
        <v>0</v>
      </c>
      <c r="BS204" s="248">
        <f t="shared" si="40"/>
        <v>0</v>
      </c>
    </row>
    <row r="205" spans="1:71" s="16" customFormat="1" ht="17" hidden="1" x14ac:dyDescent="0.2">
      <c r="A205" s="162" t="s">
        <v>522</v>
      </c>
      <c r="B205" s="162" t="s">
        <v>511</v>
      </c>
      <c r="C205" s="262" t="s">
        <v>557</v>
      </c>
      <c r="D205" s="119" t="s">
        <v>564</v>
      </c>
      <c r="E205" s="117" t="s">
        <v>83</v>
      </c>
      <c r="F205" s="120"/>
      <c r="G205" s="212">
        <v>9004</v>
      </c>
      <c r="H205" s="120"/>
      <c r="I205" s="121">
        <v>9374</v>
      </c>
      <c r="J205" s="122">
        <v>0</v>
      </c>
      <c r="K205" s="120"/>
      <c r="L205" s="123"/>
      <c r="M205" s="123"/>
      <c r="N205" s="123"/>
      <c r="O205" s="123"/>
      <c r="P205" s="123"/>
      <c r="Q205" s="123"/>
      <c r="R205" s="123"/>
      <c r="S205" s="123"/>
      <c r="T205" s="123"/>
      <c r="U205" s="256">
        <f t="shared" si="48"/>
        <v>9455</v>
      </c>
      <c r="V205" s="123"/>
      <c r="W205" s="123"/>
      <c r="X205" s="123"/>
      <c r="Y205" s="123">
        <v>5900</v>
      </c>
      <c r="Z205" s="123"/>
      <c r="AA205" s="123"/>
      <c r="AB205" s="123"/>
      <c r="AC205" s="163">
        <f t="shared" si="46"/>
        <v>9374</v>
      </c>
      <c r="AD205" s="163">
        <f t="shared" si="46"/>
        <v>0</v>
      </c>
      <c r="AE205" s="124" t="s">
        <v>703</v>
      </c>
      <c r="AF205" s="124"/>
      <c r="AG205" s="124"/>
      <c r="AH205" s="124"/>
      <c r="AI205" s="124"/>
      <c r="AJ205" s="124">
        <v>2836</v>
      </c>
      <c r="AK205" s="124"/>
      <c r="AL205" s="124"/>
      <c r="AM205" s="124"/>
      <c r="AN205" s="124"/>
      <c r="AO205" s="124"/>
      <c r="AP205" s="124"/>
      <c r="AQ205" s="124"/>
      <c r="AR205" s="124"/>
      <c r="AS205" s="124"/>
      <c r="AT205" s="124">
        <v>1280</v>
      </c>
      <c r="AU205" s="124"/>
      <c r="AV205" s="124"/>
      <c r="AW205" s="124"/>
      <c r="AX205" s="124"/>
      <c r="AY205" s="124"/>
      <c r="AZ205" s="146"/>
      <c r="BA205" s="125"/>
      <c r="BB205" s="125"/>
      <c r="BC205" s="125"/>
      <c r="BD205" s="125"/>
      <c r="BE205" s="125"/>
      <c r="BF205" s="125"/>
      <c r="BG205" s="125"/>
      <c r="BH205" s="125"/>
      <c r="BI205" s="125"/>
      <c r="BJ205" s="125"/>
      <c r="BK205" s="125"/>
      <c r="BL205" s="125">
        <v>386</v>
      </c>
      <c r="BM205" s="125"/>
      <c r="BN205" s="125"/>
      <c r="BO205" s="125"/>
      <c r="BP205" s="244">
        <f t="shared" si="36"/>
        <v>4502</v>
      </c>
      <c r="BQ205" s="248">
        <f t="shared" si="39"/>
        <v>9004</v>
      </c>
      <c r="BR205" s="105">
        <f t="shared" si="37"/>
        <v>0</v>
      </c>
      <c r="BS205" s="248">
        <f t="shared" si="40"/>
        <v>0</v>
      </c>
    </row>
    <row r="206" spans="1:71" s="16" customFormat="1" ht="17" hidden="1" x14ac:dyDescent="0.2">
      <c r="A206" s="162" t="s">
        <v>523</v>
      </c>
      <c r="B206" s="162" t="s">
        <v>511</v>
      </c>
      <c r="C206" s="262" t="s">
        <v>558</v>
      </c>
      <c r="D206" s="119" t="s">
        <v>564</v>
      </c>
      <c r="E206" s="117" t="s">
        <v>83</v>
      </c>
      <c r="F206" s="120"/>
      <c r="G206" s="212">
        <v>572</v>
      </c>
      <c r="H206" s="120"/>
      <c r="I206" s="121">
        <v>647</v>
      </c>
      <c r="J206" s="122">
        <v>0</v>
      </c>
      <c r="K206" s="120"/>
      <c r="L206" s="123"/>
      <c r="M206" s="123"/>
      <c r="N206" s="123"/>
      <c r="O206" s="123"/>
      <c r="P206" s="123"/>
      <c r="Q206" s="123"/>
      <c r="R206" s="123"/>
      <c r="S206" s="123"/>
      <c r="T206" s="123"/>
      <c r="U206" s="256">
        <f t="shared" si="48"/>
        <v>601</v>
      </c>
      <c r="V206" s="123"/>
      <c r="W206" s="123"/>
      <c r="X206" s="123"/>
      <c r="Y206" s="123"/>
      <c r="Z206" s="123"/>
      <c r="AA206" s="123"/>
      <c r="AB206" s="123"/>
      <c r="AC206" s="163">
        <f t="shared" si="46"/>
        <v>647</v>
      </c>
      <c r="AD206" s="163">
        <f t="shared" si="46"/>
        <v>0</v>
      </c>
      <c r="AE206" s="124" t="s">
        <v>365</v>
      </c>
      <c r="AF206" s="124"/>
      <c r="AG206" s="124"/>
      <c r="AH206" s="124"/>
      <c r="AI206" s="124"/>
      <c r="AJ206" s="124"/>
      <c r="AK206" s="124"/>
      <c r="AL206" s="124"/>
      <c r="AM206" s="124"/>
      <c r="AN206" s="124"/>
      <c r="AO206" s="124"/>
      <c r="AP206" s="124"/>
      <c r="AQ206" s="124"/>
      <c r="AR206" s="124"/>
      <c r="AS206" s="124"/>
      <c r="AT206" s="124">
        <v>286</v>
      </c>
      <c r="AU206" s="124"/>
      <c r="AV206" s="124"/>
      <c r="AW206" s="124"/>
      <c r="AX206" s="124"/>
      <c r="AY206" s="124"/>
      <c r="AZ206" s="146"/>
      <c r="BA206" s="125"/>
      <c r="BB206" s="125"/>
      <c r="BC206" s="125"/>
      <c r="BD206" s="125"/>
      <c r="BE206" s="125"/>
      <c r="BF206" s="125"/>
      <c r="BG206" s="125"/>
      <c r="BH206" s="125"/>
      <c r="BI206" s="125"/>
      <c r="BJ206" s="125"/>
      <c r="BK206" s="125"/>
      <c r="BL206" s="125"/>
      <c r="BM206" s="125"/>
      <c r="BN206" s="125"/>
      <c r="BO206" s="125"/>
      <c r="BP206" s="244">
        <f t="shared" ref="BP206:BP254" si="49">+AF206+AH206+AJ206+AL206+AN206+AP206+AR206+AT206+AV206+AX206+AZ206+BB206+BD206+BF206+BH206+BJ206+BL206+BN206</f>
        <v>286</v>
      </c>
      <c r="BQ206" s="248">
        <f t="shared" si="39"/>
        <v>572</v>
      </c>
      <c r="BR206" s="105">
        <f t="shared" ref="BR206:BR254" si="50">+AG206+AI206+AK206+AM206+AO206+AQ206+AS206+AU206+AW206+AY206+BA206+BC206+BE206+BG206+BI206+BK206+BM206+BO206</f>
        <v>0</v>
      </c>
      <c r="BS206" s="248">
        <f t="shared" si="40"/>
        <v>0</v>
      </c>
    </row>
    <row r="207" spans="1:71" s="16" customFormat="1" ht="17" hidden="1" x14ac:dyDescent="0.2">
      <c r="A207" s="162" t="s">
        <v>524</v>
      </c>
      <c r="B207" s="162" t="s">
        <v>510</v>
      </c>
      <c r="C207" s="262" t="s">
        <v>559</v>
      </c>
      <c r="D207" s="119" t="s">
        <v>563</v>
      </c>
      <c r="E207" s="117" t="s">
        <v>83</v>
      </c>
      <c r="F207" s="120"/>
      <c r="G207" s="212">
        <v>4</v>
      </c>
      <c r="H207" s="120"/>
      <c r="I207" s="121">
        <v>5</v>
      </c>
      <c r="J207" s="122">
        <v>0</v>
      </c>
      <c r="K207" s="120"/>
      <c r="L207" s="123"/>
      <c r="M207" s="123"/>
      <c r="N207" s="123"/>
      <c r="O207" s="123"/>
      <c r="P207" s="123"/>
      <c r="Q207" s="123"/>
      <c r="R207" s="123"/>
      <c r="S207" s="123"/>
      <c r="T207" s="123"/>
      <c r="U207" s="256">
        <f t="shared" si="48"/>
        <v>5</v>
      </c>
      <c r="V207" s="123"/>
      <c r="W207" s="123"/>
      <c r="X207" s="123"/>
      <c r="Y207" s="123"/>
      <c r="Z207" s="123"/>
      <c r="AA207" s="123"/>
      <c r="AB207" s="123"/>
      <c r="AC207" s="163">
        <f t="shared" si="46"/>
        <v>5</v>
      </c>
      <c r="AD207" s="163">
        <f t="shared" si="46"/>
        <v>0</v>
      </c>
      <c r="AE207" s="124" t="s">
        <v>365</v>
      </c>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46"/>
      <c r="BA207" s="125"/>
      <c r="BB207" s="125"/>
      <c r="BC207" s="125"/>
      <c r="BD207" s="125"/>
      <c r="BE207" s="125"/>
      <c r="BF207" s="125"/>
      <c r="BG207" s="125"/>
      <c r="BH207" s="125"/>
      <c r="BI207" s="125"/>
      <c r="BJ207" s="125"/>
      <c r="BK207" s="125"/>
      <c r="BL207" s="125"/>
      <c r="BM207" s="125"/>
      <c r="BN207" s="125"/>
      <c r="BO207" s="125"/>
      <c r="BP207" s="244">
        <f t="shared" si="49"/>
        <v>0</v>
      </c>
      <c r="BQ207" s="248">
        <f t="shared" si="39"/>
        <v>0</v>
      </c>
      <c r="BR207" s="105">
        <f t="shared" si="50"/>
        <v>0</v>
      </c>
      <c r="BS207" s="248">
        <f t="shared" si="40"/>
        <v>0</v>
      </c>
    </row>
    <row r="208" spans="1:71" s="16" customFormat="1" ht="17" hidden="1" x14ac:dyDescent="0.2">
      <c r="A208" s="162" t="s">
        <v>525</v>
      </c>
      <c r="B208" s="162" t="s">
        <v>510</v>
      </c>
      <c r="C208" s="262" t="s">
        <v>560</v>
      </c>
      <c r="D208" s="119" t="s">
        <v>563</v>
      </c>
      <c r="E208" s="117" t="s">
        <v>83</v>
      </c>
      <c r="F208" s="120"/>
      <c r="G208" s="212">
        <v>28</v>
      </c>
      <c r="H208" s="120"/>
      <c r="I208" s="121">
        <v>30</v>
      </c>
      <c r="J208" s="122">
        <v>0</v>
      </c>
      <c r="K208" s="120"/>
      <c r="L208" s="123"/>
      <c r="M208" s="123"/>
      <c r="N208" s="123"/>
      <c r="O208" s="123"/>
      <c r="P208" s="123"/>
      <c r="Q208" s="123"/>
      <c r="R208" s="123"/>
      <c r="S208" s="123"/>
      <c r="T208" s="123"/>
      <c r="U208" s="256">
        <f t="shared" si="48"/>
        <v>30</v>
      </c>
      <c r="V208" s="123"/>
      <c r="W208" s="123"/>
      <c r="X208" s="123"/>
      <c r="Y208" s="123"/>
      <c r="Z208" s="123"/>
      <c r="AA208" s="123"/>
      <c r="AB208" s="123"/>
      <c r="AC208" s="163">
        <f t="shared" si="46"/>
        <v>30</v>
      </c>
      <c r="AD208" s="163">
        <f t="shared" si="46"/>
        <v>0</v>
      </c>
      <c r="AE208" s="124" t="s">
        <v>365</v>
      </c>
      <c r="AF208" s="124">
        <v>6</v>
      </c>
      <c r="AG208" s="124"/>
      <c r="AH208" s="124"/>
      <c r="AI208" s="124"/>
      <c r="AJ208" s="124"/>
      <c r="AK208" s="124"/>
      <c r="AL208" s="124"/>
      <c r="AM208" s="124"/>
      <c r="AN208" s="124"/>
      <c r="AO208" s="124"/>
      <c r="AP208" s="124"/>
      <c r="AQ208" s="124"/>
      <c r="AR208" s="124"/>
      <c r="AS208" s="124"/>
      <c r="AT208" s="124"/>
      <c r="AU208" s="124"/>
      <c r="AV208" s="124"/>
      <c r="AW208" s="124"/>
      <c r="AX208" s="124"/>
      <c r="AY208" s="124"/>
      <c r="AZ208" s="146"/>
      <c r="BA208" s="125"/>
      <c r="BB208" s="125"/>
      <c r="BC208" s="125"/>
      <c r="BD208" s="125"/>
      <c r="BE208" s="125"/>
      <c r="BF208" s="125"/>
      <c r="BG208" s="125"/>
      <c r="BH208" s="125"/>
      <c r="BI208" s="125"/>
      <c r="BJ208" s="125"/>
      <c r="BK208" s="125"/>
      <c r="BL208" s="125"/>
      <c r="BM208" s="125"/>
      <c r="BN208" s="125"/>
      <c r="BO208" s="125"/>
      <c r="BP208" s="244">
        <f t="shared" si="49"/>
        <v>6</v>
      </c>
      <c r="BQ208" s="248">
        <f t="shared" ref="BQ208:BQ254" si="51">+BP208*2</f>
        <v>12</v>
      </c>
      <c r="BR208" s="105">
        <f t="shared" si="50"/>
        <v>0</v>
      </c>
      <c r="BS208" s="248">
        <f t="shared" ref="BS208:BS254" si="52">+BR208*2</f>
        <v>0</v>
      </c>
    </row>
    <row r="209" spans="1:71" s="16" customFormat="1" ht="17" hidden="1" x14ac:dyDescent="0.2">
      <c r="A209" s="162" t="s">
        <v>526</v>
      </c>
      <c r="B209" s="162" t="s">
        <v>510</v>
      </c>
      <c r="C209" s="262" t="s">
        <v>782</v>
      </c>
      <c r="D209" s="119" t="s">
        <v>563</v>
      </c>
      <c r="E209" s="117" t="s">
        <v>83</v>
      </c>
      <c r="F209" s="120"/>
      <c r="G209" s="212">
        <v>8</v>
      </c>
      <c r="H209" s="120"/>
      <c r="I209" s="121">
        <v>9</v>
      </c>
      <c r="J209" s="122">
        <v>0</v>
      </c>
      <c r="K209" s="120"/>
      <c r="L209" s="123"/>
      <c r="M209" s="123"/>
      <c r="N209" s="123"/>
      <c r="O209" s="123"/>
      <c r="P209" s="123"/>
      <c r="Q209" s="123"/>
      <c r="R209" s="123"/>
      <c r="S209" s="123"/>
      <c r="T209" s="123"/>
      <c r="U209" s="256">
        <f t="shared" si="48"/>
        <v>9</v>
      </c>
      <c r="V209" s="123"/>
      <c r="W209" s="123"/>
      <c r="X209" s="123"/>
      <c r="Y209" s="123"/>
      <c r="Z209" s="123"/>
      <c r="AA209" s="123"/>
      <c r="AB209" s="123"/>
      <c r="AC209" s="163">
        <f t="shared" si="46"/>
        <v>9</v>
      </c>
      <c r="AD209" s="163">
        <f t="shared" si="46"/>
        <v>0</v>
      </c>
      <c r="AE209" s="124" t="s">
        <v>365</v>
      </c>
      <c r="AF209" s="124">
        <v>4</v>
      </c>
      <c r="AG209" s="124"/>
      <c r="AH209" s="124"/>
      <c r="AI209" s="124"/>
      <c r="AJ209" s="124"/>
      <c r="AK209" s="124"/>
      <c r="AL209" s="124"/>
      <c r="AM209" s="124"/>
      <c r="AN209" s="124"/>
      <c r="AO209" s="124"/>
      <c r="AP209" s="124"/>
      <c r="AQ209" s="124"/>
      <c r="AR209" s="124"/>
      <c r="AS209" s="124"/>
      <c r="AT209" s="124"/>
      <c r="AU209" s="124"/>
      <c r="AV209" s="124"/>
      <c r="AW209" s="124"/>
      <c r="AX209" s="124"/>
      <c r="AY209" s="124"/>
      <c r="AZ209" s="146"/>
      <c r="BA209" s="125"/>
      <c r="BB209" s="125"/>
      <c r="BC209" s="125"/>
      <c r="BD209" s="125"/>
      <c r="BE209" s="125"/>
      <c r="BF209" s="125"/>
      <c r="BG209" s="125"/>
      <c r="BH209" s="125"/>
      <c r="BI209" s="125"/>
      <c r="BJ209" s="125"/>
      <c r="BK209" s="125"/>
      <c r="BL209" s="125"/>
      <c r="BM209" s="125"/>
      <c r="BN209" s="125"/>
      <c r="BO209" s="125"/>
      <c r="BP209" s="244">
        <f t="shared" si="49"/>
        <v>4</v>
      </c>
      <c r="BQ209" s="248">
        <f t="shared" si="51"/>
        <v>8</v>
      </c>
      <c r="BR209" s="105">
        <f t="shared" si="50"/>
        <v>0</v>
      </c>
      <c r="BS209" s="248">
        <f t="shared" si="52"/>
        <v>0</v>
      </c>
    </row>
    <row r="210" spans="1:71" s="16" customFormat="1" ht="17" hidden="1" x14ac:dyDescent="0.2">
      <c r="A210" s="162" t="s">
        <v>683</v>
      </c>
      <c r="B210" s="162" t="s">
        <v>511</v>
      </c>
      <c r="C210" s="262" t="s">
        <v>693</v>
      </c>
      <c r="D210" s="119" t="s">
        <v>694</v>
      </c>
      <c r="E210" s="117" t="s">
        <v>83</v>
      </c>
      <c r="F210" s="120"/>
      <c r="G210" s="212">
        <f>20+20</f>
        <v>40</v>
      </c>
      <c r="H210" s="120"/>
      <c r="I210" s="121">
        <v>21</v>
      </c>
      <c r="J210" s="122">
        <v>0</v>
      </c>
      <c r="K210" s="120"/>
      <c r="L210" s="123"/>
      <c r="M210" s="123"/>
      <c r="N210" s="123"/>
      <c r="O210" s="123"/>
      <c r="P210" s="123"/>
      <c r="Q210" s="123"/>
      <c r="R210" s="123"/>
      <c r="S210" s="123"/>
      <c r="T210" s="123"/>
      <c r="U210" s="256"/>
      <c r="V210" s="123"/>
      <c r="W210" s="123"/>
      <c r="X210" s="123"/>
      <c r="Y210" s="123">
        <v>21</v>
      </c>
      <c r="Z210" s="123"/>
      <c r="AA210" s="123">
        <v>25</v>
      </c>
      <c r="AB210" s="123"/>
      <c r="AC210" s="163">
        <f t="shared" si="46"/>
        <v>46</v>
      </c>
      <c r="AD210" s="163">
        <f t="shared" si="46"/>
        <v>0</v>
      </c>
      <c r="AE210" s="124" t="s">
        <v>725</v>
      </c>
      <c r="AF210" s="124"/>
      <c r="AG210" s="124"/>
      <c r="AH210" s="124"/>
      <c r="AI210" s="124"/>
      <c r="AJ210" s="124">
        <v>10</v>
      </c>
      <c r="AK210" s="124"/>
      <c r="AL210" s="124"/>
      <c r="AM210" s="124"/>
      <c r="AN210" s="124"/>
      <c r="AO210" s="124"/>
      <c r="AP210" s="124"/>
      <c r="AQ210" s="124"/>
      <c r="AR210" s="124"/>
      <c r="AS210" s="124"/>
      <c r="AT210" s="124">
        <v>10</v>
      </c>
      <c r="AU210" s="124"/>
      <c r="AV210" s="124"/>
      <c r="AW210" s="124"/>
      <c r="AX210" s="124"/>
      <c r="AY210" s="124"/>
      <c r="AZ210" s="146"/>
      <c r="BA210" s="125"/>
      <c r="BB210" s="125"/>
      <c r="BC210" s="125"/>
      <c r="BD210" s="125"/>
      <c r="BE210" s="125"/>
      <c r="BF210" s="125"/>
      <c r="BG210" s="125"/>
      <c r="BH210" s="125"/>
      <c r="BI210" s="125"/>
      <c r="BJ210" s="125"/>
      <c r="BK210" s="125"/>
      <c r="BL210" s="125"/>
      <c r="BM210" s="125"/>
      <c r="BN210" s="125"/>
      <c r="BO210" s="125"/>
      <c r="BP210" s="244">
        <f t="shared" si="49"/>
        <v>20</v>
      </c>
      <c r="BQ210" s="248">
        <f t="shared" si="51"/>
        <v>40</v>
      </c>
      <c r="BR210" s="105">
        <f t="shared" si="50"/>
        <v>0</v>
      </c>
      <c r="BS210" s="248">
        <f t="shared" si="52"/>
        <v>0</v>
      </c>
    </row>
    <row r="211" spans="1:71" s="16" customFormat="1" ht="17" hidden="1" x14ac:dyDescent="0.2">
      <c r="A211" s="162" t="s">
        <v>684</v>
      </c>
      <c r="B211" s="162" t="s">
        <v>511</v>
      </c>
      <c r="C211" s="262" t="s">
        <v>695</v>
      </c>
      <c r="D211" s="119" t="s">
        <v>694</v>
      </c>
      <c r="E211" s="117" t="s">
        <v>83</v>
      </c>
      <c r="F211" s="120"/>
      <c r="G211" s="212">
        <v>8</v>
      </c>
      <c r="H211" s="120"/>
      <c r="I211" s="121">
        <v>5</v>
      </c>
      <c r="J211" s="122">
        <v>0</v>
      </c>
      <c r="K211" s="120"/>
      <c r="L211" s="123"/>
      <c r="M211" s="123"/>
      <c r="N211" s="123"/>
      <c r="O211" s="123"/>
      <c r="P211" s="123"/>
      <c r="Q211" s="123"/>
      <c r="R211" s="123"/>
      <c r="S211" s="123"/>
      <c r="T211" s="123"/>
      <c r="U211" s="256"/>
      <c r="V211" s="123"/>
      <c r="W211" s="123"/>
      <c r="X211" s="123"/>
      <c r="Y211" s="123">
        <v>5</v>
      </c>
      <c r="Z211" s="123"/>
      <c r="AA211" s="123">
        <v>5</v>
      </c>
      <c r="AB211" s="123"/>
      <c r="AC211" s="163">
        <f t="shared" si="46"/>
        <v>10</v>
      </c>
      <c r="AD211" s="163">
        <f t="shared" si="46"/>
        <v>0</v>
      </c>
      <c r="AE211" s="124" t="s">
        <v>725</v>
      </c>
      <c r="AF211" s="124"/>
      <c r="AG211" s="124"/>
      <c r="AH211" s="124"/>
      <c r="AI211" s="124"/>
      <c r="AJ211" s="124">
        <v>2</v>
      </c>
      <c r="AK211" s="124"/>
      <c r="AL211" s="124"/>
      <c r="AM211" s="124"/>
      <c r="AN211" s="124"/>
      <c r="AO211" s="124"/>
      <c r="AP211" s="124"/>
      <c r="AQ211" s="124"/>
      <c r="AR211" s="124"/>
      <c r="AS211" s="124"/>
      <c r="AT211" s="124">
        <v>2</v>
      </c>
      <c r="AU211" s="124"/>
      <c r="AV211" s="124"/>
      <c r="AW211" s="124"/>
      <c r="AX211" s="124"/>
      <c r="AY211" s="124"/>
      <c r="AZ211" s="146"/>
      <c r="BA211" s="125"/>
      <c r="BB211" s="125"/>
      <c r="BC211" s="125"/>
      <c r="BD211" s="125"/>
      <c r="BE211" s="125"/>
      <c r="BF211" s="125"/>
      <c r="BG211" s="125"/>
      <c r="BH211" s="125"/>
      <c r="BI211" s="125"/>
      <c r="BJ211" s="125"/>
      <c r="BK211" s="125"/>
      <c r="BL211" s="125"/>
      <c r="BM211" s="125"/>
      <c r="BN211" s="125"/>
      <c r="BO211" s="125"/>
      <c r="BP211" s="244">
        <f t="shared" si="49"/>
        <v>4</v>
      </c>
      <c r="BQ211" s="248">
        <f t="shared" si="51"/>
        <v>8</v>
      </c>
      <c r="BR211" s="105">
        <f t="shared" si="50"/>
        <v>0</v>
      </c>
      <c r="BS211" s="248">
        <f t="shared" si="52"/>
        <v>0</v>
      </c>
    </row>
    <row r="212" spans="1:71" s="16" customFormat="1" ht="17" hidden="1" x14ac:dyDescent="0.2">
      <c r="A212" s="162" t="s">
        <v>685</v>
      </c>
      <c r="B212" s="162" t="s">
        <v>509</v>
      </c>
      <c r="C212" s="262" t="s">
        <v>696</v>
      </c>
      <c r="D212" s="119" t="s">
        <v>638</v>
      </c>
      <c r="E212" s="117" t="s">
        <v>83</v>
      </c>
      <c r="F212" s="120"/>
      <c r="G212" s="212">
        <v>48</v>
      </c>
      <c r="H212" s="120"/>
      <c r="I212" s="121">
        <v>51</v>
      </c>
      <c r="J212" s="122">
        <v>0</v>
      </c>
      <c r="K212" s="120"/>
      <c r="L212" s="123"/>
      <c r="M212" s="123"/>
      <c r="N212" s="123"/>
      <c r="O212" s="123"/>
      <c r="P212" s="123"/>
      <c r="Q212" s="123"/>
      <c r="R212" s="123"/>
      <c r="S212" s="123"/>
      <c r="T212" s="123"/>
      <c r="U212" s="256"/>
      <c r="V212" s="123"/>
      <c r="W212" s="123"/>
      <c r="X212" s="123"/>
      <c r="Y212" s="123">
        <v>51</v>
      </c>
      <c r="Z212" s="123"/>
      <c r="AA212" s="123"/>
      <c r="AB212" s="123"/>
      <c r="AC212" s="163">
        <f t="shared" si="46"/>
        <v>51</v>
      </c>
      <c r="AD212" s="163">
        <f t="shared" si="46"/>
        <v>0</v>
      </c>
      <c r="AE212" s="124" t="s">
        <v>703</v>
      </c>
      <c r="AF212" s="124"/>
      <c r="AG212" s="124"/>
      <c r="AH212" s="124"/>
      <c r="AI212" s="124"/>
      <c r="AJ212" s="124">
        <v>24</v>
      </c>
      <c r="AK212" s="124"/>
      <c r="AL212" s="124"/>
      <c r="AM212" s="124"/>
      <c r="AN212" s="124"/>
      <c r="AO212" s="124"/>
      <c r="AP212" s="124"/>
      <c r="AQ212" s="124"/>
      <c r="AR212" s="124"/>
      <c r="AS212" s="124"/>
      <c r="AT212" s="124"/>
      <c r="AU212" s="124"/>
      <c r="AV212" s="124"/>
      <c r="AW212" s="124"/>
      <c r="AX212" s="124"/>
      <c r="AY212" s="124"/>
      <c r="AZ212" s="146"/>
      <c r="BA212" s="125"/>
      <c r="BB212" s="125"/>
      <c r="BC212" s="125"/>
      <c r="BD212" s="125"/>
      <c r="BE212" s="125"/>
      <c r="BF212" s="125"/>
      <c r="BG212" s="125"/>
      <c r="BH212" s="125"/>
      <c r="BI212" s="125"/>
      <c r="BJ212" s="125"/>
      <c r="BK212" s="125"/>
      <c r="BL212" s="125"/>
      <c r="BM212" s="125"/>
      <c r="BN212" s="125"/>
      <c r="BO212" s="125"/>
      <c r="BP212" s="244">
        <f t="shared" si="49"/>
        <v>24</v>
      </c>
      <c r="BQ212" s="248">
        <f t="shared" si="51"/>
        <v>48</v>
      </c>
      <c r="BR212" s="105">
        <f t="shared" si="50"/>
        <v>0</v>
      </c>
      <c r="BS212" s="248">
        <f t="shared" si="52"/>
        <v>0</v>
      </c>
    </row>
    <row r="213" spans="1:71" s="16" customFormat="1" ht="17" hidden="1" x14ac:dyDescent="0.2">
      <c r="A213" s="162" t="s">
        <v>686</v>
      </c>
      <c r="B213" s="162" t="s">
        <v>698</v>
      </c>
      <c r="C213" s="262" t="s">
        <v>697</v>
      </c>
      <c r="D213" s="119" t="s">
        <v>564</v>
      </c>
      <c r="E213" s="117" t="s">
        <v>83</v>
      </c>
      <c r="F213" s="120"/>
      <c r="G213" s="212">
        <v>96</v>
      </c>
      <c r="H213" s="120"/>
      <c r="I213" s="121">
        <v>51</v>
      </c>
      <c r="J213" s="122">
        <v>0</v>
      </c>
      <c r="K213" s="120"/>
      <c r="L213" s="123"/>
      <c r="M213" s="123"/>
      <c r="N213" s="123"/>
      <c r="O213" s="123"/>
      <c r="P213" s="123"/>
      <c r="Q213" s="123"/>
      <c r="R213" s="123"/>
      <c r="S213" s="123"/>
      <c r="T213" s="123"/>
      <c r="U213" s="256"/>
      <c r="V213" s="123"/>
      <c r="W213" s="123"/>
      <c r="X213" s="123"/>
      <c r="Y213" s="123">
        <v>51</v>
      </c>
      <c r="Z213" s="123"/>
      <c r="AA213" s="123">
        <v>50</v>
      </c>
      <c r="AB213" s="123"/>
      <c r="AC213" s="163">
        <f t="shared" si="46"/>
        <v>101</v>
      </c>
      <c r="AD213" s="163">
        <f t="shared" si="46"/>
        <v>0</v>
      </c>
      <c r="AE213" s="124" t="s">
        <v>725</v>
      </c>
      <c r="AF213" s="124"/>
      <c r="AG213" s="124"/>
      <c r="AH213" s="124"/>
      <c r="AI213" s="124"/>
      <c r="AJ213" s="124">
        <v>24</v>
      </c>
      <c r="AK213" s="124"/>
      <c r="AL213" s="124"/>
      <c r="AM213" s="124"/>
      <c r="AN213" s="124"/>
      <c r="AO213" s="124"/>
      <c r="AP213" s="124"/>
      <c r="AQ213" s="124"/>
      <c r="AR213" s="124"/>
      <c r="AS213" s="124"/>
      <c r="AT213" s="124">
        <v>24</v>
      </c>
      <c r="AU213" s="124"/>
      <c r="AV213" s="124"/>
      <c r="AW213" s="124"/>
      <c r="AX213" s="124"/>
      <c r="AY213" s="124"/>
      <c r="AZ213" s="146"/>
      <c r="BA213" s="125"/>
      <c r="BB213" s="125"/>
      <c r="BC213" s="125"/>
      <c r="BD213" s="125"/>
      <c r="BE213" s="125"/>
      <c r="BF213" s="125"/>
      <c r="BG213" s="125"/>
      <c r="BH213" s="125"/>
      <c r="BI213" s="125"/>
      <c r="BJ213" s="125"/>
      <c r="BK213" s="125"/>
      <c r="BL213" s="125"/>
      <c r="BM213" s="125"/>
      <c r="BN213" s="125"/>
      <c r="BO213" s="125"/>
      <c r="BP213" s="244">
        <f t="shared" si="49"/>
        <v>48</v>
      </c>
      <c r="BQ213" s="248">
        <f t="shared" si="51"/>
        <v>96</v>
      </c>
      <c r="BR213" s="105">
        <f t="shared" si="50"/>
        <v>0</v>
      </c>
      <c r="BS213" s="248">
        <f t="shared" si="52"/>
        <v>0</v>
      </c>
    </row>
    <row r="214" spans="1:71" s="16" customFormat="1" ht="17" hidden="1" x14ac:dyDescent="0.2">
      <c r="A214" s="162" t="s">
        <v>687</v>
      </c>
      <c r="B214" s="162" t="s">
        <v>511</v>
      </c>
      <c r="C214" s="262" t="s">
        <v>699</v>
      </c>
      <c r="D214" s="119" t="s">
        <v>564</v>
      </c>
      <c r="E214" s="117" t="s">
        <v>83</v>
      </c>
      <c r="F214" s="120"/>
      <c r="G214" s="212">
        <v>12</v>
      </c>
      <c r="H214" s="120"/>
      <c r="I214" s="121">
        <v>13</v>
      </c>
      <c r="J214" s="122">
        <v>0</v>
      </c>
      <c r="K214" s="120"/>
      <c r="L214" s="123"/>
      <c r="M214" s="123"/>
      <c r="N214" s="123"/>
      <c r="O214" s="123"/>
      <c r="P214" s="123"/>
      <c r="Q214" s="123"/>
      <c r="R214" s="123"/>
      <c r="S214" s="123"/>
      <c r="T214" s="123"/>
      <c r="U214" s="256"/>
      <c r="V214" s="123"/>
      <c r="W214" s="123"/>
      <c r="X214" s="123"/>
      <c r="Y214" s="123">
        <v>13</v>
      </c>
      <c r="Z214" s="123"/>
      <c r="AA214" s="123"/>
      <c r="AB214" s="123"/>
      <c r="AC214" s="163">
        <f t="shared" si="46"/>
        <v>13</v>
      </c>
      <c r="AD214" s="163">
        <f t="shared" si="46"/>
        <v>0</v>
      </c>
      <c r="AE214" s="124" t="s">
        <v>703</v>
      </c>
      <c r="AF214" s="124"/>
      <c r="AG214" s="124"/>
      <c r="AH214" s="124"/>
      <c r="AI214" s="124"/>
      <c r="AJ214" s="124">
        <v>6</v>
      </c>
      <c r="AK214" s="124"/>
      <c r="AL214" s="124"/>
      <c r="AM214" s="124"/>
      <c r="AN214" s="124"/>
      <c r="AO214" s="124"/>
      <c r="AP214" s="124"/>
      <c r="AQ214" s="124"/>
      <c r="AR214" s="124"/>
      <c r="AS214" s="124"/>
      <c r="AT214" s="124"/>
      <c r="AU214" s="124"/>
      <c r="AV214" s="124"/>
      <c r="AW214" s="124"/>
      <c r="AX214" s="124"/>
      <c r="AY214" s="124"/>
      <c r="AZ214" s="146"/>
      <c r="BA214" s="125"/>
      <c r="BB214" s="125"/>
      <c r="BC214" s="125"/>
      <c r="BD214" s="125"/>
      <c r="BE214" s="125"/>
      <c r="BF214" s="125"/>
      <c r="BG214" s="125"/>
      <c r="BH214" s="125"/>
      <c r="BI214" s="125"/>
      <c r="BJ214" s="125"/>
      <c r="BK214" s="125"/>
      <c r="BL214" s="125"/>
      <c r="BM214" s="125"/>
      <c r="BN214" s="125"/>
      <c r="BO214" s="125"/>
      <c r="BP214" s="244">
        <f t="shared" si="49"/>
        <v>6</v>
      </c>
      <c r="BQ214" s="248">
        <f t="shared" si="51"/>
        <v>12</v>
      </c>
      <c r="BR214" s="105">
        <f t="shared" si="50"/>
        <v>0</v>
      </c>
      <c r="BS214" s="248">
        <f t="shared" si="52"/>
        <v>0</v>
      </c>
    </row>
    <row r="215" spans="1:71" s="16" customFormat="1" ht="17" hidden="1" x14ac:dyDescent="0.2">
      <c r="A215" s="162" t="s">
        <v>688</v>
      </c>
      <c r="B215" s="162" t="s">
        <v>511</v>
      </c>
      <c r="C215" s="262" t="s">
        <v>700</v>
      </c>
      <c r="D215" s="119" t="s">
        <v>564</v>
      </c>
      <c r="E215" s="117" t="s">
        <v>83</v>
      </c>
      <c r="F215" s="120"/>
      <c r="G215" s="212">
        <v>12</v>
      </c>
      <c r="H215" s="120"/>
      <c r="I215" s="121">
        <v>13</v>
      </c>
      <c r="J215" s="122">
        <v>0</v>
      </c>
      <c r="K215" s="120"/>
      <c r="L215" s="123"/>
      <c r="M215" s="123"/>
      <c r="N215" s="123"/>
      <c r="O215" s="123"/>
      <c r="P215" s="123"/>
      <c r="Q215" s="123"/>
      <c r="R215" s="123"/>
      <c r="S215" s="123"/>
      <c r="T215" s="123"/>
      <c r="U215" s="256"/>
      <c r="V215" s="123"/>
      <c r="W215" s="123"/>
      <c r="X215" s="123"/>
      <c r="Y215" s="123">
        <v>13</v>
      </c>
      <c r="Z215" s="123"/>
      <c r="AA215" s="123"/>
      <c r="AB215" s="123"/>
      <c r="AC215" s="163">
        <f t="shared" si="46"/>
        <v>13</v>
      </c>
      <c r="AD215" s="163">
        <f t="shared" si="46"/>
        <v>0</v>
      </c>
      <c r="AE215" s="124" t="s">
        <v>703</v>
      </c>
      <c r="AF215" s="124"/>
      <c r="AG215" s="124"/>
      <c r="AH215" s="124"/>
      <c r="AI215" s="124"/>
      <c r="AJ215" s="124">
        <v>6</v>
      </c>
      <c r="AK215" s="124"/>
      <c r="AL215" s="124"/>
      <c r="AM215" s="124"/>
      <c r="AN215" s="124"/>
      <c r="AO215" s="124"/>
      <c r="AP215" s="124"/>
      <c r="AQ215" s="124"/>
      <c r="AR215" s="124"/>
      <c r="AS215" s="124"/>
      <c r="AT215" s="124"/>
      <c r="AU215" s="124"/>
      <c r="AV215" s="124"/>
      <c r="AW215" s="124"/>
      <c r="AX215" s="124"/>
      <c r="AY215" s="124"/>
      <c r="AZ215" s="146"/>
      <c r="BA215" s="125"/>
      <c r="BB215" s="125"/>
      <c r="BC215" s="125"/>
      <c r="BD215" s="125"/>
      <c r="BE215" s="125"/>
      <c r="BF215" s="125"/>
      <c r="BG215" s="125"/>
      <c r="BH215" s="125"/>
      <c r="BI215" s="125"/>
      <c r="BJ215" s="125"/>
      <c r="BK215" s="125"/>
      <c r="BL215" s="125"/>
      <c r="BM215" s="125"/>
      <c r="BN215" s="125"/>
      <c r="BO215" s="125"/>
      <c r="BP215" s="244">
        <f t="shared" si="49"/>
        <v>6</v>
      </c>
      <c r="BQ215" s="248">
        <f t="shared" si="51"/>
        <v>12</v>
      </c>
      <c r="BR215" s="105">
        <f t="shared" si="50"/>
        <v>0</v>
      </c>
      <c r="BS215" s="248">
        <f t="shared" si="52"/>
        <v>0</v>
      </c>
    </row>
    <row r="216" spans="1:71" s="16" customFormat="1" ht="17" hidden="1" x14ac:dyDescent="0.2">
      <c r="A216" s="162" t="s">
        <v>689</v>
      </c>
      <c r="B216" s="162" t="s">
        <v>510</v>
      </c>
      <c r="C216" s="262" t="s">
        <v>710</v>
      </c>
      <c r="D216" s="119" t="s">
        <v>563</v>
      </c>
      <c r="E216" s="117" t="s">
        <v>83</v>
      </c>
      <c r="F216" s="120"/>
      <c r="G216" s="212">
        <f>245*2</f>
        <v>490</v>
      </c>
      <c r="H216" s="120"/>
      <c r="I216" s="121">
        <v>520</v>
      </c>
      <c r="J216" s="122"/>
      <c r="K216" s="120"/>
      <c r="L216" s="123"/>
      <c r="M216" s="123"/>
      <c r="N216" s="123"/>
      <c r="O216" s="123"/>
      <c r="P216" s="123"/>
      <c r="Q216" s="123"/>
      <c r="R216" s="123"/>
      <c r="S216" s="123"/>
      <c r="T216" s="123"/>
      <c r="U216" s="256"/>
      <c r="V216" s="123"/>
      <c r="W216" s="123"/>
      <c r="X216" s="123"/>
      <c r="Y216" s="123">
        <v>520</v>
      </c>
      <c r="Z216" s="123"/>
      <c r="AA216" s="123"/>
      <c r="AB216" s="123"/>
      <c r="AC216" s="163">
        <f t="shared" si="46"/>
        <v>520</v>
      </c>
      <c r="AD216" s="163">
        <f t="shared" si="46"/>
        <v>0</v>
      </c>
      <c r="AE216" s="124" t="s">
        <v>703</v>
      </c>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46">
        <v>245</v>
      </c>
      <c r="BA216" s="125"/>
      <c r="BB216" s="125"/>
      <c r="BC216" s="125"/>
      <c r="BD216" s="125"/>
      <c r="BE216" s="125"/>
      <c r="BF216" s="125"/>
      <c r="BG216" s="125"/>
      <c r="BH216" s="125"/>
      <c r="BI216" s="125"/>
      <c r="BJ216" s="125"/>
      <c r="BK216" s="125"/>
      <c r="BL216" s="125"/>
      <c r="BM216" s="125"/>
      <c r="BN216" s="125"/>
      <c r="BO216" s="125"/>
      <c r="BP216" s="244">
        <f t="shared" si="49"/>
        <v>245</v>
      </c>
      <c r="BQ216" s="248">
        <f t="shared" si="51"/>
        <v>490</v>
      </c>
      <c r="BR216" s="105">
        <f t="shared" si="50"/>
        <v>0</v>
      </c>
      <c r="BS216" s="248">
        <f t="shared" si="52"/>
        <v>0</v>
      </c>
    </row>
    <row r="217" spans="1:71" s="16" customFormat="1" ht="17" x14ac:dyDescent="0.2">
      <c r="A217" s="162" t="s">
        <v>690</v>
      </c>
      <c r="B217" s="162" t="s">
        <v>510</v>
      </c>
      <c r="C217" s="262" t="s">
        <v>783</v>
      </c>
      <c r="D217" s="119" t="s">
        <v>563</v>
      </c>
      <c r="E217" s="117" t="s">
        <v>83</v>
      </c>
      <c r="F217" s="120"/>
      <c r="G217" s="212">
        <v>228</v>
      </c>
      <c r="H217" s="120"/>
      <c r="I217" s="121">
        <v>240</v>
      </c>
      <c r="J217" s="122">
        <v>0</v>
      </c>
      <c r="K217" s="120"/>
      <c r="L217" s="123"/>
      <c r="M217" s="123"/>
      <c r="N217" s="123"/>
      <c r="O217" s="123"/>
      <c r="P217" s="123"/>
      <c r="Q217" s="123"/>
      <c r="R217" s="123"/>
      <c r="S217" s="123"/>
      <c r="T217" s="123"/>
      <c r="U217" s="256"/>
      <c r="V217" s="123"/>
      <c r="W217" s="123"/>
      <c r="X217" s="123"/>
      <c r="Y217" s="123">
        <v>240</v>
      </c>
      <c r="Z217" s="123"/>
      <c r="AA217" s="123"/>
      <c r="AB217" s="123"/>
      <c r="AC217" s="163">
        <f t="shared" si="46"/>
        <v>240</v>
      </c>
      <c r="AD217" s="163">
        <f t="shared" si="46"/>
        <v>0</v>
      </c>
      <c r="AE217" s="124" t="s">
        <v>703</v>
      </c>
      <c r="AF217" s="124"/>
      <c r="AG217" s="124"/>
      <c r="AH217" s="124">
        <v>114</v>
      </c>
      <c r="AI217" s="124"/>
      <c r="AJ217" s="124"/>
      <c r="AK217" s="124"/>
      <c r="AL217" s="124"/>
      <c r="AM217" s="124"/>
      <c r="AN217" s="124"/>
      <c r="AO217" s="124"/>
      <c r="AP217" s="124"/>
      <c r="AQ217" s="124"/>
      <c r="AR217" s="124"/>
      <c r="AS217" s="124"/>
      <c r="AT217" s="124"/>
      <c r="AU217" s="124"/>
      <c r="AV217" s="124"/>
      <c r="AW217" s="124"/>
      <c r="AX217" s="124"/>
      <c r="AY217" s="124"/>
      <c r="AZ217" s="146"/>
      <c r="BA217" s="125"/>
      <c r="BB217" s="125"/>
      <c r="BC217" s="125"/>
      <c r="BD217" s="125"/>
      <c r="BE217" s="125"/>
      <c r="BF217" s="125"/>
      <c r="BG217" s="125"/>
      <c r="BH217" s="125"/>
      <c r="BI217" s="125"/>
      <c r="BJ217" s="125"/>
      <c r="BK217" s="125"/>
      <c r="BL217" s="125"/>
      <c r="BM217" s="125"/>
      <c r="BN217" s="125"/>
      <c r="BO217" s="125"/>
      <c r="BP217" s="244">
        <f t="shared" si="49"/>
        <v>114</v>
      </c>
      <c r="BQ217" s="248">
        <f t="shared" si="51"/>
        <v>228</v>
      </c>
      <c r="BR217" s="105">
        <f t="shared" si="50"/>
        <v>0</v>
      </c>
      <c r="BS217" s="248">
        <f t="shared" si="52"/>
        <v>0</v>
      </c>
    </row>
    <row r="218" spans="1:71" s="16" customFormat="1" ht="17" x14ac:dyDescent="0.2">
      <c r="A218" s="162" t="s">
        <v>691</v>
      </c>
      <c r="B218" s="162" t="s">
        <v>510</v>
      </c>
      <c r="C218" s="262" t="s">
        <v>701</v>
      </c>
      <c r="D218" s="119" t="s">
        <v>563</v>
      </c>
      <c r="E218" s="117" t="s">
        <v>83</v>
      </c>
      <c r="F218" s="120"/>
      <c r="G218" s="212">
        <v>76</v>
      </c>
      <c r="H218" s="120"/>
      <c r="I218" s="121">
        <v>80</v>
      </c>
      <c r="J218" s="122">
        <v>0</v>
      </c>
      <c r="K218" s="120"/>
      <c r="L218" s="123"/>
      <c r="M218" s="123"/>
      <c r="N218" s="123"/>
      <c r="O218" s="123"/>
      <c r="P218" s="123"/>
      <c r="Q218" s="123"/>
      <c r="R218" s="123"/>
      <c r="S218" s="123"/>
      <c r="T218" s="123"/>
      <c r="U218" s="256"/>
      <c r="V218" s="123"/>
      <c r="W218" s="123"/>
      <c r="X218" s="123"/>
      <c r="Y218" s="123">
        <v>80</v>
      </c>
      <c r="Z218" s="123"/>
      <c r="AA218" s="123"/>
      <c r="AB218" s="123"/>
      <c r="AC218" s="163">
        <f t="shared" si="46"/>
        <v>80</v>
      </c>
      <c r="AD218" s="163">
        <f t="shared" si="46"/>
        <v>0</v>
      </c>
      <c r="AE218" s="124" t="s">
        <v>703</v>
      </c>
      <c r="AF218" s="124"/>
      <c r="AG218" s="124"/>
      <c r="AH218" s="124">
        <v>38</v>
      </c>
      <c r="AI218" s="124"/>
      <c r="AJ218" s="124"/>
      <c r="AK218" s="124"/>
      <c r="AL218" s="124"/>
      <c r="AM218" s="124"/>
      <c r="AN218" s="124"/>
      <c r="AO218" s="124"/>
      <c r="AP218" s="124"/>
      <c r="AQ218" s="124"/>
      <c r="AR218" s="124"/>
      <c r="AS218" s="124"/>
      <c r="AT218" s="124"/>
      <c r="AU218" s="124"/>
      <c r="AV218" s="124"/>
      <c r="AW218" s="124"/>
      <c r="AX218" s="124"/>
      <c r="AY218" s="124"/>
      <c r="AZ218" s="146"/>
      <c r="BA218" s="125"/>
      <c r="BB218" s="125"/>
      <c r="BC218" s="125"/>
      <c r="BD218" s="125"/>
      <c r="BE218" s="125"/>
      <c r="BF218" s="125"/>
      <c r="BG218" s="125"/>
      <c r="BH218" s="125"/>
      <c r="BI218" s="125"/>
      <c r="BJ218" s="125"/>
      <c r="BK218" s="125"/>
      <c r="BL218" s="125"/>
      <c r="BM218" s="125"/>
      <c r="BN218" s="125"/>
      <c r="BO218" s="125"/>
      <c r="BP218" s="244">
        <f t="shared" si="49"/>
        <v>38</v>
      </c>
      <c r="BQ218" s="248">
        <f t="shared" si="51"/>
        <v>76</v>
      </c>
      <c r="BR218" s="105">
        <f t="shared" si="50"/>
        <v>0</v>
      </c>
      <c r="BS218" s="248">
        <f t="shared" si="52"/>
        <v>0</v>
      </c>
    </row>
    <row r="219" spans="1:71" s="16" customFormat="1" ht="17" x14ac:dyDescent="0.2">
      <c r="A219" s="162" t="s">
        <v>692</v>
      </c>
      <c r="B219" s="162" t="s">
        <v>510</v>
      </c>
      <c r="C219" s="262" t="s">
        <v>702</v>
      </c>
      <c r="D219" s="119" t="s">
        <v>563</v>
      </c>
      <c r="E219" s="117" t="s">
        <v>83</v>
      </c>
      <c r="F219" s="120"/>
      <c r="G219" s="212">
        <v>36</v>
      </c>
      <c r="H219" s="120"/>
      <c r="I219" s="121">
        <v>38</v>
      </c>
      <c r="J219" s="122">
        <v>0</v>
      </c>
      <c r="K219" s="120"/>
      <c r="L219" s="123"/>
      <c r="M219" s="123"/>
      <c r="N219" s="123"/>
      <c r="O219" s="123"/>
      <c r="P219" s="123"/>
      <c r="Q219" s="123"/>
      <c r="R219" s="123"/>
      <c r="S219" s="123"/>
      <c r="T219" s="123"/>
      <c r="U219" s="256"/>
      <c r="V219" s="123"/>
      <c r="W219" s="123"/>
      <c r="X219" s="123"/>
      <c r="Y219" s="123">
        <v>38</v>
      </c>
      <c r="Z219" s="123"/>
      <c r="AA219" s="123"/>
      <c r="AB219" s="123"/>
      <c r="AC219" s="163">
        <f t="shared" si="46"/>
        <v>38</v>
      </c>
      <c r="AD219" s="163">
        <f t="shared" si="46"/>
        <v>0</v>
      </c>
      <c r="AE219" s="124" t="s">
        <v>703</v>
      </c>
      <c r="AF219" s="124"/>
      <c r="AG219" s="124"/>
      <c r="AH219" s="124">
        <v>18</v>
      </c>
      <c r="AI219" s="124"/>
      <c r="AJ219" s="124"/>
      <c r="AK219" s="124"/>
      <c r="AL219" s="124"/>
      <c r="AM219" s="124"/>
      <c r="AN219" s="124"/>
      <c r="AO219" s="124"/>
      <c r="AP219" s="124"/>
      <c r="AQ219" s="124"/>
      <c r="AR219" s="124"/>
      <c r="AS219" s="124"/>
      <c r="AT219" s="124"/>
      <c r="AU219" s="124"/>
      <c r="AV219" s="124"/>
      <c r="AW219" s="124"/>
      <c r="AX219" s="124"/>
      <c r="AY219" s="124"/>
      <c r="AZ219" s="146"/>
      <c r="BA219" s="125"/>
      <c r="BB219" s="125"/>
      <c r="BC219" s="125"/>
      <c r="BD219" s="125"/>
      <c r="BE219" s="125"/>
      <c r="BF219" s="125"/>
      <c r="BG219" s="125"/>
      <c r="BH219" s="125"/>
      <c r="BI219" s="125"/>
      <c r="BJ219" s="125"/>
      <c r="BK219" s="125"/>
      <c r="BL219" s="125"/>
      <c r="BM219" s="125"/>
      <c r="BN219" s="125"/>
      <c r="BO219" s="125"/>
      <c r="BP219" s="244">
        <f t="shared" si="49"/>
        <v>18</v>
      </c>
      <c r="BQ219" s="248">
        <f t="shared" si="51"/>
        <v>36</v>
      </c>
      <c r="BR219" s="105">
        <f t="shared" si="50"/>
        <v>0</v>
      </c>
      <c r="BS219" s="248">
        <f t="shared" si="52"/>
        <v>0</v>
      </c>
    </row>
    <row r="220" spans="1:71" s="16" customFormat="1" ht="17" hidden="1" x14ac:dyDescent="0.2">
      <c r="A220" s="162" t="s">
        <v>784</v>
      </c>
      <c r="B220" s="162" t="s">
        <v>796</v>
      </c>
      <c r="C220" s="262" t="s">
        <v>787</v>
      </c>
      <c r="D220" s="119" t="s">
        <v>788</v>
      </c>
      <c r="E220" s="117" t="s">
        <v>83</v>
      </c>
      <c r="F220" s="120"/>
      <c r="G220" s="212">
        <v>5604</v>
      </c>
      <c r="H220" s="120"/>
      <c r="I220" s="121"/>
      <c r="J220" s="122"/>
      <c r="K220" s="120"/>
      <c r="L220" s="123"/>
      <c r="M220" s="123"/>
      <c r="N220" s="123"/>
      <c r="O220" s="123"/>
      <c r="P220" s="123"/>
      <c r="Q220" s="123"/>
      <c r="R220" s="123"/>
      <c r="S220" s="123"/>
      <c r="T220" s="123"/>
      <c r="U220" s="256"/>
      <c r="V220" s="123"/>
      <c r="W220" s="123"/>
      <c r="X220" s="123"/>
      <c r="Y220" s="123"/>
      <c r="Z220" s="123"/>
      <c r="AA220" s="123">
        <v>5700</v>
      </c>
      <c r="AB220" s="123"/>
      <c r="AC220" s="163">
        <f t="shared" ref="AC220:AC222" si="53">+I220+AA220</f>
        <v>5700</v>
      </c>
      <c r="AD220" s="163">
        <f t="shared" ref="AD220:AD222" si="54">+J220+AB220</f>
        <v>0</v>
      </c>
      <c r="AE220" s="124" t="s">
        <v>793</v>
      </c>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46"/>
      <c r="BA220" s="125"/>
      <c r="BB220" s="125"/>
      <c r="BC220" s="125"/>
      <c r="BD220" s="125"/>
      <c r="BE220" s="125"/>
      <c r="BF220" s="125"/>
      <c r="BG220" s="125"/>
      <c r="BH220" s="125"/>
      <c r="BI220" s="125"/>
      <c r="BJ220" s="125">
        <v>2802</v>
      </c>
      <c r="BK220" s="125"/>
      <c r="BL220" s="125"/>
      <c r="BM220" s="125"/>
      <c r="BN220" s="125"/>
      <c r="BO220" s="125"/>
      <c r="BP220" s="244">
        <f t="shared" ref="BP220:BP222" si="55">+AF220+AH220+AJ220+AL220+AN220+AP220+AR220+AT220+AV220+AX220+AZ220+BB220+BD220+BF220+BH220+BJ220+BL220+BN220</f>
        <v>2802</v>
      </c>
      <c r="BQ220" s="248">
        <f t="shared" ref="BQ220:BQ222" si="56">+BP220*2</f>
        <v>5604</v>
      </c>
      <c r="BR220" s="105"/>
      <c r="BS220" s="248"/>
    </row>
    <row r="221" spans="1:71" s="16" customFormat="1" ht="17" hidden="1" x14ac:dyDescent="0.2">
      <c r="A221" s="162" t="s">
        <v>785</v>
      </c>
      <c r="B221" s="162" t="s">
        <v>794</v>
      </c>
      <c r="C221" s="262" t="s">
        <v>789</v>
      </c>
      <c r="D221" s="119" t="s">
        <v>790</v>
      </c>
      <c r="E221" s="117" t="s">
        <v>83</v>
      </c>
      <c r="F221" s="120"/>
      <c r="G221" s="212">
        <v>11208</v>
      </c>
      <c r="H221" s="120"/>
      <c r="I221" s="121"/>
      <c r="J221" s="122"/>
      <c r="K221" s="120"/>
      <c r="L221" s="123"/>
      <c r="M221" s="123"/>
      <c r="N221" s="123"/>
      <c r="O221" s="123"/>
      <c r="P221" s="123"/>
      <c r="Q221" s="123"/>
      <c r="R221" s="123"/>
      <c r="S221" s="123"/>
      <c r="T221" s="123"/>
      <c r="U221" s="256"/>
      <c r="V221" s="123"/>
      <c r="W221" s="123"/>
      <c r="X221" s="123"/>
      <c r="Y221" s="123"/>
      <c r="Z221" s="123"/>
      <c r="AA221" s="123">
        <v>11400</v>
      </c>
      <c r="AB221" s="123"/>
      <c r="AC221" s="163">
        <f t="shared" si="53"/>
        <v>11400</v>
      </c>
      <c r="AD221" s="163">
        <f t="shared" si="54"/>
        <v>0</v>
      </c>
      <c r="AE221" s="124" t="s">
        <v>793</v>
      </c>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46"/>
      <c r="BA221" s="125"/>
      <c r="BB221" s="125"/>
      <c r="BC221" s="125"/>
      <c r="BD221" s="125"/>
      <c r="BE221" s="125"/>
      <c r="BF221" s="125"/>
      <c r="BG221" s="125"/>
      <c r="BH221" s="125"/>
      <c r="BI221" s="125"/>
      <c r="BJ221" s="125">
        <v>5604</v>
      </c>
      <c r="BK221" s="125"/>
      <c r="BL221" s="125"/>
      <c r="BM221" s="125"/>
      <c r="BN221" s="125"/>
      <c r="BO221" s="125"/>
      <c r="BP221" s="244">
        <f t="shared" si="55"/>
        <v>5604</v>
      </c>
      <c r="BQ221" s="248">
        <f t="shared" si="56"/>
        <v>11208</v>
      </c>
      <c r="BR221" s="105"/>
      <c r="BS221" s="248"/>
    </row>
    <row r="222" spans="1:71" s="16" customFormat="1" ht="17" hidden="1" x14ac:dyDescent="0.2">
      <c r="A222" s="162" t="s">
        <v>786</v>
      </c>
      <c r="B222" s="162" t="s">
        <v>795</v>
      </c>
      <c r="C222" s="262" t="s">
        <v>791</v>
      </c>
      <c r="D222" s="119" t="s">
        <v>792</v>
      </c>
      <c r="E222" s="117" t="s">
        <v>83</v>
      </c>
      <c r="F222" s="120"/>
      <c r="G222" s="212">
        <v>5604</v>
      </c>
      <c r="H222" s="120"/>
      <c r="I222" s="121"/>
      <c r="J222" s="122"/>
      <c r="K222" s="120"/>
      <c r="L222" s="123"/>
      <c r="M222" s="123"/>
      <c r="N222" s="123"/>
      <c r="O222" s="123"/>
      <c r="P222" s="123"/>
      <c r="Q222" s="123"/>
      <c r="R222" s="123"/>
      <c r="S222" s="123"/>
      <c r="T222" s="123"/>
      <c r="U222" s="256"/>
      <c r="V222" s="123"/>
      <c r="W222" s="123"/>
      <c r="X222" s="123"/>
      <c r="Y222" s="123"/>
      <c r="Z222" s="123"/>
      <c r="AA222" s="123">
        <v>5700</v>
      </c>
      <c r="AB222" s="123"/>
      <c r="AC222" s="163">
        <f t="shared" si="53"/>
        <v>5700</v>
      </c>
      <c r="AD222" s="163">
        <f t="shared" si="54"/>
        <v>0</v>
      </c>
      <c r="AE222" s="124" t="s">
        <v>793</v>
      </c>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46"/>
      <c r="BA222" s="125"/>
      <c r="BB222" s="125"/>
      <c r="BC222" s="125"/>
      <c r="BD222" s="125"/>
      <c r="BE222" s="125"/>
      <c r="BF222" s="125"/>
      <c r="BG222" s="125"/>
      <c r="BH222" s="125"/>
      <c r="BI222" s="125"/>
      <c r="BJ222" s="125">
        <v>2802</v>
      </c>
      <c r="BK222" s="125"/>
      <c r="BL222" s="125"/>
      <c r="BM222" s="125"/>
      <c r="BN222" s="125"/>
      <c r="BO222" s="125"/>
      <c r="BP222" s="244">
        <f t="shared" si="55"/>
        <v>2802</v>
      </c>
      <c r="BQ222" s="248">
        <f t="shared" si="56"/>
        <v>5604</v>
      </c>
      <c r="BR222" s="105"/>
      <c r="BS222" s="248"/>
    </row>
    <row r="223" spans="1:71" s="16" customFormat="1" ht="17" hidden="1" x14ac:dyDescent="0.15">
      <c r="A223" s="167" t="s">
        <v>73</v>
      </c>
      <c r="B223" s="320" t="s">
        <v>74</v>
      </c>
      <c r="C223" s="321"/>
      <c r="D223" s="148"/>
      <c r="E223" s="149"/>
      <c r="F223" s="150"/>
      <c r="G223" s="150"/>
      <c r="H223" s="150"/>
      <c r="I223" s="151"/>
      <c r="J223" s="152"/>
      <c r="K223" s="150"/>
      <c r="L223" s="153"/>
      <c r="M223" s="153"/>
      <c r="N223" s="153"/>
      <c r="O223" s="153"/>
      <c r="P223" s="153"/>
      <c r="Q223" s="153"/>
      <c r="R223" s="153"/>
      <c r="S223" s="153"/>
      <c r="T223" s="153"/>
      <c r="U223" s="213"/>
      <c r="V223" s="153"/>
      <c r="W223" s="153"/>
      <c r="X223" s="153"/>
      <c r="Y223" s="153"/>
      <c r="Z223" s="153"/>
      <c r="AA223" s="153"/>
      <c r="AB223" s="153"/>
      <c r="AC223" s="154"/>
      <c r="AD223" s="154"/>
      <c r="AE223" s="155"/>
      <c r="AF223" s="155"/>
      <c r="AG223" s="155"/>
      <c r="AH223" s="155"/>
      <c r="AI223" s="155"/>
      <c r="AJ223" s="155"/>
      <c r="AK223" s="155"/>
      <c r="AL223" s="155"/>
      <c r="AM223" s="155"/>
      <c r="AN223" s="155"/>
      <c r="AO223" s="155"/>
      <c r="AP223" s="155"/>
      <c r="AQ223" s="155"/>
      <c r="AR223" s="155"/>
      <c r="AS223" s="155"/>
      <c r="AT223" s="155"/>
      <c r="AU223" s="155"/>
      <c r="AV223" s="155"/>
      <c r="AW223" s="155"/>
      <c r="AX223" s="155"/>
      <c r="AY223" s="155"/>
      <c r="AZ223" s="146"/>
      <c r="BA223" s="125"/>
      <c r="BB223" s="125"/>
      <c r="BC223" s="125"/>
      <c r="BD223" s="125"/>
      <c r="BE223" s="125"/>
      <c r="BF223" s="125"/>
      <c r="BG223" s="125"/>
      <c r="BH223" s="125"/>
      <c r="BI223" s="125"/>
      <c r="BJ223" s="125"/>
      <c r="BK223" s="125"/>
      <c r="BL223" s="125"/>
      <c r="BM223" s="125"/>
      <c r="BN223" s="125"/>
      <c r="BO223" s="125"/>
      <c r="BP223" s="244">
        <f t="shared" si="49"/>
        <v>0</v>
      </c>
      <c r="BQ223" s="248">
        <f t="shared" si="51"/>
        <v>0</v>
      </c>
      <c r="BR223" s="105">
        <f t="shared" si="50"/>
        <v>0</v>
      </c>
      <c r="BS223" s="248">
        <f t="shared" si="52"/>
        <v>0</v>
      </c>
    </row>
    <row r="224" spans="1:71" s="16" customFormat="1" ht="17" hidden="1" x14ac:dyDescent="0.15">
      <c r="A224" s="118" t="s">
        <v>86</v>
      </c>
      <c r="B224" s="162" t="s">
        <v>80</v>
      </c>
      <c r="C224" s="118" t="s">
        <v>85</v>
      </c>
      <c r="D224" s="119" t="s">
        <v>82</v>
      </c>
      <c r="E224" s="117" t="s">
        <v>83</v>
      </c>
      <c r="F224" s="120"/>
      <c r="G224" s="120">
        <v>20</v>
      </c>
      <c r="H224" s="120"/>
      <c r="I224" s="121">
        <v>20</v>
      </c>
      <c r="J224" s="122">
        <v>0</v>
      </c>
      <c r="K224" s="120"/>
      <c r="L224" s="123"/>
      <c r="M224" s="123">
        <v>20</v>
      </c>
      <c r="N224" s="123"/>
      <c r="O224" s="123"/>
      <c r="P224" s="123"/>
      <c r="Q224" s="123"/>
      <c r="R224" s="123"/>
      <c r="S224" s="123"/>
      <c r="T224" s="123"/>
      <c r="U224" s="252"/>
      <c r="V224" s="123"/>
      <c r="W224" s="123"/>
      <c r="X224" s="123"/>
      <c r="Y224" s="123"/>
      <c r="Z224" s="123"/>
      <c r="AA224" s="123"/>
      <c r="AB224" s="123"/>
      <c r="AC224" s="163">
        <f t="shared" ref="AC224:AD249" si="57">+I224+AA224</f>
        <v>20</v>
      </c>
      <c r="AD224" s="163">
        <f t="shared" si="57"/>
        <v>0</v>
      </c>
      <c r="AE224" s="124"/>
      <c r="AF224" s="124"/>
      <c r="AG224" s="124"/>
      <c r="AH224" s="124"/>
      <c r="AI224" s="124"/>
      <c r="AJ224" s="124"/>
      <c r="AK224" s="124"/>
      <c r="AL224" s="124">
        <v>10</v>
      </c>
      <c r="AM224" s="124"/>
      <c r="AN224" s="124"/>
      <c r="AO224" s="124"/>
      <c r="AP224" s="124"/>
      <c r="AQ224" s="124"/>
      <c r="AR224" s="124"/>
      <c r="AS224" s="124"/>
      <c r="AT224" s="124"/>
      <c r="AU224" s="124"/>
      <c r="AV224" s="124"/>
      <c r="AW224" s="124"/>
      <c r="AX224" s="124"/>
      <c r="AY224" s="124"/>
      <c r="AZ224" s="146"/>
      <c r="BA224" s="125"/>
      <c r="BB224" s="125"/>
      <c r="BC224" s="125"/>
      <c r="BD224" s="125"/>
      <c r="BE224" s="125"/>
      <c r="BF224" s="125"/>
      <c r="BG224" s="125"/>
      <c r="BH224" s="125"/>
      <c r="BI224" s="125"/>
      <c r="BJ224" s="125"/>
      <c r="BK224" s="125"/>
      <c r="BL224" s="125"/>
      <c r="BM224" s="125"/>
      <c r="BN224" s="125"/>
      <c r="BO224" s="125"/>
      <c r="BP224" s="244">
        <f t="shared" si="49"/>
        <v>10</v>
      </c>
      <c r="BQ224" s="248">
        <f t="shared" si="51"/>
        <v>20</v>
      </c>
      <c r="BR224" s="105">
        <f t="shared" si="50"/>
        <v>0</v>
      </c>
      <c r="BS224" s="248">
        <f t="shared" si="52"/>
        <v>0</v>
      </c>
    </row>
    <row r="225" spans="1:71" s="16" customFormat="1" ht="17" x14ac:dyDescent="0.15">
      <c r="A225" s="118" t="s">
        <v>366</v>
      </c>
      <c r="B225" s="162" t="s">
        <v>390</v>
      </c>
      <c r="C225" s="263" t="s">
        <v>568</v>
      </c>
      <c r="D225" s="264" t="s">
        <v>404</v>
      </c>
      <c r="E225" s="117" t="s">
        <v>83</v>
      </c>
      <c r="F225" s="120"/>
      <c r="G225" s="120">
        <f>32+20</f>
        <v>52</v>
      </c>
      <c r="H225" s="120"/>
      <c r="I225" s="121">
        <v>52</v>
      </c>
      <c r="J225" s="122">
        <v>0</v>
      </c>
      <c r="K225" s="120"/>
      <c r="L225" s="123"/>
      <c r="M225" s="123"/>
      <c r="N225" s="123"/>
      <c r="O225" s="123"/>
      <c r="P225" s="123"/>
      <c r="Q225" s="123"/>
      <c r="R225" s="123"/>
      <c r="S225" s="123"/>
      <c r="T225" s="123"/>
      <c r="U225" s="214">
        <v>32</v>
      </c>
      <c r="V225" s="123"/>
      <c r="W225" s="123"/>
      <c r="X225" s="123"/>
      <c r="Y225" s="123">
        <v>20</v>
      </c>
      <c r="Z225" s="123"/>
      <c r="AA225" s="123"/>
      <c r="AB225" s="123"/>
      <c r="AC225" s="163">
        <f t="shared" si="57"/>
        <v>52</v>
      </c>
      <c r="AD225" s="163">
        <f t="shared" si="57"/>
        <v>0</v>
      </c>
      <c r="AE225" s="124" t="s">
        <v>703</v>
      </c>
      <c r="AF225" s="124">
        <v>6</v>
      </c>
      <c r="AG225" s="124"/>
      <c r="AH225" s="124">
        <v>4</v>
      </c>
      <c r="AI225" s="124"/>
      <c r="AJ225" s="124">
        <v>6</v>
      </c>
      <c r="AK225" s="124"/>
      <c r="AL225" s="124"/>
      <c r="AM225" s="124"/>
      <c r="AN225" s="124">
        <v>6</v>
      </c>
      <c r="AO225" s="124"/>
      <c r="AP225" s="124"/>
      <c r="AQ225" s="124"/>
      <c r="AR225" s="124"/>
      <c r="AS225" s="124"/>
      <c r="AT225" s="124"/>
      <c r="AU225" s="124"/>
      <c r="AV225" s="124"/>
      <c r="AW225" s="124"/>
      <c r="AX225" s="124"/>
      <c r="AY225" s="124"/>
      <c r="AZ225" s="146"/>
      <c r="BA225" s="125"/>
      <c r="BB225" s="125"/>
      <c r="BC225" s="125"/>
      <c r="BD225" s="125">
        <v>4</v>
      </c>
      <c r="BE225" s="125"/>
      <c r="BF225" s="125"/>
      <c r="BG225" s="125"/>
      <c r="BH225" s="125"/>
      <c r="BI225" s="125"/>
      <c r="BJ225" s="125"/>
      <c r="BK225" s="125"/>
      <c r="BL225" s="125"/>
      <c r="BM225" s="125"/>
      <c r="BN225" s="125"/>
      <c r="BO225" s="125"/>
      <c r="BP225" s="244">
        <f t="shared" si="49"/>
        <v>26</v>
      </c>
      <c r="BQ225" s="248">
        <f t="shared" si="51"/>
        <v>52</v>
      </c>
      <c r="BR225" s="105">
        <f t="shared" si="50"/>
        <v>0</v>
      </c>
      <c r="BS225" s="248">
        <f t="shared" si="52"/>
        <v>0</v>
      </c>
    </row>
    <row r="226" spans="1:71" s="16" customFormat="1" ht="17" x14ac:dyDescent="0.15">
      <c r="A226" s="118" t="s">
        <v>367</v>
      </c>
      <c r="B226" s="162" t="s">
        <v>391</v>
      </c>
      <c r="C226" s="263" t="s">
        <v>569</v>
      </c>
      <c r="D226" s="264" t="s">
        <v>404</v>
      </c>
      <c r="E226" s="117" t="s">
        <v>83</v>
      </c>
      <c r="F226" s="120"/>
      <c r="G226" s="120">
        <f>68+60</f>
        <v>128</v>
      </c>
      <c r="H226" s="120"/>
      <c r="I226" s="121">
        <v>128</v>
      </c>
      <c r="J226" s="122">
        <v>0</v>
      </c>
      <c r="K226" s="120"/>
      <c r="L226" s="123"/>
      <c r="M226" s="123"/>
      <c r="N226" s="123"/>
      <c r="O226" s="123"/>
      <c r="P226" s="123"/>
      <c r="Q226" s="123"/>
      <c r="R226" s="123"/>
      <c r="S226" s="123"/>
      <c r="T226" s="123"/>
      <c r="U226" s="214">
        <v>68</v>
      </c>
      <c r="V226" s="123"/>
      <c r="W226" s="123"/>
      <c r="X226" s="123"/>
      <c r="Y226" s="123">
        <v>60</v>
      </c>
      <c r="Z226" s="123"/>
      <c r="AA226" s="123"/>
      <c r="AB226" s="123"/>
      <c r="AC226" s="163">
        <f t="shared" si="57"/>
        <v>128</v>
      </c>
      <c r="AD226" s="163">
        <f t="shared" si="57"/>
        <v>0</v>
      </c>
      <c r="AE226" s="124" t="s">
        <v>703</v>
      </c>
      <c r="AF226" s="124">
        <v>26</v>
      </c>
      <c r="AG226" s="124"/>
      <c r="AH226" s="124">
        <v>18</v>
      </c>
      <c r="AI226" s="124"/>
      <c r="AJ226" s="124">
        <v>12</v>
      </c>
      <c r="AK226" s="124"/>
      <c r="AL226" s="124"/>
      <c r="AM226" s="124"/>
      <c r="AN226" s="124">
        <v>6</v>
      </c>
      <c r="AO226" s="124"/>
      <c r="AP226" s="124"/>
      <c r="AQ226" s="124"/>
      <c r="AR226" s="124"/>
      <c r="AS226" s="124"/>
      <c r="AT226" s="124"/>
      <c r="AU226" s="124"/>
      <c r="AV226" s="124"/>
      <c r="AW226" s="124"/>
      <c r="AX226" s="124"/>
      <c r="AY226" s="124"/>
      <c r="AZ226" s="146"/>
      <c r="BA226" s="125"/>
      <c r="BB226" s="125"/>
      <c r="BC226" s="125"/>
      <c r="BD226" s="125">
        <v>2</v>
      </c>
      <c r="BE226" s="125"/>
      <c r="BF226" s="125"/>
      <c r="BG226" s="125"/>
      <c r="BH226" s="125"/>
      <c r="BI226" s="125"/>
      <c r="BJ226" s="125"/>
      <c r="BK226" s="125"/>
      <c r="BL226" s="125"/>
      <c r="BM226" s="125"/>
      <c r="BN226" s="125"/>
      <c r="BO226" s="125"/>
      <c r="BP226" s="244">
        <f t="shared" si="49"/>
        <v>64</v>
      </c>
      <c r="BQ226" s="248">
        <f t="shared" si="51"/>
        <v>128</v>
      </c>
      <c r="BR226" s="105">
        <f t="shared" si="50"/>
        <v>0</v>
      </c>
      <c r="BS226" s="248">
        <f t="shared" si="52"/>
        <v>0</v>
      </c>
    </row>
    <row r="227" spans="1:71" s="16" customFormat="1" ht="17" x14ac:dyDescent="0.15">
      <c r="A227" s="118" t="s">
        <v>368</v>
      </c>
      <c r="B227" s="162" t="s">
        <v>392</v>
      </c>
      <c r="C227" s="263" t="s">
        <v>570</v>
      </c>
      <c r="D227" s="264" t="s">
        <v>404</v>
      </c>
      <c r="E227" s="117" t="s">
        <v>83</v>
      </c>
      <c r="F227" s="120"/>
      <c r="G227" s="120">
        <f>68+60</f>
        <v>128</v>
      </c>
      <c r="H227" s="120"/>
      <c r="I227" s="121">
        <v>128</v>
      </c>
      <c r="J227" s="122">
        <v>0</v>
      </c>
      <c r="K227" s="120"/>
      <c r="L227" s="123"/>
      <c r="M227" s="123"/>
      <c r="N227" s="123"/>
      <c r="O227" s="123"/>
      <c r="P227" s="123"/>
      <c r="Q227" s="123"/>
      <c r="R227" s="123"/>
      <c r="S227" s="123"/>
      <c r="T227" s="123"/>
      <c r="U227" s="214">
        <v>68</v>
      </c>
      <c r="V227" s="123"/>
      <c r="W227" s="123"/>
      <c r="X227" s="123"/>
      <c r="Y227" s="123">
        <v>60</v>
      </c>
      <c r="Z227" s="123"/>
      <c r="AA227" s="123"/>
      <c r="AB227" s="123"/>
      <c r="AC227" s="163">
        <f t="shared" si="57"/>
        <v>128</v>
      </c>
      <c r="AD227" s="163">
        <f t="shared" si="57"/>
        <v>0</v>
      </c>
      <c r="AE227" s="124" t="s">
        <v>703</v>
      </c>
      <c r="AF227" s="124">
        <v>26</v>
      </c>
      <c r="AG227" s="124"/>
      <c r="AH227" s="124">
        <v>18</v>
      </c>
      <c r="AI227" s="124"/>
      <c r="AJ227" s="124">
        <v>12</v>
      </c>
      <c r="AK227" s="124"/>
      <c r="AL227" s="124"/>
      <c r="AM227" s="124"/>
      <c r="AN227" s="124">
        <v>6</v>
      </c>
      <c r="AO227" s="124"/>
      <c r="AP227" s="124"/>
      <c r="AQ227" s="124"/>
      <c r="AR227" s="124"/>
      <c r="AS227" s="124"/>
      <c r="AT227" s="124"/>
      <c r="AU227" s="124"/>
      <c r="AV227" s="124"/>
      <c r="AW227" s="124"/>
      <c r="AX227" s="124"/>
      <c r="AY227" s="124"/>
      <c r="AZ227" s="146"/>
      <c r="BA227" s="125"/>
      <c r="BB227" s="125"/>
      <c r="BC227" s="125"/>
      <c r="BD227" s="125">
        <v>2</v>
      </c>
      <c r="BE227" s="125"/>
      <c r="BF227" s="125"/>
      <c r="BG227" s="125"/>
      <c r="BH227" s="125"/>
      <c r="BI227" s="125"/>
      <c r="BJ227" s="125"/>
      <c r="BK227" s="125"/>
      <c r="BL227" s="125"/>
      <c r="BM227" s="125"/>
      <c r="BN227" s="125"/>
      <c r="BO227" s="125"/>
      <c r="BP227" s="244">
        <f t="shared" si="49"/>
        <v>64</v>
      </c>
      <c r="BQ227" s="248">
        <f t="shared" si="51"/>
        <v>128</v>
      </c>
      <c r="BR227" s="105">
        <f t="shared" si="50"/>
        <v>0</v>
      </c>
      <c r="BS227" s="248">
        <f t="shared" si="52"/>
        <v>0</v>
      </c>
    </row>
    <row r="228" spans="1:71" s="16" customFormat="1" ht="17" x14ac:dyDescent="0.15">
      <c r="A228" s="118" t="s">
        <v>369</v>
      </c>
      <c r="B228" s="162" t="s">
        <v>576</v>
      </c>
      <c r="C228" s="263" t="s">
        <v>570</v>
      </c>
      <c r="D228" s="264" t="s">
        <v>405</v>
      </c>
      <c r="E228" s="117" t="s">
        <v>83</v>
      </c>
      <c r="F228" s="120"/>
      <c r="G228" s="120">
        <f>2+336</f>
        <v>338</v>
      </c>
      <c r="H228" s="120"/>
      <c r="I228" s="121">
        <v>338</v>
      </c>
      <c r="J228" s="122">
        <v>0</v>
      </c>
      <c r="K228" s="120"/>
      <c r="L228" s="123"/>
      <c r="M228" s="123"/>
      <c r="N228" s="123"/>
      <c r="O228" s="123"/>
      <c r="P228" s="123"/>
      <c r="Q228" s="123"/>
      <c r="R228" s="123"/>
      <c r="S228" s="123"/>
      <c r="T228" s="123"/>
      <c r="U228" s="214">
        <v>2</v>
      </c>
      <c r="V228" s="123"/>
      <c r="W228" s="123"/>
      <c r="X228" s="123"/>
      <c r="Y228" s="123">
        <v>336</v>
      </c>
      <c r="Z228" s="123"/>
      <c r="AA228" s="123"/>
      <c r="AB228" s="123"/>
      <c r="AC228" s="163">
        <f t="shared" si="57"/>
        <v>338</v>
      </c>
      <c r="AD228" s="163">
        <f t="shared" si="57"/>
        <v>0</v>
      </c>
      <c r="AE228" s="124" t="s">
        <v>703</v>
      </c>
      <c r="AF228" s="124"/>
      <c r="AG228" s="124"/>
      <c r="AH228" s="124">
        <v>168</v>
      </c>
      <c r="AI228" s="124"/>
      <c r="AJ228" s="124"/>
      <c r="AK228" s="124"/>
      <c r="AL228" s="124"/>
      <c r="AM228" s="124"/>
      <c r="AN228" s="124"/>
      <c r="AO228" s="124"/>
      <c r="AP228" s="124"/>
      <c r="AQ228" s="124"/>
      <c r="AR228" s="124"/>
      <c r="AS228" s="124"/>
      <c r="AT228" s="124"/>
      <c r="AU228" s="124"/>
      <c r="AV228" s="124"/>
      <c r="AW228" s="124"/>
      <c r="AX228" s="124"/>
      <c r="AY228" s="124"/>
      <c r="AZ228" s="146"/>
      <c r="BA228" s="125"/>
      <c r="BB228" s="125"/>
      <c r="BC228" s="125"/>
      <c r="BD228" s="125">
        <v>1</v>
      </c>
      <c r="BE228" s="125"/>
      <c r="BF228" s="125"/>
      <c r="BG228" s="125"/>
      <c r="BH228" s="125"/>
      <c r="BI228" s="125"/>
      <c r="BJ228" s="125"/>
      <c r="BK228" s="125"/>
      <c r="BL228" s="125"/>
      <c r="BM228" s="125"/>
      <c r="BN228" s="125"/>
      <c r="BO228" s="125"/>
      <c r="BP228" s="244">
        <f t="shared" si="49"/>
        <v>169</v>
      </c>
      <c r="BQ228" s="248">
        <f t="shared" si="51"/>
        <v>338</v>
      </c>
      <c r="BR228" s="105">
        <f t="shared" si="50"/>
        <v>0</v>
      </c>
      <c r="BS228" s="248">
        <f t="shared" si="52"/>
        <v>0</v>
      </c>
    </row>
    <row r="229" spans="1:71" s="16" customFormat="1" ht="17" hidden="1" x14ac:dyDescent="0.15">
      <c r="A229" s="118" t="s">
        <v>370</v>
      </c>
      <c r="B229" s="162" t="s">
        <v>393</v>
      </c>
      <c r="C229" s="263" t="s">
        <v>571</v>
      </c>
      <c r="D229" s="264" t="s">
        <v>404</v>
      </c>
      <c r="E229" s="117" t="s">
        <v>83</v>
      </c>
      <c r="F229" s="120"/>
      <c r="G229" s="120">
        <v>2</v>
      </c>
      <c r="H229" s="120"/>
      <c r="I229" s="121">
        <v>2</v>
      </c>
      <c r="J229" s="122">
        <v>0</v>
      </c>
      <c r="K229" s="120"/>
      <c r="L229" s="123"/>
      <c r="M229" s="123"/>
      <c r="N229" s="123"/>
      <c r="O229" s="123"/>
      <c r="P229" s="123"/>
      <c r="Q229" s="123"/>
      <c r="R229" s="123"/>
      <c r="S229" s="123"/>
      <c r="T229" s="123"/>
      <c r="U229" s="214">
        <v>2</v>
      </c>
      <c r="V229" s="123"/>
      <c r="W229" s="123"/>
      <c r="X229" s="123"/>
      <c r="Y229" s="123"/>
      <c r="Z229" s="123"/>
      <c r="AA229" s="123"/>
      <c r="AB229" s="123"/>
      <c r="AC229" s="163">
        <f t="shared" si="57"/>
        <v>2</v>
      </c>
      <c r="AD229" s="163">
        <f t="shared" si="57"/>
        <v>0</v>
      </c>
      <c r="AE229" s="124" t="s">
        <v>365</v>
      </c>
      <c r="AF229" s="124">
        <v>1</v>
      </c>
      <c r="AG229" s="124"/>
      <c r="AH229" s="124"/>
      <c r="AI229" s="124"/>
      <c r="AJ229" s="124"/>
      <c r="AK229" s="124"/>
      <c r="AL229" s="124"/>
      <c r="AM229" s="124"/>
      <c r="AN229" s="124"/>
      <c r="AO229" s="124"/>
      <c r="AP229" s="124"/>
      <c r="AQ229" s="124"/>
      <c r="AR229" s="124"/>
      <c r="AS229" s="124"/>
      <c r="AT229" s="124"/>
      <c r="AU229" s="124"/>
      <c r="AV229" s="124"/>
      <c r="AW229" s="124"/>
      <c r="AX229" s="124"/>
      <c r="AY229" s="124"/>
      <c r="AZ229" s="146"/>
      <c r="BA229" s="125"/>
      <c r="BB229" s="125"/>
      <c r="BC229" s="125"/>
      <c r="BD229" s="125"/>
      <c r="BE229" s="125"/>
      <c r="BF229" s="125"/>
      <c r="BG229" s="125"/>
      <c r="BH229" s="125"/>
      <c r="BI229" s="125"/>
      <c r="BJ229" s="125"/>
      <c r="BK229" s="125"/>
      <c r="BL229" s="125"/>
      <c r="BM229" s="125"/>
      <c r="BN229" s="125"/>
      <c r="BO229" s="125"/>
      <c r="BP229" s="244">
        <f t="shared" si="49"/>
        <v>1</v>
      </c>
      <c r="BQ229" s="248">
        <f t="shared" si="51"/>
        <v>2</v>
      </c>
      <c r="BR229" s="105">
        <f t="shared" si="50"/>
        <v>0</v>
      </c>
      <c r="BS229" s="248">
        <f t="shared" si="52"/>
        <v>0</v>
      </c>
    </row>
    <row r="230" spans="1:71" s="16" customFormat="1" ht="17" hidden="1" x14ac:dyDescent="0.15">
      <c r="A230" s="118" t="s">
        <v>371</v>
      </c>
      <c r="B230" s="162" t="s">
        <v>577</v>
      </c>
      <c r="C230" s="263" t="s">
        <v>381</v>
      </c>
      <c r="D230" s="264" t="s">
        <v>405</v>
      </c>
      <c r="E230" s="117" t="s">
        <v>83</v>
      </c>
      <c r="F230" s="120"/>
      <c r="G230" s="120">
        <v>8</v>
      </c>
      <c r="H230" s="120"/>
      <c r="I230" s="121">
        <v>8</v>
      </c>
      <c r="J230" s="122">
        <v>0</v>
      </c>
      <c r="K230" s="120"/>
      <c r="L230" s="123"/>
      <c r="M230" s="123"/>
      <c r="N230" s="123"/>
      <c r="O230" s="123"/>
      <c r="P230" s="123"/>
      <c r="Q230" s="123"/>
      <c r="R230" s="123"/>
      <c r="S230" s="123"/>
      <c r="T230" s="123"/>
      <c r="U230" s="214">
        <v>8</v>
      </c>
      <c r="V230" s="123"/>
      <c r="W230" s="123"/>
      <c r="X230" s="123"/>
      <c r="Y230" s="123"/>
      <c r="Z230" s="123"/>
      <c r="AA230" s="123"/>
      <c r="AB230" s="123"/>
      <c r="AC230" s="163">
        <f t="shared" si="57"/>
        <v>8</v>
      </c>
      <c r="AD230" s="163">
        <f t="shared" si="57"/>
        <v>0</v>
      </c>
      <c r="AE230" s="124" t="s">
        <v>365</v>
      </c>
      <c r="AF230" s="124">
        <v>4</v>
      </c>
      <c r="AG230" s="124"/>
      <c r="AH230" s="124"/>
      <c r="AI230" s="124"/>
      <c r="AJ230" s="124"/>
      <c r="AK230" s="124"/>
      <c r="AL230" s="124"/>
      <c r="AM230" s="124"/>
      <c r="AN230" s="124"/>
      <c r="AO230" s="124"/>
      <c r="AP230" s="124"/>
      <c r="AQ230" s="124"/>
      <c r="AR230" s="124"/>
      <c r="AS230" s="124"/>
      <c r="AT230" s="124"/>
      <c r="AU230" s="124"/>
      <c r="AV230" s="124"/>
      <c r="AW230" s="124"/>
      <c r="AX230" s="124"/>
      <c r="AY230" s="124"/>
      <c r="AZ230" s="146"/>
      <c r="BA230" s="125"/>
      <c r="BB230" s="125"/>
      <c r="BC230" s="125"/>
      <c r="BD230" s="125"/>
      <c r="BE230" s="125"/>
      <c r="BF230" s="125"/>
      <c r="BG230" s="125"/>
      <c r="BH230" s="125"/>
      <c r="BI230" s="125"/>
      <c r="BJ230" s="125"/>
      <c r="BK230" s="125"/>
      <c r="BL230" s="125"/>
      <c r="BM230" s="125"/>
      <c r="BN230" s="125"/>
      <c r="BO230" s="125"/>
      <c r="BP230" s="244">
        <f t="shared" si="49"/>
        <v>4</v>
      </c>
      <c r="BQ230" s="248">
        <f t="shared" si="51"/>
        <v>8</v>
      </c>
      <c r="BR230" s="105">
        <f t="shared" si="50"/>
        <v>0</v>
      </c>
      <c r="BS230" s="248">
        <f t="shared" si="52"/>
        <v>0</v>
      </c>
    </row>
    <row r="231" spans="1:71" s="16" customFormat="1" ht="17" x14ac:dyDescent="0.15">
      <c r="A231" s="118" t="s">
        <v>372</v>
      </c>
      <c r="B231" s="162" t="s">
        <v>391</v>
      </c>
      <c r="C231" s="263" t="s">
        <v>572</v>
      </c>
      <c r="D231" s="264" t="s">
        <v>404</v>
      </c>
      <c r="E231" s="117" t="s">
        <v>83</v>
      </c>
      <c r="F231" s="120"/>
      <c r="G231" s="120">
        <f>14+4</f>
        <v>18</v>
      </c>
      <c r="H231" s="120"/>
      <c r="I231" s="121">
        <v>18</v>
      </c>
      <c r="J231" s="122">
        <v>0</v>
      </c>
      <c r="K231" s="120"/>
      <c r="L231" s="123"/>
      <c r="M231" s="123"/>
      <c r="N231" s="123"/>
      <c r="O231" s="123"/>
      <c r="P231" s="123"/>
      <c r="Q231" s="123"/>
      <c r="R231" s="123"/>
      <c r="S231" s="123"/>
      <c r="T231" s="123"/>
      <c r="U231" s="214">
        <v>14</v>
      </c>
      <c r="V231" s="123"/>
      <c r="W231" s="123"/>
      <c r="X231" s="123"/>
      <c r="Y231" s="123">
        <v>4</v>
      </c>
      <c r="Z231" s="123"/>
      <c r="AA231" s="123"/>
      <c r="AB231" s="123"/>
      <c r="AC231" s="163">
        <f t="shared" si="57"/>
        <v>18</v>
      </c>
      <c r="AD231" s="163">
        <f t="shared" si="57"/>
        <v>0</v>
      </c>
      <c r="AE231" s="124" t="s">
        <v>703</v>
      </c>
      <c r="AF231" s="124">
        <v>1</v>
      </c>
      <c r="AG231" s="124"/>
      <c r="AH231" s="124">
        <v>2</v>
      </c>
      <c r="AI231" s="124"/>
      <c r="AJ231" s="124"/>
      <c r="AK231" s="124"/>
      <c r="AL231" s="124"/>
      <c r="AM231" s="124"/>
      <c r="AN231" s="124"/>
      <c r="AO231" s="124"/>
      <c r="AP231" s="124"/>
      <c r="AQ231" s="124"/>
      <c r="AR231" s="124"/>
      <c r="AS231" s="124"/>
      <c r="AT231" s="124"/>
      <c r="AU231" s="124"/>
      <c r="AV231" s="124"/>
      <c r="AW231" s="124"/>
      <c r="AX231" s="124"/>
      <c r="AY231" s="124"/>
      <c r="AZ231" s="146"/>
      <c r="BA231" s="125"/>
      <c r="BB231" s="125"/>
      <c r="BC231" s="125"/>
      <c r="BD231" s="125">
        <v>6</v>
      </c>
      <c r="BE231" s="125"/>
      <c r="BF231" s="125"/>
      <c r="BG231" s="125"/>
      <c r="BH231" s="125"/>
      <c r="BI231" s="125"/>
      <c r="BJ231" s="125"/>
      <c r="BK231" s="125"/>
      <c r="BL231" s="125"/>
      <c r="BM231" s="125"/>
      <c r="BN231" s="125"/>
      <c r="BO231" s="125"/>
      <c r="BP231" s="244">
        <f t="shared" si="49"/>
        <v>9</v>
      </c>
      <c r="BQ231" s="248">
        <f t="shared" si="51"/>
        <v>18</v>
      </c>
      <c r="BR231" s="105">
        <f t="shared" si="50"/>
        <v>0</v>
      </c>
      <c r="BS231" s="248">
        <f t="shared" si="52"/>
        <v>0</v>
      </c>
    </row>
    <row r="232" spans="1:71" s="16" customFormat="1" ht="17" x14ac:dyDescent="0.15">
      <c r="A232" s="118" t="s">
        <v>373</v>
      </c>
      <c r="B232" s="162" t="s">
        <v>392</v>
      </c>
      <c r="C232" s="263" t="s">
        <v>573</v>
      </c>
      <c r="D232" s="264" t="s">
        <v>404</v>
      </c>
      <c r="E232" s="117" t="s">
        <v>83</v>
      </c>
      <c r="F232" s="120"/>
      <c r="G232" s="120">
        <f>14+4</f>
        <v>18</v>
      </c>
      <c r="H232" s="120"/>
      <c r="I232" s="121">
        <v>18</v>
      </c>
      <c r="J232" s="122">
        <v>0</v>
      </c>
      <c r="K232" s="120"/>
      <c r="L232" s="123"/>
      <c r="M232" s="123"/>
      <c r="N232" s="123"/>
      <c r="O232" s="123"/>
      <c r="P232" s="123"/>
      <c r="Q232" s="123"/>
      <c r="R232" s="123"/>
      <c r="S232" s="123"/>
      <c r="T232" s="123"/>
      <c r="U232" s="214">
        <v>14</v>
      </c>
      <c r="V232" s="123"/>
      <c r="W232" s="123"/>
      <c r="X232" s="123"/>
      <c r="Y232" s="123">
        <v>4</v>
      </c>
      <c r="Z232" s="123"/>
      <c r="AA232" s="123"/>
      <c r="AB232" s="123"/>
      <c r="AC232" s="163">
        <f t="shared" si="57"/>
        <v>18</v>
      </c>
      <c r="AD232" s="163">
        <f t="shared" si="57"/>
        <v>0</v>
      </c>
      <c r="AE232" s="124" t="s">
        <v>703</v>
      </c>
      <c r="AF232" s="124">
        <v>1</v>
      </c>
      <c r="AG232" s="124"/>
      <c r="AH232" s="124">
        <v>2</v>
      </c>
      <c r="AI232" s="124"/>
      <c r="AJ232" s="124"/>
      <c r="AK232" s="124"/>
      <c r="AL232" s="124"/>
      <c r="AM232" s="124"/>
      <c r="AN232" s="124"/>
      <c r="AO232" s="124"/>
      <c r="AP232" s="124"/>
      <c r="AQ232" s="124"/>
      <c r="AR232" s="124"/>
      <c r="AS232" s="124"/>
      <c r="AT232" s="124"/>
      <c r="AU232" s="124"/>
      <c r="AV232" s="124"/>
      <c r="AW232" s="124"/>
      <c r="AX232" s="124"/>
      <c r="AY232" s="124"/>
      <c r="AZ232" s="146"/>
      <c r="BA232" s="125"/>
      <c r="BB232" s="125"/>
      <c r="BC232" s="125"/>
      <c r="BD232" s="125">
        <v>6</v>
      </c>
      <c r="BE232" s="125"/>
      <c r="BF232" s="125"/>
      <c r="BG232" s="125"/>
      <c r="BH232" s="125"/>
      <c r="BI232" s="125"/>
      <c r="BJ232" s="125"/>
      <c r="BK232" s="125"/>
      <c r="BL232" s="125"/>
      <c r="BM232" s="125"/>
      <c r="BN232" s="125"/>
      <c r="BO232" s="125"/>
      <c r="BP232" s="244">
        <f t="shared" si="49"/>
        <v>9</v>
      </c>
      <c r="BQ232" s="248">
        <f t="shared" si="51"/>
        <v>18</v>
      </c>
      <c r="BR232" s="105">
        <f t="shared" si="50"/>
        <v>0</v>
      </c>
      <c r="BS232" s="248">
        <f t="shared" si="52"/>
        <v>0</v>
      </c>
    </row>
    <row r="233" spans="1:71" s="16" customFormat="1" ht="17" hidden="1" x14ac:dyDescent="0.15">
      <c r="A233" s="118" t="s">
        <v>374</v>
      </c>
      <c r="B233" s="162" t="s">
        <v>391</v>
      </c>
      <c r="C233" s="263" t="s">
        <v>574</v>
      </c>
      <c r="D233" s="264" t="s">
        <v>404</v>
      </c>
      <c r="E233" s="117" t="s">
        <v>83</v>
      </c>
      <c r="F233" s="120"/>
      <c r="G233" s="120">
        <v>14</v>
      </c>
      <c r="H233" s="120"/>
      <c r="I233" s="121">
        <v>14</v>
      </c>
      <c r="J233" s="122">
        <v>0</v>
      </c>
      <c r="K233" s="120"/>
      <c r="L233" s="123"/>
      <c r="M233" s="123"/>
      <c r="N233" s="123"/>
      <c r="O233" s="123"/>
      <c r="P233" s="123"/>
      <c r="Q233" s="123"/>
      <c r="R233" s="123"/>
      <c r="S233" s="123"/>
      <c r="T233" s="123"/>
      <c r="U233" s="214">
        <v>14</v>
      </c>
      <c r="V233" s="123"/>
      <c r="W233" s="123"/>
      <c r="X233" s="123"/>
      <c r="Y233" s="123"/>
      <c r="Z233" s="123"/>
      <c r="AA233" s="123"/>
      <c r="AB233" s="123"/>
      <c r="AC233" s="163">
        <f t="shared" si="57"/>
        <v>14</v>
      </c>
      <c r="AD233" s="163">
        <f t="shared" si="57"/>
        <v>0</v>
      </c>
      <c r="AE233" s="124" t="s">
        <v>365</v>
      </c>
      <c r="AF233" s="124">
        <v>3</v>
      </c>
      <c r="AG233" s="124"/>
      <c r="AH233" s="124"/>
      <c r="AI233" s="124"/>
      <c r="AJ233" s="124"/>
      <c r="AK233" s="124"/>
      <c r="AL233" s="124"/>
      <c r="AM233" s="124"/>
      <c r="AN233" s="124"/>
      <c r="AO233" s="124"/>
      <c r="AP233" s="124"/>
      <c r="AQ233" s="124"/>
      <c r="AR233" s="124"/>
      <c r="AS233" s="124"/>
      <c r="AT233" s="124"/>
      <c r="AU233" s="124"/>
      <c r="AV233" s="124"/>
      <c r="AW233" s="124"/>
      <c r="AX233" s="124"/>
      <c r="AY233" s="124"/>
      <c r="AZ233" s="146"/>
      <c r="BA233" s="125"/>
      <c r="BB233" s="125"/>
      <c r="BC233" s="125"/>
      <c r="BD233" s="125">
        <v>4</v>
      </c>
      <c r="BE233" s="125"/>
      <c r="BF233" s="125"/>
      <c r="BG233" s="125"/>
      <c r="BH233" s="125"/>
      <c r="BI233" s="125"/>
      <c r="BJ233" s="125"/>
      <c r="BK233" s="125"/>
      <c r="BL233" s="125"/>
      <c r="BM233" s="125"/>
      <c r="BN233" s="125"/>
      <c r="BO233" s="125"/>
      <c r="BP233" s="244">
        <f t="shared" si="49"/>
        <v>7</v>
      </c>
      <c r="BQ233" s="248">
        <f t="shared" si="51"/>
        <v>14</v>
      </c>
      <c r="BR233" s="105">
        <f t="shared" si="50"/>
        <v>0</v>
      </c>
      <c r="BS233" s="248">
        <f t="shared" si="52"/>
        <v>0</v>
      </c>
    </row>
    <row r="234" spans="1:71" s="16" customFormat="1" ht="17" hidden="1" x14ac:dyDescent="0.15">
      <c r="A234" s="118" t="s">
        <v>375</v>
      </c>
      <c r="B234" s="162" t="s">
        <v>392</v>
      </c>
      <c r="C234" s="263" t="s">
        <v>575</v>
      </c>
      <c r="D234" s="264" t="s">
        <v>404</v>
      </c>
      <c r="E234" s="117" t="s">
        <v>83</v>
      </c>
      <c r="F234" s="120"/>
      <c r="G234" s="120">
        <v>14</v>
      </c>
      <c r="H234" s="120"/>
      <c r="I234" s="121">
        <v>14</v>
      </c>
      <c r="J234" s="122">
        <v>0</v>
      </c>
      <c r="K234" s="120"/>
      <c r="L234" s="123"/>
      <c r="M234" s="123"/>
      <c r="N234" s="123"/>
      <c r="O234" s="123"/>
      <c r="P234" s="123"/>
      <c r="Q234" s="123"/>
      <c r="R234" s="123"/>
      <c r="S234" s="123"/>
      <c r="T234" s="123"/>
      <c r="U234" s="214">
        <v>14</v>
      </c>
      <c r="V234" s="123"/>
      <c r="W234" s="123"/>
      <c r="X234" s="123"/>
      <c r="Y234" s="123"/>
      <c r="Z234" s="123"/>
      <c r="AA234" s="123"/>
      <c r="AB234" s="123"/>
      <c r="AC234" s="163">
        <f t="shared" si="57"/>
        <v>14</v>
      </c>
      <c r="AD234" s="163">
        <f t="shared" si="57"/>
        <v>0</v>
      </c>
      <c r="AE234" s="124" t="s">
        <v>365</v>
      </c>
      <c r="AF234" s="124">
        <v>3</v>
      </c>
      <c r="AG234" s="124"/>
      <c r="AH234" s="124"/>
      <c r="AI234" s="124"/>
      <c r="AJ234" s="124"/>
      <c r="AK234" s="124"/>
      <c r="AL234" s="124"/>
      <c r="AM234" s="124"/>
      <c r="AN234" s="124"/>
      <c r="AO234" s="124"/>
      <c r="AP234" s="124"/>
      <c r="AQ234" s="124"/>
      <c r="AR234" s="124"/>
      <c r="AS234" s="124"/>
      <c r="AT234" s="124"/>
      <c r="AU234" s="124"/>
      <c r="AV234" s="124"/>
      <c r="AW234" s="124"/>
      <c r="AX234" s="124"/>
      <c r="AY234" s="124"/>
      <c r="AZ234" s="146"/>
      <c r="BA234" s="125"/>
      <c r="BB234" s="125"/>
      <c r="BC234" s="125"/>
      <c r="BD234" s="125">
        <v>4</v>
      </c>
      <c r="BE234" s="125"/>
      <c r="BF234" s="125"/>
      <c r="BG234" s="125"/>
      <c r="BH234" s="125"/>
      <c r="BI234" s="125"/>
      <c r="BJ234" s="125"/>
      <c r="BK234" s="125"/>
      <c r="BL234" s="125"/>
      <c r="BM234" s="125"/>
      <c r="BN234" s="125"/>
      <c r="BO234" s="125"/>
      <c r="BP234" s="244">
        <f t="shared" si="49"/>
        <v>7</v>
      </c>
      <c r="BQ234" s="248">
        <f t="shared" si="51"/>
        <v>14</v>
      </c>
      <c r="BR234" s="105">
        <f t="shared" si="50"/>
        <v>0</v>
      </c>
      <c r="BS234" s="248">
        <f t="shared" si="52"/>
        <v>0</v>
      </c>
    </row>
    <row r="235" spans="1:71" s="16" customFormat="1" ht="17" x14ac:dyDescent="0.15">
      <c r="A235" s="118" t="s">
        <v>376</v>
      </c>
      <c r="B235" s="162" t="s">
        <v>394</v>
      </c>
      <c r="C235" s="263" t="s">
        <v>382</v>
      </c>
      <c r="D235" s="264" t="s">
        <v>404</v>
      </c>
      <c r="E235" s="117" t="s">
        <v>83</v>
      </c>
      <c r="F235" s="120"/>
      <c r="G235" s="120">
        <f>32+20</f>
        <v>52</v>
      </c>
      <c r="H235" s="120"/>
      <c r="I235" s="121">
        <v>52</v>
      </c>
      <c r="J235" s="122">
        <v>0</v>
      </c>
      <c r="K235" s="120"/>
      <c r="L235" s="123"/>
      <c r="M235" s="123"/>
      <c r="N235" s="123"/>
      <c r="O235" s="123"/>
      <c r="P235" s="123"/>
      <c r="Q235" s="123"/>
      <c r="R235" s="123"/>
      <c r="S235" s="123"/>
      <c r="T235" s="123"/>
      <c r="U235" s="214">
        <v>32</v>
      </c>
      <c r="V235" s="123"/>
      <c r="W235" s="123"/>
      <c r="X235" s="123"/>
      <c r="Y235" s="123">
        <v>20</v>
      </c>
      <c r="Z235" s="123"/>
      <c r="AA235" s="123"/>
      <c r="AB235" s="123"/>
      <c r="AC235" s="163">
        <f t="shared" si="57"/>
        <v>52</v>
      </c>
      <c r="AD235" s="163">
        <f t="shared" si="57"/>
        <v>0</v>
      </c>
      <c r="AE235" s="124" t="s">
        <v>703</v>
      </c>
      <c r="AF235" s="124">
        <v>6</v>
      </c>
      <c r="AG235" s="124"/>
      <c r="AH235" s="124">
        <v>4</v>
      </c>
      <c r="AI235" s="124"/>
      <c r="AJ235" s="124">
        <v>6</v>
      </c>
      <c r="AK235" s="124"/>
      <c r="AL235" s="124"/>
      <c r="AM235" s="124"/>
      <c r="AN235" s="124">
        <v>6</v>
      </c>
      <c r="AO235" s="124"/>
      <c r="AP235" s="124"/>
      <c r="AQ235" s="124"/>
      <c r="AR235" s="124"/>
      <c r="AS235" s="124"/>
      <c r="AT235" s="124"/>
      <c r="AU235" s="124"/>
      <c r="AV235" s="124"/>
      <c r="AW235" s="124"/>
      <c r="AX235" s="124"/>
      <c r="AY235" s="124"/>
      <c r="AZ235" s="146"/>
      <c r="BA235" s="125"/>
      <c r="BB235" s="125"/>
      <c r="BC235" s="125"/>
      <c r="BD235" s="125">
        <v>4</v>
      </c>
      <c r="BE235" s="125"/>
      <c r="BF235" s="125"/>
      <c r="BG235" s="125"/>
      <c r="BH235" s="125"/>
      <c r="BI235" s="125"/>
      <c r="BJ235" s="125"/>
      <c r="BK235" s="125"/>
      <c r="BL235" s="125"/>
      <c r="BM235" s="125"/>
      <c r="BN235" s="125"/>
      <c r="BO235" s="125"/>
      <c r="BP235" s="244">
        <f t="shared" si="49"/>
        <v>26</v>
      </c>
      <c r="BQ235" s="248">
        <f t="shared" si="51"/>
        <v>52</v>
      </c>
      <c r="BR235" s="105">
        <f t="shared" si="50"/>
        <v>0</v>
      </c>
      <c r="BS235" s="248">
        <f t="shared" si="52"/>
        <v>0</v>
      </c>
    </row>
    <row r="236" spans="1:71" s="16" customFormat="1" ht="17" x14ac:dyDescent="0.15">
      <c r="A236" s="118" t="s">
        <v>377</v>
      </c>
      <c r="B236" s="162" t="s">
        <v>402</v>
      </c>
      <c r="C236" s="263" t="s">
        <v>399</v>
      </c>
      <c r="D236" s="264" t="s">
        <v>400</v>
      </c>
      <c r="E236" s="117" t="s">
        <v>83</v>
      </c>
      <c r="F236" s="120"/>
      <c r="G236" s="120">
        <v>392</v>
      </c>
      <c r="H236" s="120"/>
      <c r="I236" s="121">
        <v>296</v>
      </c>
      <c r="J236" s="122">
        <v>0</v>
      </c>
      <c r="K236" s="120"/>
      <c r="L236" s="123"/>
      <c r="M236" s="123"/>
      <c r="N236" s="123"/>
      <c r="O236" s="123"/>
      <c r="P236" s="123"/>
      <c r="Q236" s="123"/>
      <c r="R236" s="123"/>
      <c r="S236" s="123"/>
      <c r="T236" s="123"/>
      <c r="U236" s="214">
        <v>160</v>
      </c>
      <c r="V236" s="123"/>
      <c r="W236" s="123"/>
      <c r="X236" s="123"/>
      <c r="Y236" s="123">
        <v>136</v>
      </c>
      <c r="Z236" s="123"/>
      <c r="AA236" s="123">
        <v>96</v>
      </c>
      <c r="AB236" s="123"/>
      <c r="AC236" s="163">
        <f t="shared" si="57"/>
        <v>392</v>
      </c>
      <c r="AD236" s="163">
        <f t="shared" si="57"/>
        <v>0</v>
      </c>
      <c r="AE236" s="124" t="s">
        <v>725</v>
      </c>
      <c r="AF236" s="124">
        <v>16</v>
      </c>
      <c r="AG236" s="124"/>
      <c r="AH236" s="124">
        <v>52</v>
      </c>
      <c r="AI236" s="124"/>
      <c r="AJ236" s="124">
        <v>16</v>
      </c>
      <c r="AK236" s="124"/>
      <c r="AL236" s="124"/>
      <c r="AM236" s="124"/>
      <c r="AN236" s="124">
        <v>16</v>
      </c>
      <c r="AO236" s="124"/>
      <c r="AP236" s="124"/>
      <c r="AQ236" s="124"/>
      <c r="AR236" s="124">
        <v>16</v>
      </c>
      <c r="AS236" s="124"/>
      <c r="AT236" s="124">
        <v>16</v>
      </c>
      <c r="AU236" s="124"/>
      <c r="AV236" s="124">
        <v>16</v>
      </c>
      <c r="AW236" s="124"/>
      <c r="AX236" s="124">
        <v>16</v>
      </c>
      <c r="AY236" s="124"/>
      <c r="AZ236" s="146">
        <v>16</v>
      </c>
      <c r="BA236" s="125"/>
      <c r="BB236" s="125">
        <v>16</v>
      </c>
      <c r="BC236" s="125"/>
      <c r="BD236" s="125"/>
      <c r="BE236" s="125"/>
      <c r="BF236" s="125"/>
      <c r="BG236" s="125"/>
      <c r="BH236" s="125"/>
      <c r="BI236" s="125"/>
      <c r="BJ236" s="125"/>
      <c r="BK236" s="125"/>
      <c r="BL236" s="125"/>
      <c r="BM236" s="125"/>
      <c r="BN236" s="125"/>
      <c r="BO236" s="125"/>
      <c r="BP236" s="244">
        <f t="shared" si="49"/>
        <v>196</v>
      </c>
      <c r="BQ236" s="248">
        <f t="shared" si="51"/>
        <v>392</v>
      </c>
      <c r="BR236" s="105">
        <f t="shared" si="50"/>
        <v>0</v>
      </c>
      <c r="BS236" s="248">
        <f t="shared" si="52"/>
        <v>0</v>
      </c>
    </row>
    <row r="237" spans="1:71" s="16" customFormat="1" ht="17" x14ac:dyDescent="0.15">
      <c r="A237" s="118" t="s">
        <v>378</v>
      </c>
      <c r="B237" s="162" t="s">
        <v>403</v>
      </c>
      <c r="C237" s="263" t="s">
        <v>401</v>
      </c>
      <c r="D237" s="264" t="s">
        <v>400</v>
      </c>
      <c r="E237" s="117" t="s">
        <v>83</v>
      </c>
      <c r="F237" s="120"/>
      <c r="G237" s="120">
        <v>392</v>
      </c>
      <c r="H237" s="120"/>
      <c r="I237" s="121">
        <v>296</v>
      </c>
      <c r="J237" s="122">
        <v>0</v>
      </c>
      <c r="K237" s="120"/>
      <c r="L237" s="123"/>
      <c r="M237" s="123"/>
      <c r="N237" s="123"/>
      <c r="O237" s="123"/>
      <c r="P237" s="123"/>
      <c r="Q237" s="123"/>
      <c r="R237" s="123"/>
      <c r="S237" s="123"/>
      <c r="T237" s="123"/>
      <c r="U237" s="214">
        <v>160</v>
      </c>
      <c r="V237" s="123"/>
      <c r="W237" s="123"/>
      <c r="X237" s="123"/>
      <c r="Y237" s="123">
        <v>136</v>
      </c>
      <c r="Z237" s="123"/>
      <c r="AA237" s="123">
        <v>96</v>
      </c>
      <c r="AB237" s="123"/>
      <c r="AC237" s="163">
        <f t="shared" si="57"/>
        <v>392</v>
      </c>
      <c r="AD237" s="163">
        <f t="shared" si="57"/>
        <v>0</v>
      </c>
      <c r="AE237" s="124" t="s">
        <v>725</v>
      </c>
      <c r="AF237" s="124">
        <v>16</v>
      </c>
      <c r="AG237" s="124"/>
      <c r="AH237" s="124">
        <v>52</v>
      </c>
      <c r="AI237" s="124"/>
      <c r="AJ237" s="124">
        <v>16</v>
      </c>
      <c r="AK237" s="124"/>
      <c r="AL237" s="124"/>
      <c r="AM237" s="124"/>
      <c r="AN237" s="124">
        <v>16</v>
      </c>
      <c r="AO237" s="124"/>
      <c r="AP237" s="124"/>
      <c r="AQ237" s="124"/>
      <c r="AR237" s="124">
        <v>16</v>
      </c>
      <c r="AS237" s="124"/>
      <c r="AT237" s="124">
        <v>16</v>
      </c>
      <c r="AU237" s="124"/>
      <c r="AV237" s="124">
        <v>16</v>
      </c>
      <c r="AW237" s="124"/>
      <c r="AX237" s="124">
        <v>16</v>
      </c>
      <c r="AY237" s="124"/>
      <c r="AZ237" s="146">
        <v>16</v>
      </c>
      <c r="BA237" s="125"/>
      <c r="BB237" s="125">
        <v>16</v>
      </c>
      <c r="BC237" s="125"/>
      <c r="BD237" s="125"/>
      <c r="BE237" s="125"/>
      <c r="BF237" s="125"/>
      <c r="BG237" s="125"/>
      <c r="BH237" s="125"/>
      <c r="BI237" s="125"/>
      <c r="BJ237" s="125"/>
      <c r="BK237" s="125"/>
      <c r="BL237" s="125"/>
      <c r="BM237" s="125"/>
      <c r="BN237" s="125"/>
      <c r="BO237" s="125"/>
      <c r="BP237" s="244">
        <f t="shared" si="49"/>
        <v>196</v>
      </c>
      <c r="BQ237" s="248">
        <f t="shared" si="51"/>
        <v>392</v>
      </c>
      <c r="BR237" s="105">
        <f t="shared" si="50"/>
        <v>0</v>
      </c>
      <c r="BS237" s="248">
        <f t="shared" si="52"/>
        <v>0</v>
      </c>
    </row>
    <row r="238" spans="1:71" s="16" customFormat="1" ht="17" x14ac:dyDescent="0.15">
      <c r="A238" s="118" t="s">
        <v>379</v>
      </c>
      <c r="B238" s="162" t="s">
        <v>408</v>
      </c>
      <c r="C238" s="263" t="s">
        <v>406</v>
      </c>
      <c r="D238" s="264" t="s">
        <v>62</v>
      </c>
      <c r="E238" s="117" t="s">
        <v>83</v>
      </c>
      <c r="F238" s="120"/>
      <c r="G238" s="120">
        <v>48</v>
      </c>
      <c r="H238" s="120"/>
      <c r="I238" s="121">
        <v>36</v>
      </c>
      <c r="J238" s="122">
        <v>0</v>
      </c>
      <c r="K238" s="120"/>
      <c r="L238" s="123"/>
      <c r="M238" s="123"/>
      <c r="N238" s="123"/>
      <c r="O238" s="123"/>
      <c r="P238" s="123"/>
      <c r="Q238" s="123"/>
      <c r="R238" s="123"/>
      <c r="S238" s="123"/>
      <c r="T238" s="123"/>
      <c r="U238" s="214">
        <v>20</v>
      </c>
      <c r="V238" s="123"/>
      <c r="W238" s="123"/>
      <c r="X238" s="123"/>
      <c r="Y238" s="123">
        <v>16</v>
      </c>
      <c r="Z238" s="123"/>
      <c r="AA238" s="123">
        <v>12</v>
      </c>
      <c r="AB238" s="123"/>
      <c r="AC238" s="163">
        <f t="shared" si="57"/>
        <v>48</v>
      </c>
      <c r="AD238" s="163">
        <f t="shared" si="57"/>
        <v>0</v>
      </c>
      <c r="AE238" s="124" t="s">
        <v>725</v>
      </c>
      <c r="AF238" s="124">
        <v>2</v>
      </c>
      <c r="AG238" s="124"/>
      <c r="AH238" s="124">
        <v>6</v>
      </c>
      <c r="AI238" s="124"/>
      <c r="AJ238" s="124">
        <v>2</v>
      </c>
      <c r="AK238" s="124"/>
      <c r="AL238" s="124"/>
      <c r="AM238" s="124"/>
      <c r="AN238" s="124">
        <v>2</v>
      </c>
      <c r="AO238" s="124"/>
      <c r="AP238" s="124"/>
      <c r="AQ238" s="124"/>
      <c r="AR238" s="124">
        <v>2</v>
      </c>
      <c r="AS238" s="124"/>
      <c r="AT238" s="124">
        <v>2</v>
      </c>
      <c r="AU238" s="124"/>
      <c r="AV238" s="124">
        <v>2</v>
      </c>
      <c r="AW238" s="124"/>
      <c r="AX238" s="124">
        <v>2</v>
      </c>
      <c r="AY238" s="124"/>
      <c r="AZ238" s="146">
        <v>2</v>
      </c>
      <c r="BA238" s="125"/>
      <c r="BB238" s="125">
        <v>2</v>
      </c>
      <c r="BC238" s="125"/>
      <c r="BD238" s="125"/>
      <c r="BE238" s="125"/>
      <c r="BF238" s="125"/>
      <c r="BG238" s="125"/>
      <c r="BH238" s="125"/>
      <c r="BI238" s="125"/>
      <c r="BJ238" s="125"/>
      <c r="BK238" s="125"/>
      <c r="BL238" s="125"/>
      <c r="BM238" s="125"/>
      <c r="BN238" s="125"/>
      <c r="BO238" s="125"/>
      <c r="BP238" s="244">
        <f t="shared" si="49"/>
        <v>24</v>
      </c>
      <c r="BQ238" s="248">
        <f t="shared" si="51"/>
        <v>48</v>
      </c>
      <c r="BR238" s="105">
        <f t="shared" si="50"/>
        <v>0</v>
      </c>
      <c r="BS238" s="248">
        <f t="shared" si="52"/>
        <v>0</v>
      </c>
    </row>
    <row r="239" spans="1:71" s="16" customFormat="1" ht="51" x14ac:dyDescent="0.15">
      <c r="A239" s="118" t="s">
        <v>380</v>
      </c>
      <c r="B239" s="162" t="s">
        <v>408</v>
      </c>
      <c r="C239" s="265" t="s">
        <v>407</v>
      </c>
      <c r="D239" s="264" t="s">
        <v>62</v>
      </c>
      <c r="E239" s="117" t="s">
        <v>83</v>
      </c>
      <c r="F239" s="120"/>
      <c r="G239" s="120">
        <v>392</v>
      </c>
      <c r="H239" s="120"/>
      <c r="I239" s="121">
        <v>296</v>
      </c>
      <c r="J239" s="122">
        <v>0</v>
      </c>
      <c r="K239" s="120"/>
      <c r="L239" s="123"/>
      <c r="M239" s="123"/>
      <c r="N239" s="123"/>
      <c r="O239" s="123"/>
      <c r="P239" s="123"/>
      <c r="Q239" s="123"/>
      <c r="R239" s="123"/>
      <c r="S239" s="123"/>
      <c r="T239" s="123"/>
      <c r="U239" s="214">
        <v>160</v>
      </c>
      <c r="V239" s="123"/>
      <c r="W239" s="123"/>
      <c r="X239" s="123"/>
      <c r="Y239" s="123">
        <v>136</v>
      </c>
      <c r="Z239" s="123"/>
      <c r="AA239" s="123">
        <v>96</v>
      </c>
      <c r="AB239" s="123"/>
      <c r="AC239" s="163">
        <f t="shared" si="57"/>
        <v>392</v>
      </c>
      <c r="AD239" s="163">
        <f t="shared" si="57"/>
        <v>0</v>
      </c>
      <c r="AE239" s="124" t="s">
        <v>725</v>
      </c>
      <c r="AF239" s="124">
        <v>16</v>
      </c>
      <c r="AG239" s="124"/>
      <c r="AH239" s="124">
        <v>52</v>
      </c>
      <c r="AI239" s="124"/>
      <c r="AJ239" s="124">
        <v>16</v>
      </c>
      <c r="AK239" s="124"/>
      <c r="AL239" s="124"/>
      <c r="AM239" s="124"/>
      <c r="AN239" s="124">
        <v>16</v>
      </c>
      <c r="AO239" s="124"/>
      <c r="AP239" s="124"/>
      <c r="AQ239" s="124"/>
      <c r="AR239" s="124">
        <v>16</v>
      </c>
      <c r="AS239" s="124"/>
      <c r="AT239" s="124">
        <v>16</v>
      </c>
      <c r="AU239" s="124"/>
      <c r="AV239" s="124">
        <v>16</v>
      </c>
      <c r="AW239" s="124"/>
      <c r="AX239" s="124">
        <v>16</v>
      </c>
      <c r="AY239" s="124"/>
      <c r="AZ239" s="146">
        <v>16</v>
      </c>
      <c r="BA239" s="125"/>
      <c r="BB239" s="125">
        <v>16</v>
      </c>
      <c r="BC239" s="125"/>
      <c r="BD239" s="125"/>
      <c r="BE239" s="125"/>
      <c r="BF239" s="125"/>
      <c r="BG239" s="125"/>
      <c r="BH239" s="125"/>
      <c r="BI239" s="125"/>
      <c r="BJ239" s="125"/>
      <c r="BK239" s="125"/>
      <c r="BL239" s="125"/>
      <c r="BM239" s="125"/>
      <c r="BN239" s="125"/>
      <c r="BO239" s="125"/>
      <c r="BP239" s="244">
        <f t="shared" si="49"/>
        <v>196</v>
      </c>
      <c r="BQ239" s="248">
        <f t="shared" si="51"/>
        <v>392</v>
      </c>
      <c r="BR239" s="105">
        <f t="shared" si="50"/>
        <v>0</v>
      </c>
      <c r="BS239" s="248">
        <f t="shared" si="52"/>
        <v>0</v>
      </c>
    </row>
    <row r="240" spans="1:71" s="16" customFormat="1" ht="17" x14ac:dyDescent="0.15">
      <c r="A240" s="118" t="s">
        <v>387</v>
      </c>
      <c r="B240" s="208" t="s">
        <v>395</v>
      </c>
      <c r="C240" s="263" t="s">
        <v>578</v>
      </c>
      <c r="D240" s="264" t="s">
        <v>383</v>
      </c>
      <c r="E240" s="117" t="s">
        <v>83</v>
      </c>
      <c r="F240" s="120"/>
      <c r="G240" s="120">
        <v>392</v>
      </c>
      <c r="H240" s="120"/>
      <c r="I240" s="121">
        <v>296</v>
      </c>
      <c r="J240" s="122">
        <v>0</v>
      </c>
      <c r="K240" s="120"/>
      <c r="L240" s="123"/>
      <c r="M240" s="123"/>
      <c r="N240" s="123"/>
      <c r="O240" s="123"/>
      <c r="P240" s="123"/>
      <c r="Q240" s="123"/>
      <c r="R240" s="123"/>
      <c r="S240" s="123"/>
      <c r="T240" s="123"/>
      <c r="U240" s="214">
        <v>160</v>
      </c>
      <c r="V240" s="123"/>
      <c r="W240" s="123"/>
      <c r="X240" s="123"/>
      <c r="Y240" s="123">
        <v>136</v>
      </c>
      <c r="Z240" s="123"/>
      <c r="AA240" s="123">
        <v>96</v>
      </c>
      <c r="AB240" s="123"/>
      <c r="AC240" s="163">
        <f t="shared" si="57"/>
        <v>392</v>
      </c>
      <c r="AD240" s="163">
        <f t="shared" si="57"/>
        <v>0</v>
      </c>
      <c r="AE240" s="124" t="s">
        <v>725</v>
      </c>
      <c r="AF240" s="124">
        <v>16</v>
      </c>
      <c r="AG240" s="124"/>
      <c r="AH240" s="124">
        <v>52</v>
      </c>
      <c r="AI240" s="124"/>
      <c r="AJ240" s="124">
        <v>16</v>
      </c>
      <c r="AK240" s="124"/>
      <c r="AL240" s="124"/>
      <c r="AM240" s="124"/>
      <c r="AN240" s="124">
        <v>16</v>
      </c>
      <c r="AO240" s="124"/>
      <c r="AP240" s="124"/>
      <c r="AQ240" s="124"/>
      <c r="AR240" s="124">
        <v>16</v>
      </c>
      <c r="AS240" s="124"/>
      <c r="AT240" s="124">
        <v>16</v>
      </c>
      <c r="AU240" s="124"/>
      <c r="AV240" s="124">
        <v>16</v>
      </c>
      <c r="AW240" s="124"/>
      <c r="AX240" s="124">
        <v>16</v>
      </c>
      <c r="AY240" s="124"/>
      <c r="AZ240" s="146">
        <v>16</v>
      </c>
      <c r="BA240" s="125"/>
      <c r="BB240" s="125">
        <v>16</v>
      </c>
      <c r="BC240" s="125"/>
      <c r="BD240" s="125"/>
      <c r="BE240" s="125"/>
      <c r="BF240" s="125"/>
      <c r="BG240" s="125"/>
      <c r="BH240" s="125"/>
      <c r="BI240" s="125"/>
      <c r="BJ240" s="125"/>
      <c r="BK240" s="125"/>
      <c r="BL240" s="125"/>
      <c r="BM240" s="125"/>
      <c r="BN240" s="125"/>
      <c r="BO240" s="125"/>
      <c r="BP240" s="244">
        <f t="shared" si="49"/>
        <v>196</v>
      </c>
      <c r="BQ240" s="248">
        <f t="shared" si="51"/>
        <v>392</v>
      </c>
      <c r="BR240" s="105">
        <f t="shared" si="50"/>
        <v>0</v>
      </c>
      <c r="BS240" s="248">
        <f t="shared" si="52"/>
        <v>0</v>
      </c>
    </row>
    <row r="241" spans="1:71" s="16" customFormat="1" ht="17" hidden="1" x14ac:dyDescent="0.15">
      <c r="A241" s="118" t="s">
        <v>388</v>
      </c>
      <c r="B241" s="208" t="s">
        <v>396</v>
      </c>
      <c r="C241" s="266" t="s">
        <v>384</v>
      </c>
      <c r="D241" s="264" t="s">
        <v>385</v>
      </c>
      <c r="E241" s="117" t="s">
        <v>83</v>
      </c>
      <c r="F241" s="120"/>
      <c r="G241" s="120">
        <v>2</v>
      </c>
      <c r="H241" s="120"/>
      <c r="I241" s="121">
        <v>2</v>
      </c>
      <c r="J241" s="122">
        <v>0</v>
      </c>
      <c r="K241" s="120"/>
      <c r="L241" s="123"/>
      <c r="M241" s="123"/>
      <c r="N241" s="123"/>
      <c r="O241" s="123"/>
      <c r="P241" s="123"/>
      <c r="Q241" s="123"/>
      <c r="R241" s="123"/>
      <c r="S241" s="123"/>
      <c r="T241" s="123"/>
      <c r="U241" s="214">
        <v>2</v>
      </c>
      <c r="V241" s="123"/>
      <c r="W241" s="123"/>
      <c r="X241" s="123"/>
      <c r="Y241" s="123"/>
      <c r="Z241" s="123"/>
      <c r="AA241" s="123"/>
      <c r="AB241" s="123"/>
      <c r="AC241" s="163">
        <f t="shared" si="57"/>
        <v>2</v>
      </c>
      <c r="AD241" s="163">
        <f t="shared" si="57"/>
        <v>0</v>
      </c>
      <c r="AE241" s="124" t="s">
        <v>365</v>
      </c>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46"/>
      <c r="BA241" s="125"/>
      <c r="BB241" s="125"/>
      <c r="BC241" s="125"/>
      <c r="BD241" s="125">
        <v>1</v>
      </c>
      <c r="BE241" s="125"/>
      <c r="BF241" s="125"/>
      <c r="BG241" s="125"/>
      <c r="BH241" s="125"/>
      <c r="BI241" s="125"/>
      <c r="BJ241" s="125"/>
      <c r="BK241" s="125"/>
      <c r="BL241" s="125"/>
      <c r="BM241" s="125"/>
      <c r="BN241" s="125"/>
      <c r="BO241" s="125"/>
      <c r="BP241" s="244">
        <f t="shared" si="49"/>
        <v>1</v>
      </c>
      <c r="BQ241" s="248">
        <f t="shared" si="51"/>
        <v>2</v>
      </c>
      <c r="BR241" s="105">
        <f t="shared" si="50"/>
        <v>0</v>
      </c>
      <c r="BS241" s="248">
        <f t="shared" si="52"/>
        <v>0</v>
      </c>
    </row>
    <row r="242" spans="1:71" s="16" customFormat="1" ht="17" x14ac:dyDescent="0.15">
      <c r="A242" s="118" t="s">
        <v>389</v>
      </c>
      <c r="B242" s="208" t="s">
        <v>398</v>
      </c>
      <c r="C242" s="263" t="s">
        <v>397</v>
      </c>
      <c r="D242" s="264" t="s">
        <v>386</v>
      </c>
      <c r="E242" s="117" t="s">
        <v>83</v>
      </c>
      <c r="F242" s="120"/>
      <c r="G242" s="120">
        <f>468+220+112</f>
        <v>800</v>
      </c>
      <c r="H242" s="120"/>
      <c r="I242" s="121">
        <v>782</v>
      </c>
      <c r="J242" s="122">
        <v>0</v>
      </c>
      <c r="K242" s="120"/>
      <c r="L242" s="123"/>
      <c r="M242" s="123"/>
      <c r="N242" s="123"/>
      <c r="O242" s="123"/>
      <c r="P242" s="123"/>
      <c r="Q242" s="123"/>
      <c r="R242" s="123"/>
      <c r="S242" s="123"/>
      <c r="T242" s="123"/>
      <c r="U242" s="214">
        <v>550</v>
      </c>
      <c r="V242" s="123"/>
      <c r="W242" s="123"/>
      <c r="X242" s="123"/>
      <c r="Y242" s="123">
        <v>232</v>
      </c>
      <c r="Z242" s="123"/>
      <c r="AA242" s="123">
        <v>100</v>
      </c>
      <c r="AB242" s="123"/>
      <c r="AC242" s="163">
        <f t="shared" si="57"/>
        <v>882</v>
      </c>
      <c r="AD242" s="163">
        <f t="shared" si="57"/>
        <v>0</v>
      </c>
      <c r="AE242" s="124" t="s">
        <v>725</v>
      </c>
      <c r="AF242" s="124">
        <v>206</v>
      </c>
      <c r="AG242" s="124"/>
      <c r="AH242" s="124">
        <v>70</v>
      </c>
      <c r="AI242" s="124"/>
      <c r="AJ242" s="124">
        <v>40</v>
      </c>
      <c r="AK242" s="124"/>
      <c r="AL242" s="124"/>
      <c r="AM242" s="124"/>
      <c r="AN242" s="124">
        <v>28</v>
      </c>
      <c r="AO242" s="124"/>
      <c r="AP242" s="124"/>
      <c r="AQ242" s="124"/>
      <c r="AR242" s="124"/>
      <c r="AS242" s="124"/>
      <c r="AT242" s="124">
        <v>56</v>
      </c>
      <c r="AU242" s="124"/>
      <c r="AV242" s="124"/>
      <c r="AW242" s="124"/>
      <c r="AX242" s="124"/>
      <c r="AY242" s="124"/>
      <c r="AZ242" s="146"/>
      <c r="BA242" s="125"/>
      <c r="BB242" s="125"/>
      <c r="BC242" s="125"/>
      <c r="BD242" s="125"/>
      <c r="BE242" s="125"/>
      <c r="BF242" s="125"/>
      <c r="BG242" s="125"/>
      <c r="BH242" s="125"/>
      <c r="BI242" s="125"/>
      <c r="BJ242" s="125"/>
      <c r="BK242" s="125"/>
      <c r="BL242" s="125"/>
      <c r="BM242" s="125"/>
      <c r="BN242" s="125"/>
      <c r="BO242" s="125"/>
      <c r="BP242" s="244">
        <f t="shared" si="49"/>
        <v>400</v>
      </c>
      <c r="BQ242" s="248">
        <f t="shared" si="51"/>
        <v>800</v>
      </c>
      <c r="BR242" s="105">
        <f t="shared" si="50"/>
        <v>0</v>
      </c>
      <c r="BS242" s="248">
        <f t="shared" si="52"/>
        <v>0</v>
      </c>
    </row>
    <row r="243" spans="1:71" s="16" customFormat="1" ht="17" hidden="1" x14ac:dyDescent="0.15">
      <c r="A243" s="118" t="s">
        <v>604</v>
      </c>
      <c r="B243" s="162" t="s">
        <v>605</v>
      </c>
      <c r="C243" s="263" t="s">
        <v>607</v>
      </c>
      <c r="D243" s="264" t="s">
        <v>608</v>
      </c>
      <c r="E243" s="117" t="s">
        <v>606</v>
      </c>
      <c r="F243" s="120"/>
      <c r="G243" s="120">
        <v>54</v>
      </c>
      <c r="H243" s="120"/>
      <c r="I243" s="121">
        <v>60</v>
      </c>
      <c r="J243" s="122">
        <v>0</v>
      </c>
      <c r="K243" s="120"/>
      <c r="L243" s="123"/>
      <c r="M243" s="123"/>
      <c r="N243" s="123"/>
      <c r="O243" s="123"/>
      <c r="P243" s="123"/>
      <c r="Q243" s="123"/>
      <c r="R243" s="123"/>
      <c r="S243" s="123"/>
      <c r="T243" s="123"/>
      <c r="U243" s="214"/>
      <c r="V243" s="123"/>
      <c r="W243" s="123">
        <v>60</v>
      </c>
      <c r="X243" s="123"/>
      <c r="Y243" s="123"/>
      <c r="Z243" s="123"/>
      <c r="AA243" s="123"/>
      <c r="AB243" s="123"/>
      <c r="AC243" s="163">
        <f t="shared" si="57"/>
        <v>60</v>
      </c>
      <c r="AD243" s="163">
        <f t="shared" si="57"/>
        <v>0</v>
      </c>
      <c r="AE243" s="124" t="s">
        <v>601</v>
      </c>
      <c r="AF243" s="124"/>
      <c r="AG243" s="124"/>
      <c r="AH243" s="124"/>
      <c r="AI243" s="124"/>
      <c r="AJ243" s="124"/>
      <c r="AK243" s="124"/>
      <c r="AL243" s="124">
        <v>27</v>
      </c>
      <c r="AM243" s="124"/>
      <c r="AN243" s="124"/>
      <c r="AO243" s="124"/>
      <c r="AP243" s="124"/>
      <c r="AQ243" s="124"/>
      <c r="AR243" s="124"/>
      <c r="AS243" s="124"/>
      <c r="AT243" s="124"/>
      <c r="AU243" s="124"/>
      <c r="AV243" s="124"/>
      <c r="AW243" s="124"/>
      <c r="AX243" s="124"/>
      <c r="AY243" s="124"/>
      <c r="AZ243" s="146"/>
      <c r="BA243" s="125"/>
      <c r="BB243" s="125"/>
      <c r="BC243" s="125"/>
      <c r="BD243" s="125"/>
      <c r="BE243" s="125"/>
      <c r="BF243" s="125"/>
      <c r="BG243" s="125"/>
      <c r="BH243" s="125"/>
      <c r="BI243" s="125"/>
      <c r="BJ243" s="125"/>
      <c r="BK243" s="125"/>
      <c r="BL243" s="125"/>
      <c r="BM243" s="125"/>
      <c r="BN243" s="125"/>
      <c r="BO243" s="125"/>
      <c r="BP243" s="244">
        <f t="shared" si="49"/>
        <v>27</v>
      </c>
      <c r="BQ243" s="248">
        <f t="shared" si="51"/>
        <v>54</v>
      </c>
      <c r="BR243" s="105">
        <f t="shared" si="50"/>
        <v>0</v>
      </c>
      <c r="BS243" s="248">
        <f t="shared" si="52"/>
        <v>0</v>
      </c>
    </row>
    <row r="244" spans="1:71" s="16" customFormat="1" ht="17" x14ac:dyDescent="0.15">
      <c r="A244" s="118" t="s">
        <v>668</v>
      </c>
      <c r="B244" s="162" t="s">
        <v>391</v>
      </c>
      <c r="C244" s="263" t="s">
        <v>674</v>
      </c>
      <c r="D244" s="264" t="s">
        <v>584</v>
      </c>
      <c r="E244" s="117" t="s">
        <v>83</v>
      </c>
      <c r="F244" s="120"/>
      <c r="G244" s="222">
        <v>64</v>
      </c>
      <c r="H244" s="120"/>
      <c r="I244" s="121">
        <v>64</v>
      </c>
      <c r="J244" s="122">
        <v>0</v>
      </c>
      <c r="K244" s="120"/>
      <c r="L244" s="123"/>
      <c r="M244" s="123"/>
      <c r="N244" s="123"/>
      <c r="O244" s="123"/>
      <c r="P244" s="123"/>
      <c r="Q244" s="123"/>
      <c r="R244" s="123"/>
      <c r="S244" s="123"/>
      <c r="T244" s="123"/>
      <c r="U244" s="214"/>
      <c r="V244" s="123"/>
      <c r="W244" s="123"/>
      <c r="X244" s="123"/>
      <c r="Y244" s="123">
        <v>64</v>
      </c>
      <c r="Z244" s="123"/>
      <c r="AA244" s="123"/>
      <c r="AB244" s="123"/>
      <c r="AC244" s="163">
        <f t="shared" si="57"/>
        <v>64</v>
      </c>
      <c r="AD244" s="163">
        <f t="shared" si="57"/>
        <v>0</v>
      </c>
      <c r="AE244" s="124" t="s">
        <v>703</v>
      </c>
      <c r="AF244" s="124"/>
      <c r="AG244" s="124"/>
      <c r="AH244" s="124">
        <v>32</v>
      </c>
      <c r="AI244" s="124"/>
      <c r="AJ244" s="124"/>
      <c r="AK244" s="124"/>
      <c r="AL244" s="124"/>
      <c r="AM244" s="124"/>
      <c r="AN244" s="124"/>
      <c r="AO244" s="124"/>
      <c r="AP244" s="124"/>
      <c r="AQ244" s="124"/>
      <c r="AR244" s="124"/>
      <c r="AS244" s="124"/>
      <c r="AT244" s="124"/>
      <c r="AU244" s="124"/>
      <c r="AV244" s="124"/>
      <c r="AW244" s="124"/>
      <c r="AX244" s="124"/>
      <c r="AY244" s="124"/>
      <c r="AZ244" s="146"/>
      <c r="BA244" s="125"/>
      <c r="BB244" s="125"/>
      <c r="BC244" s="125"/>
      <c r="BD244" s="125"/>
      <c r="BE244" s="125"/>
      <c r="BF244" s="125"/>
      <c r="BG244" s="125"/>
      <c r="BH244" s="125"/>
      <c r="BI244" s="125"/>
      <c r="BJ244" s="125"/>
      <c r="BK244" s="125"/>
      <c r="BL244" s="125"/>
      <c r="BM244" s="125"/>
      <c r="BN244" s="125"/>
      <c r="BO244" s="125"/>
      <c r="BP244" s="244">
        <f t="shared" si="49"/>
        <v>32</v>
      </c>
      <c r="BQ244" s="248">
        <f t="shared" si="51"/>
        <v>64</v>
      </c>
      <c r="BR244" s="105">
        <f t="shared" si="50"/>
        <v>0</v>
      </c>
      <c r="BS244" s="248">
        <f t="shared" si="52"/>
        <v>0</v>
      </c>
    </row>
    <row r="245" spans="1:71" s="16" customFormat="1" ht="17" x14ac:dyDescent="0.15">
      <c r="A245" s="118" t="s">
        <v>669</v>
      </c>
      <c r="B245" s="162" t="s">
        <v>392</v>
      </c>
      <c r="C245" s="263" t="s">
        <v>675</v>
      </c>
      <c r="D245" s="264" t="s">
        <v>584</v>
      </c>
      <c r="E245" s="117" t="s">
        <v>83</v>
      </c>
      <c r="F245" s="120"/>
      <c r="G245" s="222">
        <v>64</v>
      </c>
      <c r="H245" s="120"/>
      <c r="I245" s="121">
        <v>64</v>
      </c>
      <c r="J245" s="122">
        <v>0</v>
      </c>
      <c r="K245" s="120"/>
      <c r="L245" s="123"/>
      <c r="M245" s="123"/>
      <c r="N245" s="123"/>
      <c r="O245" s="123"/>
      <c r="P245" s="123"/>
      <c r="Q245" s="123"/>
      <c r="R245" s="123"/>
      <c r="S245" s="123"/>
      <c r="T245" s="123"/>
      <c r="U245" s="214"/>
      <c r="V245" s="123"/>
      <c r="W245" s="123"/>
      <c r="X245" s="123"/>
      <c r="Y245" s="123">
        <v>64</v>
      </c>
      <c r="Z245" s="123"/>
      <c r="AA245" s="123"/>
      <c r="AB245" s="123"/>
      <c r="AC245" s="163">
        <f t="shared" si="57"/>
        <v>64</v>
      </c>
      <c r="AD245" s="163">
        <f t="shared" si="57"/>
        <v>0</v>
      </c>
      <c r="AE245" s="124" t="s">
        <v>703</v>
      </c>
      <c r="AF245" s="124"/>
      <c r="AG245" s="124"/>
      <c r="AH245" s="124">
        <v>32</v>
      </c>
      <c r="AI245" s="124"/>
      <c r="AJ245" s="124"/>
      <c r="AK245" s="124"/>
      <c r="AL245" s="124"/>
      <c r="AM245" s="124"/>
      <c r="AN245" s="124"/>
      <c r="AO245" s="124"/>
      <c r="AP245" s="124"/>
      <c r="AQ245" s="124"/>
      <c r="AR245" s="124"/>
      <c r="AS245" s="124"/>
      <c r="AT245" s="124"/>
      <c r="AU245" s="124"/>
      <c r="AV245" s="124"/>
      <c r="AW245" s="124"/>
      <c r="AX245" s="124"/>
      <c r="AY245" s="124"/>
      <c r="AZ245" s="146"/>
      <c r="BA245" s="125"/>
      <c r="BB245" s="125"/>
      <c r="BC245" s="125"/>
      <c r="BD245" s="125"/>
      <c r="BE245" s="125"/>
      <c r="BF245" s="125"/>
      <c r="BG245" s="125"/>
      <c r="BH245" s="125"/>
      <c r="BI245" s="125"/>
      <c r="BJ245" s="125"/>
      <c r="BK245" s="125"/>
      <c r="BL245" s="125"/>
      <c r="BM245" s="125"/>
      <c r="BN245" s="125"/>
      <c r="BO245" s="125"/>
      <c r="BP245" s="244">
        <f t="shared" si="49"/>
        <v>32</v>
      </c>
      <c r="BQ245" s="248">
        <f t="shared" si="51"/>
        <v>64</v>
      </c>
      <c r="BR245" s="105">
        <f t="shared" si="50"/>
        <v>0</v>
      </c>
      <c r="BS245" s="248">
        <f t="shared" si="52"/>
        <v>0</v>
      </c>
    </row>
    <row r="246" spans="1:71" s="16" customFormat="1" ht="17" x14ac:dyDescent="0.15">
      <c r="A246" s="118" t="s">
        <v>670</v>
      </c>
      <c r="B246" s="162" t="s">
        <v>390</v>
      </c>
      <c r="C246" s="263" t="s">
        <v>676</v>
      </c>
      <c r="D246" s="264" t="s">
        <v>584</v>
      </c>
      <c r="E246" s="117" t="s">
        <v>83</v>
      </c>
      <c r="F246" s="120"/>
      <c r="G246" s="222">
        <v>8</v>
      </c>
      <c r="H246" s="120"/>
      <c r="I246" s="121">
        <v>8</v>
      </c>
      <c r="J246" s="122">
        <v>0</v>
      </c>
      <c r="K246" s="120"/>
      <c r="L246" s="123"/>
      <c r="M246" s="123"/>
      <c r="N246" s="123"/>
      <c r="O246" s="123"/>
      <c r="P246" s="123"/>
      <c r="Q246" s="123"/>
      <c r="R246" s="123"/>
      <c r="S246" s="123"/>
      <c r="T246" s="123"/>
      <c r="U246" s="214"/>
      <c r="V246" s="123"/>
      <c r="W246" s="123"/>
      <c r="X246" s="123"/>
      <c r="Y246" s="123">
        <v>8</v>
      </c>
      <c r="Z246" s="123"/>
      <c r="AA246" s="123"/>
      <c r="AB246" s="123"/>
      <c r="AC246" s="163">
        <f t="shared" si="57"/>
        <v>8</v>
      </c>
      <c r="AD246" s="163">
        <f t="shared" si="57"/>
        <v>0</v>
      </c>
      <c r="AE246" s="124" t="s">
        <v>703</v>
      </c>
      <c r="AF246" s="124"/>
      <c r="AG246" s="124"/>
      <c r="AH246" s="124">
        <v>4</v>
      </c>
      <c r="AI246" s="124"/>
      <c r="AJ246" s="124"/>
      <c r="AK246" s="124"/>
      <c r="AL246" s="124"/>
      <c r="AM246" s="124"/>
      <c r="AN246" s="124"/>
      <c r="AO246" s="124"/>
      <c r="AP246" s="124"/>
      <c r="AQ246" s="124"/>
      <c r="AR246" s="124"/>
      <c r="AS246" s="124"/>
      <c r="AT246" s="124"/>
      <c r="AU246" s="124"/>
      <c r="AV246" s="124"/>
      <c r="AW246" s="124"/>
      <c r="AX246" s="124"/>
      <c r="AY246" s="124"/>
      <c r="AZ246" s="146"/>
      <c r="BA246" s="125"/>
      <c r="BB246" s="125"/>
      <c r="BC246" s="125"/>
      <c r="BD246" s="125"/>
      <c r="BE246" s="125"/>
      <c r="BF246" s="125"/>
      <c r="BG246" s="125"/>
      <c r="BH246" s="125"/>
      <c r="BI246" s="125"/>
      <c r="BJ246" s="125"/>
      <c r="BK246" s="125"/>
      <c r="BL246" s="125"/>
      <c r="BM246" s="125"/>
      <c r="BN246" s="125"/>
      <c r="BO246" s="125"/>
      <c r="BP246" s="244">
        <f t="shared" si="49"/>
        <v>4</v>
      </c>
      <c r="BQ246" s="248">
        <f t="shared" si="51"/>
        <v>8</v>
      </c>
      <c r="BR246" s="105">
        <f t="shared" si="50"/>
        <v>0</v>
      </c>
      <c r="BS246" s="248">
        <f t="shared" si="52"/>
        <v>0</v>
      </c>
    </row>
    <row r="247" spans="1:71" s="16" customFormat="1" ht="17" x14ac:dyDescent="0.15">
      <c r="A247" s="118" t="s">
        <v>671</v>
      </c>
      <c r="B247" s="162" t="s">
        <v>391</v>
      </c>
      <c r="C247" s="263" t="s">
        <v>677</v>
      </c>
      <c r="D247" s="264" t="s">
        <v>584</v>
      </c>
      <c r="E247" s="117" t="s">
        <v>83</v>
      </c>
      <c r="F247" s="120"/>
      <c r="G247" s="222">
        <v>8</v>
      </c>
      <c r="H247" s="120"/>
      <c r="I247" s="121">
        <v>8</v>
      </c>
      <c r="J247" s="122">
        <v>0</v>
      </c>
      <c r="K247" s="120"/>
      <c r="L247" s="123"/>
      <c r="M247" s="123"/>
      <c r="N247" s="123"/>
      <c r="O247" s="123"/>
      <c r="P247" s="123"/>
      <c r="Q247" s="123"/>
      <c r="R247" s="123"/>
      <c r="S247" s="123"/>
      <c r="T247" s="123"/>
      <c r="U247" s="214"/>
      <c r="V247" s="123"/>
      <c r="W247" s="123"/>
      <c r="X247" s="123"/>
      <c r="Y247" s="123">
        <v>8</v>
      </c>
      <c r="Z247" s="123"/>
      <c r="AA247" s="123"/>
      <c r="AB247" s="123"/>
      <c r="AC247" s="163">
        <f t="shared" si="57"/>
        <v>8</v>
      </c>
      <c r="AD247" s="163">
        <f t="shared" si="57"/>
        <v>0</v>
      </c>
      <c r="AE247" s="124" t="s">
        <v>703</v>
      </c>
      <c r="AF247" s="124"/>
      <c r="AG247" s="124"/>
      <c r="AH247" s="124">
        <v>4</v>
      </c>
      <c r="AI247" s="124"/>
      <c r="AJ247" s="124"/>
      <c r="AK247" s="124"/>
      <c r="AL247" s="124"/>
      <c r="AM247" s="124"/>
      <c r="AN247" s="124"/>
      <c r="AO247" s="124"/>
      <c r="AP247" s="124"/>
      <c r="AQ247" s="124"/>
      <c r="AR247" s="124"/>
      <c r="AS247" s="124"/>
      <c r="AT247" s="124"/>
      <c r="AU247" s="124"/>
      <c r="AV247" s="124"/>
      <c r="AW247" s="124"/>
      <c r="AX247" s="124"/>
      <c r="AY247" s="124"/>
      <c r="AZ247" s="146"/>
      <c r="BA247" s="125"/>
      <c r="BB247" s="125"/>
      <c r="BC247" s="125"/>
      <c r="BD247" s="125"/>
      <c r="BE247" s="125"/>
      <c r="BF247" s="125"/>
      <c r="BG247" s="125"/>
      <c r="BH247" s="125"/>
      <c r="BI247" s="125"/>
      <c r="BJ247" s="125"/>
      <c r="BK247" s="125"/>
      <c r="BL247" s="125"/>
      <c r="BM247" s="125"/>
      <c r="BN247" s="125"/>
      <c r="BO247" s="125"/>
      <c r="BP247" s="244">
        <f t="shared" si="49"/>
        <v>4</v>
      </c>
      <c r="BQ247" s="248">
        <f t="shared" si="51"/>
        <v>8</v>
      </c>
      <c r="BR247" s="105">
        <f t="shared" si="50"/>
        <v>0</v>
      </c>
      <c r="BS247" s="248">
        <f t="shared" si="52"/>
        <v>0</v>
      </c>
    </row>
    <row r="248" spans="1:71" s="16" customFormat="1" ht="17" x14ac:dyDescent="0.15">
      <c r="A248" s="118" t="s">
        <v>672</v>
      </c>
      <c r="B248" s="162" t="s">
        <v>392</v>
      </c>
      <c r="C248" s="263" t="s">
        <v>678</v>
      </c>
      <c r="D248" s="264" t="s">
        <v>584</v>
      </c>
      <c r="E248" s="117" t="s">
        <v>83</v>
      </c>
      <c r="F248" s="120"/>
      <c r="G248" s="222">
        <v>8</v>
      </c>
      <c r="H248" s="120"/>
      <c r="I248" s="121">
        <v>8</v>
      </c>
      <c r="J248" s="122">
        <v>0</v>
      </c>
      <c r="K248" s="120"/>
      <c r="L248" s="123"/>
      <c r="M248" s="123"/>
      <c r="N248" s="123"/>
      <c r="O248" s="123"/>
      <c r="P248" s="123"/>
      <c r="Q248" s="123"/>
      <c r="R248" s="123"/>
      <c r="S248" s="123"/>
      <c r="T248" s="123"/>
      <c r="U248" s="214"/>
      <c r="V248" s="123"/>
      <c r="W248" s="123"/>
      <c r="X248" s="123"/>
      <c r="Y248" s="123">
        <v>8</v>
      </c>
      <c r="Z248" s="123"/>
      <c r="AA248" s="123"/>
      <c r="AB248" s="123"/>
      <c r="AC248" s="163">
        <f t="shared" si="57"/>
        <v>8</v>
      </c>
      <c r="AD248" s="163">
        <f t="shared" si="57"/>
        <v>0</v>
      </c>
      <c r="AE248" s="124" t="s">
        <v>703</v>
      </c>
      <c r="AF248" s="124"/>
      <c r="AG248" s="124"/>
      <c r="AH248" s="124">
        <v>4</v>
      </c>
      <c r="AI248" s="124"/>
      <c r="AJ248" s="124"/>
      <c r="AK248" s="124"/>
      <c r="AL248" s="124"/>
      <c r="AM248" s="124"/>
      <c r="AN248" s="124"/>
      <c r="AO248" s="124"/>
      <c r="AP248" s="124"/>
      <c r="AQ248" s="124"/>
      <c r="AR248" s="124"/>
      <c r="AS248" s="124"/>
      <c r="AT248" s="124"/>
      <c r="AU248" s="124"/>
      <c r="AV248" s="124"/>
      <c r="AW248" s="124"/>
      <c r="AX248" s="124"/>
      <c r="AY248" s="124"/>
      <c r="AZ248" s="146"/>
      <c r="BA248" s="125"/>
      <c r="BB248" s="125"/>
      <c r="BC248" s="125"/>
      <c r="BD248" s="125"/>
      <c r="BE248" s="125"/>
      <c r="BF248" s="125"/>
      <c r="BG248" s="125"/>
      <c r="BH248" s="125"/>
      <c r="BI248" s="125"/>
      <c r="BJ248" s="125"/>
      <c r="BK248" s="125"/>
      <c r="BL248" s="125"/>
      <c r="BM248" s="125"/>
      <c r="BN248" s="125"/>
      <c r="BO248" s="125"/>
      <c r="BP248" s="244">
        <f t="shared" si="49"/>
        <v>4</v>
      </c>
      <c r="BQ248" s="248">
        <f t="shared" si="51"/>
        <v>8</v>
      </c>
      <c r="BR248" s="105">
        <f t="shared" si="50"/>
        <v>0</v>
      </c>
      <c r="BS248" s="248">
        <f t="shared" si="52"/>
        <v>0</v>
      </c>
    </row>
    <row r="249" spans="1:71" s="16" customFormat="1" ht="17" x14ac:dyDescent="0.15">
      <c r="A249" s="118" t="s">
        <v>673</v>
      </c>
      <c r="B249" s="162" t="s">
        <v>682</v>
      </c>
      <c r="C249" s="162" t="s">
        <v>679</v>
      </c>
      <c r="D249" s="119" t="s">
        <v>584</v>
      </c>
      <c r="E249" s="117" t="s">
        <v>83</v>
      </c>
      <c r="F249" s="120"/>
      <c r="G249" s="222">
        <v>8</v>
      </c>
      <c r="H249" s="120"/>
      <c r="I249" s="121">
        <v>8</v>
      </c>
      <c r="J249" s="122">
        <v>0</v>
      </c>
      <c r="K249" s="120"/>
      <c r="L249" s="123"/>
      <c r="M249" s="123"/>
      <c r="N249" s="123"/>
      <c r="O249" s="123"/>
      <c r="P249" s="123"/>
      <c r="Q249" s="123"/>
      <c r="R249" s="123"/>
      <c r="S249" s="123"/>
      <c r="T249" s="123"/>
      <c r="U249" s="214"/>
      <c r="V249" s="123"/>
      <c r="W249" s="123"/>
      <c r="X249" s="123"/>
      <c r="Y249" s="123">
        <v>8</v>
      </c>
      <c r="Z249" s="123"/>
      <c r="AA249" s="123"/>
      <c r="AB249" s="123"/>
      <c r="AC249" s="163">
        <f t="shared" si="57"/>
        <v>8</v>
      </c>
      <c r="AD249" s="163">
        <f t="shared" si="57"/>
        <v>0</v>
      </c>
      <c r="AE249" s="124" t="s">
        <v>703</v>
      </c>
      <c r="AF249" s="124"/>
      <c r="AG249" s="124"/>
      <c r="AH249" s="124">
        <v>4</v>
      </c>
      <c r="AI249" s="124"/>
      <c r="AJ249" s="124"/>
      <c r="AK249" s="124"/>
      <c r="AL249" s="124"/>
      <c r="AM249" s="124"/>
      <c r="AN249" s="124"/>
      <c r="AO249" s="124"/>
      <c r="AP249" s="124"/>
      <c r="AQ249" s="124"/>
      <c r="AR249" s="124"/>
      <c r="AS249" s="124"/>
      <c r="AT249" s="124"/>
      <c r="AU249" s="124"/>
      <c r="AV249" s="124"/>
      <c r="AW249" s="124"/>
      <c r="AX249" s="124"/>
      <c r="AY249" s="124"/>
      <c r="AZ249" s="146"/>
      <c r="BA249" s="125"/>
      <c r="BB249" s="125"/>
      <c r="BC249" s="125"/>
      <c r="BD249" s="125"/>
      <c r="BE249" s="125"/>
      <c r="BF249" s="125"/>
      <c r="BG249" s="125"/>
      <c r="BH249" s="125"/>
      <c r="BI249" s="125"/>
      <c r="BJ249" s="125"/>
      <c r="BK249" s="125"/>
      <c r="BL249" s="125"/>
      <c r="BM249" s="125"/>
      <c r="BN249" s="125"/>
      <c r="BO249" s="125"/>
      <c r="BP249" s="244">
        <f t="shared" si="49"/>
        <v>4</v>
      </c>
      <c r="BQ249" s="248">
        <f t="shared" si="51"/>
        <v>8</v>
      </c>
      <c r="BR249" s="105">
        <f t="shared" si="50"/>
        <v>0</v>
      </c>
      <c r="BS249" s="248">
        <f t="shared" si="52"/>
        <v>0</v>
      </c>
    </row>
    <row r="250" spans="1:71" s="16" customFormat="1" ht="17" hidden="1" x14ac:dyDescent="0.15">
      <c r="A250" s="118" t="s">
        <v>731</v>
      </c>
      <c r="B250" s="118" t="s">
        <v>732</v>
      </c>
      <c r="C250" s="261" t="s">
        <v>733</v>
      </c>
      <c r="D250" s="117" t="s">
        <v>734</v>
      </c>
      <c r="E250" s="117" t="s">
        <v>735</v>
      </c>
      <c r="F250" s="120"/>
      <c r="G250" s="222"/>
      <c r="H250" s="120">
        <v>8</v>
      </c>
      <c r="I250" s="121"/>
      <c r="J250" s="122"/>
      <c r="K250" s="120"/>
      <c r="L250" s="123"/>
      <c r="M250" s="123"/>
      <c r="N250" s="123"/>
      <c r="O250" s="123"/>
      <c r="P250" s="123"/>
      <c r="Q250" s="123"/>
      <c r="R250" s="123"/>
      <c r="S250" s="123"/>
      <c r="T250" s="123"/>
      <c r="U250" s="214"/>
      <c r="V250" s="123"/>
      <c r="W250" s="123"/>
      <c r="X250" s="123"/>
      <c r="Y250" s="123"/>
      <c r="Z250" s="123"/>
      <c r="AA250" s="123"/>
      <c r="AB250" s="123">
        <v>10</v>
      </c>
      <c r="AC250" s="163">
        <f t="shared" ref="AC250:AD250" si="58">+I250+AA250</f>
        <v>0</v>
      </c>
      <c r="AD250" s="163">
        <f t="shared" si="58"/>
        <v>10</v>
      </c>
      <c r="AE250" s="124" t="s">
        <v>725</v>
      </c>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46"/>
      <c r="BA250" s="125"/>
      <c r="BB250" s="125"/>
      <c r="BC250" s="125"/>
      <c r="BD250" s="125"/>
      <c r="BE250" s="125"/>
      <c r="BF250" s="125"/>
      <c r="BG250" s="125"/>
      <c r="BH250" s="125"/>
      <c r="BI250" s="125"/>
      <c r="BJ250" s="125"/>
      <c r="BK250" s="125"/>
      <c r="BL250" s="125"/>
      <c r="BM250" s="125"/>
      <c r="BN250" s="125"/>
      <c r="BO250" s="125"/>
      <c r="BP250" s="244">
        <f t="shared" si="49"/>
        <v>0</v>
      </c>
      <c r="BQ250" s="248">
        <f t="shared" si="51"/>
        <v>0</v>
      </c>
      <c r="BR250" s="105">
        <f t="shared" si="50"/>
        <v>0</v>
      </c>
      <c r="BS250" s="248">
        <f t="shared" si="52"/>
        <v>0</v>
      </c>
    </row>
    <row r="251" spans="1:71" s="16" customFormat="1" ht="17" hidden="1" x14ac:dyDescent="0.15">
      <c r="A251" s="167" t="s">
        <v>146</v>
      </c>
      <c r="B251" s="320" t="s">
        <v>145</v>
      </c>
      <c r="C251" s="321"/>
      <c r="D251" s="148"/>
      <c r="E251" s="149"/>
      <c r="F251" s="150"/>
      <c r="G251" s="156"/>
      <c r="H251" s="157">
        <f>+SUM(H252:H254)</f>
        <v>462.58200000000005</v>
      </c>
      <c r="I251" s="158"/>
      <c r="J251" s="159"/>
      <c r="K251" s="157"/>
      <c r="L251" s="160"/>
      <c r="M251" s="160"/>
      <c r="N251" s="160"/>
      <c r="O251" s="160"/>
      <c r="P251" s="160"/>
      <c r="Q251" s="160"/>
      <c r="R251" s="157">
        <f>+SUM(R252:R254)</f>
        <v>532.596</v>
      </c>
      <c r="S251" s="157"/>
      <c r="T251" s="157"/>
      <c r="U251" s="157"/>
      <c r="V251" s="157"/>
      <c r="W251" s="157"/>
      <c r="X251" s="157"/>
      <c r="Y251" s="157"/>
      <c r="Z251" s="157"/>
      <c r="AA251" s="157"/>
      <c r="AB251" s="157"/>
      <c r="AC251" s="161"/>
      <c r="AD251" s="157">
        <f>+SUM(AD252:AD254)</f>
        <v>532.596</v>
      </c>
      <c r="AE251" s="155"/>
      <c r="AF251" s="155"/>
      <c r="AG251" s="155"/>
      <c r="AH251" s="155"/>
      <c r="AI251" s="155"/>
      <c r="AJ251" s="155"/>
      <c r="AK251" s="155"/>
      <c r="AL251" s="155"/>
      <c r="AM251" s="155"/>
      <c r="AN251" s="155"/>
      <c r="AO251" s="155"/>
      <c r="AP251" s="155"/>
      <c r="AQ251" s="155"/>
      <c r="AR251" s="155"/>
      <c r="AS251" s="155"/>
      <c r="AT251" s="155"/>
      <c r="AU251" s="155"/>
      <c r="AV251" s="155"/>
      <c r="AW251" s="155"/>
      <c r="AX251" s="155"/>
      <c r="AY251" s="155"/>
      <c r="AZ251" s="146"/>
      <c r="BA251" s="125"/>
      <c r="BB251" s="125"/>
      <c r="BC251" s="125"/>
      <c r="BD251" s="125"/>
      <c r="BE251" s="125"/>
      <c r="BF251" s="125"/>
      <c r="BG251" s="125"/>
      <c r="BH251" s="125"/>
      <c r="BI251" s="125"/>
      <c r="BJ251" s="125"/>
      <c r="BK251" s="125"/>
      <c r="BL251" s="125"/>
      <c r="BM251" s="125"/>
      <c r="BN251" s="125"/>
      <c r="BO251" s="125"/>
      <c r="BP251" s="244">
        <f t="shared" si="49"/>
        <v>0</v>
      </c>
      <c r="BQ251" s="248">
        <f t="shared" si="51"/>
        <v>0</v>
      </c>
      <c r="BR251" s="105">
        <f t="shared" si="50"/>
        <v>0</v>
      </c>
      <c r="BS251" s="248">
        <f t="shared" si="52"/>
        <v>0</v>
      </c>
    </row>
    <row r="252" spans="1:71" s="16" customFormat="1" ht="17" hidden="1" x14ac:dyDescent="0.15">
      <c r="A252" s="118" t="s">
        <v>147</v>
      </c>
      <c r="B252" s="162" t="s">
        <v>118</v>
      </c>
      <c r="C252" s="118" t="s">
        <v>123</v>
      </c>
      <c r="D252" s="119" t="s">
        <v>62</v>
      </c>
      <c r="E252" s="117" t="s">
        <v>121</v>
      </c>
      <c r="F252" s="120">
        <v>18.600000000000001</v>
      </c>
      <c r="G252" s="120">
        <v>20.6</v>
      </c>
      <c r="H252" s="120">
        <f>+G252*F252</f>
        <v>383.16000000000008</v>
      </c>
      <c r="I252" s="121">
        <v>24</v>
      </c>
      <c r="J252" s="122">
        <v>446.40000000000003</v>
      </c>
      <c r="K252" s="120"/>
      <c r="L252" s="123"/>
      <c r="M252" s="123"/>
      <c r="N252" s="123"/>
      <c r="O252" s="123"/>
      <c r="P252" s="123"/>
      <c r="Q252" s="123">
        <v>24</v>
      </c>
      <c r="R252" s="123">
        <f>+Q252*F252</f>
        <v>446.40000000000003</v>
      </c>
      <c r="S252" s="123"/>
      <c r="T252" s="123"/>
      <c r="U252" s="123"/>
      <c r="V252" s="123"/>
      <c r="W252" s="123"/>
      <c r="X252" s="123"/>
      <c r="Y252" s="123"/>
      <c r="Z252" s="123"/>
      <c r="AA252" s="123"/>
      <c r="AB252" s="123"/>
      <c r="AC252" s="163">
        <f t="shared" ref="AC252:AD254" si="59">+I252+AA252</f>
        <v>24</v>
      </c>
      <c r="AD252" s="163">
        <f t="shared" si="59"/>
        <v>446.40000000000003</v>
      </c>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46"/>
      <c r="BA252" s="125"/>
      <c r="BB252" s="125"/>
      <c r="BC252" s="125"/>
      <c r="BD252" s="125"/>
      <c r="BE252" s="125"/>
      <c r="BF252" s="125"/>
      <c r="BG252" s="125"/>
      <c r="BH252" s="125"/>
      <c r="BI252" s="125"/>
      <c r="BJ252" s="125"/>
      <c r="BK252" s="125"/>
      <c r="BL252" s="125"/>
      <c r="BM252" s="125"/>
      <c r="BN252" s="125"/>
      <c r="BO252" s="125"/>
      <c r="BP252" s="244">
        <f t="shared" si="49"/>
        <v>0</v>
      </c>
      <c r="BQ252" s="248">
        <f t="shared" si="51"/>
        <v>0</v>
      </c>
      <c r="BR252" s="105">
        <f t="shared" si="50"/>
        <v>0</v>
      </c>
      <c r="BS252" s="248">
        <f t="shared" si="52"/>
        <v>0</v>
      </c>
    </row>
    <row r="253" spans="1:71" s="16" customFormat="1" ht="17" hidden="1" x14ac:dyDescent="0.15">
      <c r="A253" s="118" t="s">
        <v>148</v>
      </c>
      <c r="B253" s="162" t="s">
        <v>120</v>
      </c>
      <c r="C253" s="118" t="s">
        <v>151</v>
      </c>
      <c r="D253" s="119" t="s">
        <v>62</v>
      </c>
      <c r="E253" s="117" t="s">
        <v>121</v>
      </c>
      <c r="F253" s="120">
        <v>6.85</v>
      </c>
      <c r="G253" s="120">
        <f>1.9*6</f>
        <v>11.399999999999999</v>
      </c>
      <c r="H253" s="120">
        <f>+G253*F253</f>
        <v>78.089999999999989</v>
      </c>
      <c r="I253" s="121">
        <v>12</v>
      </c>
      <c r="J253" s="122">
        <v>82.199999999999989</v>
      </c>
      <c r="K253" s="120"/>
      <c r="L253" s="123"/>
      <c r="M253" s="123"/>
      <c r="N253" s="123"/>
      <c r="O253" s="123"/>
      <c r="P253" s="123"/>
      <c r="Q253" s="123">
        <v>12</v>
      </c>
      <c r="R253" s="123">
        <f>+Q253*F253</f>
        <v>82.199999999999989</v>
      </c>
      <c r="S253" s="123"/>
      <c r="T253" s="123"/>
      <c r="U253" s="123"/>
      <c r="V253" s="123"/>
      <c r="W253" s="123"/>
      <c r="X253" s="123"/>
      <c r="Y253" s="123"/>
      <c r="Z253" s="123"/>
      <c r="AA253" s="123"/>
      <c r="AB253" s="123"/>
      <c r="AC253" s="163">
        <f t="shared" si="59"/>
        <v>12</v>
      </c>
      <c r="AD253" s="163">
        <f t="shared" si="59"/>
        <v>82.199999999999989</v>
      </c>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46"/>
      <c r="BA253" s="125"/>
      <c r="BB253" s="125"/>
      <c r="BC253" s="125"/>
      <c r="BD253" s="125"/>
      <c r="BE253" s="125"/>
      <c r="BF253" s="125"/>
      <c r="BG253" s="125"/>
      <c r="BH253" s="125"/>
      <c r="BI253" s="125"/>
      <c r="BJ253" s="125"/>
      <c r="BK253" s="125"/>
      <c r="BL253" s="125"/>
      <c r="BM253" s="125"/>
      <c r="BN253" s="125"/>
      <c r="BO253" s="125"/>
      <c r="BP253" s="244">
        <f t="shared" si="49"/>
        <v>0</v>
      </c>
      <c r="BQ253" s="248">
        <f t="shared" si="51"/>
        <v>0</v>
      </c>
      <c r="BR253" s="105">
        <f t="shared" si="50"/>
        <v>0</v>
      </c>
      <c r="BS253" s="248">
        <f t="shared" si="52"/>
        <v>0</v>
      </c>
    </row>
    <row r="254" spans="1:71" s="16" customFormat="1" ht="17" hidden="1" x14ac:dyDescent="0.15">
      <c r="A254" s="118" t="s">
        <v>149</v>
      </c>
      <c r="B254" s="162" t="s">
        <v>150</v>
      </c>
      <c r="C254" s="118" t="s">
        <v>152</v>
      </c>
      <c r="D254" s="119" t="s">
        <v>62</v>
      </c>
      <c r="E254" s="117" t="s">
        <v>121</v>
      </c>
      <c r="F254" s="120">
        <v>0.66600000000000004</v>
      </c>
      <c r="G254" s="120">
        <v>2</v>
      </c>
      <c r="H254" s="120">
        <f>+G254*F254</f>
        <v>1.3320000000000001</v>
      </c>
      <c r="I254" s="121">
        <v>6</v>
      </c>
      <c r="J254" s="122">
        <v>3.9960000000000004</v>
      </c>
      <c r="K254" s="120"/>
      <c r="L254" s="123"/>
      <c r="M254" s="123"/>
      <c r="N254" s="123"/>
      <c r="O254" s="123"/>
      <c r="P254" s="123"/>
      <c r="Q254" s="123">
        <v>6</v>
      </c>
      <c r="R254" s="123">
        <f>+Q254*F254</f>
        <v>3.9960000000000004</v>
      </c>
      <c r="S254" s="123"/>
      <c r="T254" s="123"/>
      <c r="U254" s="123"/>
      <c r="V254" s="123"/>
      <c r="W254" s="123"/>
      <c r="X254" s="123"/>
      <c r="Y254" s="123"/>
      <c r="Z254" s="123"/>
      <c r="AA254" s="123"/>
      <c r="AB254" s="123"/>
      <c r="AC254" s="163">
        <f t="shared" si="59"/>
        <v>6</v>
      </c>
      <c r="AD254" s="163">
        <f t="shared" si="59"/>
        <v>3.9960000000000004</v>
      </c>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46"/>
      <c r="BA254" s="125"/>
      <c r="BB254" s="125"/>
      <c r="BC254" s="125"/>
      <c r="BD254" s="125"/>
      <c r="BE254" s="125"/>
      <c r="BF254" s="125"/>
      <c r="BG254" s="125"/>
      <c r="BH254" s="125"/>
      <c r="BI254" s="125"/>
      <c r="BJ254" s="125"/>
      <c r="BK254" s="125"/>
      <c r="BL254" s="125"/>
      <c r="BM254" s="125"/>
      <c r="BN254" s="125"/>
      <c r="BO254" s="125"/>
      <c r="BP254" s="244">
        <f t="shared" si="49"/>
        <v>0</v>
      </c>
      <c r="BQ254" s="248">
        <f t="shared" si="51"/>
        <v>0</v>
      </c>
      <c r="BR254" s="105">
        <f t="shared" si="50"/>
        <v>0</v>
      </c>
      <c r="BS254" s="248">
        <f t="shared" si="52"/>
        <v>0</v>
      </c>
    </row>
    <row r="255" spans="1:71" s="22" customFormat="1" ht="27" hidden="1" customHeight="1" x14ac:dyDescent="0.15">
      <c r="A255" s="325" t="s">
        <v>7</v>
      </c>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c r="AE255" s="327"/>
      <c r="AF255" s="215"/>
      <c r="AG255" s="215"/>
      <c r="AH255" s="215"/>
      <c r="AI255" s="215"/>
      <c r="AJ255" s="215"/>
      <c r="AK255" s="215"/>
      <c r="AL255" s="215"/>
      <c r="AM255" s="215"/>
      <c r="AN255" s="215"/>
      <c r="AO255" s="215"/>
      <c r="AP255" s="215"/>
      <c r="AQ255" s="215"/>
      <c r="AR255" s="215"/>
      <c r="AS255" s="215"/>
      <c r="AT255" s="215"/>
      <c r="AU255" s="215"/>
      <c r="AV255" s="215"/>
      <c r="AW255" s="215"/>
      <c r="AX255" s="215"/>
      <c r="AY255" s="215"/>
      <c r="AZ255" s="168"/>
      <c r="BA255" s="20"/>
      <c r="BB255" s="20"/>
      <c r="BC255" s="20"/>
      <c r="BD255" s="20"/>
      <c r="BE255" s="20"/>
      <c r="BF255" s="20"/>
      <c r="BG255" s="20"/>
      <c r="BH255" s="20"/>
      <c r="BI255" s="20"/>
      <c r="BJ255" s="20"/>
      <c r="BK255" s="20"/>
      <c r="BL255" s="20"/>
      <c r="BM255" s="20"/>
      <c r="BN255" s="20"/>
      <c r="BO255" s="20"/>
      <c r="BQ255" s="249"/>
    </row>
    <row r="256" spans="1:71" ht="16.5" hidden="1" customHeight="1" x14ac:dyDescent="0.15">
      <c r="A256" s="40" t="s">
        <v>8</v>
      </c>
      <c r="B256" s="28"/>
      <c r="C256" s="65" t="s">
        <v>9</v>
      </c>
      <c r="E256" s="98"/>
      <c r="F256" s="65"/>
      <c r="G256" s="41" t="s">
        <v>10</v>
      </c>
      <c r="H256" s="65"/>
      <c r="I256" s="41"/>
      <c r="J256" s="41"/>
      <c r="K256" s="41"/>
      <c r="M256" s="41"/>
      <c r="O256" s="41"/>
      <c r="Q256" s="41"/>
      <c r="S256" s="41"/>
      <c r="U256" s="41"/>
      <c r="V256" s="41" t="s">
        <v>31</v>
      </c>
      <c r="W256" s="41"/>
      <c r="X256" s="41"/>
      <c r="Y256" s="41"/>
      <c r="Z256" s="41"/>
      <c r="AA256" s="41"/>
      <c r="AB256" s="41"/>
      <c r="AC256" s="41"/>
      <c r="AD256" s="38"/>
      <c r="AE256" s="24"/>
    </row>
    <row r="257" spans="1:69" ht="21.75" hidden="1" customHeight="1" x14ac:dyDescent="0.15">
      <c r="A257" s="97" t="s">
        <v>11</v>
      </c>
      <c r="B257" s="115"/>
      <c r="D257" s="26"/>
      <c r="E257" s="107"/>
      <c r="F257" s="107"/>
      <c r="G257" s="107"/>
      <c r="H257" s="107"/>
      <c r="J257" s="42"/>
      <c r="K257" s="50"/>
      <c r="L257" s="50"/>
      <c r="M257" s="50"/>
      <c r="N257" s="50"/>
      <c r="O257" s="50"/>
      <c r="P257" s="50"/>
      <c r="Q257" s="50"/>
      <c r="R257" s="50"/>
      <c r="S257" s="50"/>
      <c r="T257" s="50"/>
      <c r="U257" s="50"/>
      <c r="V257" s="50"/>
      <c r="W257" s="50"/>
      <c r="X257" s="50"/>
      <c r="Y257" s="50"/>
      <c r="Z257" s="50"/>
      <c r="AA257" s="50"/>
      <c r="AB257" s="50"/>
      <c r="AC257" s="50"/>
      <c r="AD257" s="42"/>
      <c r="AE257" s="24"/>
    </row>
    <row r="258" spans="1:69" s="22" customFormat="1" ht="64.5" hidden="1" customHeight="1" x14ac:dyDescent="0.15">
      <c r="A258" s="328" t="s">
        <v>261</v>
      </c>
      <c r="B258" s="329"/>
      <c r="C258" s="329"/>
      <c r="D258" s="329"/>
      <c r="E258" s="329"/>
      <c r="F258" s="329"/>
      <c r="G258" s="329"/>
      <c r="H258" s="329"/>
      <c r="I258" s="329"/>
      <c r="J258" s="329"/>
      <c r="K258" s="329"/>
      <c r="L258" s="329"/>
      <c r="M258" s="329"/>
      <c r="N258" s="329"/>
      <c r="O258" s="329"/>
      <c r="P258" s="329"/>
      <c r="Q258" s="329"/>
      <c r="R258" s="329"/>
      <c r="S258" s="329"/>
      <c r="T258" s="329"/>
      <c r="U258" s="329"/>
      <c r="V258" s="329"/>
      <c r="W258" s="329"/>
      <c r="X258" s="329"/>
      <c r="Y258" s="329"/>
      <c r="Z258" s="329"/>
      <c r="AA258" s="329"/>
      <c r="AB258" s="329"/>
      <c r="AC258" s="329"/>
      <c r="AD258" s="329"/>
      <c r="AE258" s="330"/>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68"/>
      <c r="BA258" s="20"/>
      <c r="BB258" s="20"/>
      <c r="BC258" s="20"/>
      <c r="BD258" s="20"/>
      <c r="BE258" s="20"/>
      <c r="BF258" s="20"/>
      <c r="BG258" s="20"/>
      <c r="BH258" s="20"/>
      <c r="BI258" s="20"/>
      <c r="BJ258" s="20"/>
      <c r="BK258" s="20"/>
      <c r="BL258" s="20"/>
      <c r="BM258" s="20"/>
      <c r="BN258" s="20"/>
      <c r="BO258" s="20"/>
      <c r="BQ258" s="249"/>
    </row>
    <row r="259" spans="1:69" s="22" customFormat="1" ht="16.5" hidden="1" customHeight="1" x14ac:dyDescent="0.15">
      <c r="A259" s="331" t="s">
        <v>12</v>
      </c>
      <c r="B259" s="332"/>
      <c r="C259" s="332"/>
      <c r="D259" s="332"/>
      <c r="E259" s="332"/>
      <c r="F259" s="332"/>
      <c r="G259" s="332"/>
      <c r="H259" s="332"/>
      <c r="I259" s="332"/>
      <c r="J259" s="332"/>
      <c r="K259" s="332"/>
      <c r="L259" s="332"/>
      <c r="M259" s="332"/>
      <c r="N259" s="332"/>
      <c r="O259" s="332"/>
      <c r="P259" s="332"/>
      <c r="Q259" s="332"/>
      <c r="R259" s="332"/>
      <c r="S259" s="332"/>
      <c r="T259" s="332"/>
      <c r="U259" s="332"/>
      <c r="V259" s="332"/>
      <c r="W259" s="332"/>
      <c r="X259" s="332"/>
      <c r="Y259" s="332"/>
      <c r="Z259" s="332"/>
      <c r="AA259" s="332"/>
      <c r="AB259" s="332"/>
      <c r="AC259" s="332"/>
      <c r="AD259" s="332"/>
      <c r="AE259" s="333"/>
      <c r="AF259" s="215"/>
      <c r="AG259" s="215"/>
      <c r="AH259" s="215"/>
      <c r="AI259" s="215"/>
      <c r="AJ259" s="215"/>
      <c r="AK259" s="215"/>
      <c r="AL259" s="215"/>
      <c r="AM259" s="215"/>
      <c r="AN259" s="215"/>
      <c r="AO259" s="215"/>
      <c r="AP259" s="215"/>
      <c r="AQ259" s="215"/>
      <c r="AR259" s="215"/>
      <c r="AS259" s="215"/>
      <c r="AT259" s="215"/>
      <c r="AU259" s="215"/>
      <c r="AV259" s="215"/>
      <c r="AW259" s="215"/>
      <c r="AX259" s="215"/>
      <c r="AY259" s="215"/>
      <c r="AZ259" s="168"/>
      <c r="BA259" s="20"/>
      <c r="BB259" s="20"/>
      <c r="BC259" s="20"/>
      <c r="BD259" s="20"/>
      <c r="BE259" s="20"/>
      <c r="BF259" s="20"/>
      <c r="BG259" s="20"/>
      <c r="BH259" s="20"/>
      <c r="BI259" s="20"/>
      <c r="BJ259" s="20"/>
      <c r="BK259" s="20"/>
      <c r="BL259" s="20"/>
      <c r="BM259" s="20"/>
      <c r="BN259" s="20"/>
      <c r="BO259" s="20"/>
      <c r="BQ259" s="249"/>
    </row>
    <row r="260" spans="1:69" s="16" customFormat="1" ht="18" hidden="1" customHeight="1" x14ac:dyDescent="0.15">
      <c r="A260" s="3" t="s">
        <v>19</v>
      </c>
      <c r="B260" s="4"/>
      <c r="C260" s="107" t="s">
        <v>41</v>
      </c>
      <c r="E260" s="66"/>
      <c r="F260" s="66"/>
      <c r="G260" s="26" t="s">
        <v>30</v>
      </c>
      <c r="H260" s="66"/>
      <c r="I260" s="26"/>
      <c r="J260" s="26"/>
      <c r="K260" s="50"/>
      <c r="L260" s="26" t="s">
        <v>42</v>
      </c>
      <c r="M260" s="26"/>
      <c r="N260" s="26"/>
      <c r="O260" s="26"/>
      <c r="P260" s="26"/>
      <c r="Q260" s="26"/>
      <c r="R260" s="26"/>
      <c r="S260" s="26"/>
      <c r="T260" s="26"/>
      <c r="U260" s="26"/>
      <c r="V260" s="26"/>
      <c r="W260" s="26"/>
      <c r="X260" s="26"/>
      <c r="Y260" s="26"/>
      <c r="Z260" s="26"/>
      <c r="AA260" s="26"/>
      <c r="AB260" s="26"/>
      <c r="AC260" s="26"/>
      <c r="AD260" s="42"/>
      <c r="AE260" s="43" t="s">
        <v>43</v>
      </c>
      <c r="AF260" s="42"/>
      <c r="AG260" s="42"/>
      <c r="AH260" s="42"/>
      <c r="AI260" s="42"/>
      <c r="AJ260" s="42"/>
      <c r="AK260" s="42"/>
      <c r="AL260" s="42"/>
      <c r="AM260" s="42"/>
      <c r="AN260" s="42"/>
      <c r="AO260" s="42"/>
      <c r="AP260" s="42"/>
      <c r="AQ260" s="42"/>
      <c r="AR260" s="42"/>
      <c r="AS260" s="42"/>
      <c r="AT260" s="42"/>
      <c r="AU260" s="42"/>
      <c r="AV260" s="42"/>
      <c r="AW260" s="42"/>
      <c r="AX260" s="42"/>
      <c r="AY260" s="42"/>
      <c r="AZ260" s="140"/>
      <c r="BA260" s="86"/>
      <c r="BB260" s="86"/>
      <c r="BC260" s="86"/>
      <c r="BD260" s="86"/>
      <c r="BE260" s="86"/>
      <c r="BF260" s="86"/>
      <c r="BG260" s="86"/>
      <c r="BH260" s="86"/>
      <c r="BI260" s="86"/>
      <c r="BJ260" s="86"/>
      <c r="BK260" s="86"/>
      <c r="BL260" s="86"/>
      <c r="BM260" s="86"/>
      <c r="BN260" s="86"/>
      <c r="BO260" s="86"/>
      <c r="BQ260" s="142"/>
    </row>
    <row r="261" spans="1:69" s="16" customFormat="1" ht="16.5" hidden="1" customHeight="1" x14ac:dyDescent="0.15">
      <c r="A261" s="97" t="s">
        <v>13</v>
      </c>
      <c r="B261" s="87"/>
      <c r="C261" s="50"/>
      <c r="D261" s="56"/>
      <c r="E261" s="67"/>
      <c r="F261" s="66"/>
      <c r="G261" s="66"/>
      <c r="H261" s="66"/>
      <c r="I261" s="66"/>
      <c r="J261" s="26"/>
      <c r="K261" s="50"/>
      <c r="L261" s="50"/>
      <c r="M261" s="50"/>
      <c r="N261" s="50"/>
      <c r="O261" s="50"/>
      <c r="P261" s="50"/>
      <c r="Q261" s="50"/>
      <c r="R261" s="50"/>
      <c r="S261" s="50"/>
      <c r="T261" s="50"/>
      <c r="U261" s="50"/>
      <c r="V261" s="50"/>
      <c r="W261" s="50"/>
      <c r="X261" s="50"/>
      <c r="Y261" s="50"/>
      <c r="Z261" s="50"/>
      <c r="AA261" s="50"/>
      <c r="AB261" s="50"/>
      <c r="AC261" s="26"/>
      <c r="AD261" s="50"/>
      <c r="AE261" s="43"/>
      <c r="AF261" s="42"/>
      <c r="AG261" s="42"/>
      <c r="AH261" s="42"/>
      <c r="AI261" s="42"/>
      <c r="AJ261" s="42"/>
      <c r="AK261" s="42"/>
      <c r="AL261" s="42"/>
      <c r="AM261" s="42"/>
      <c r="AN261" s="42"/>
      <c r="AO261" s="42"/>
      <c r="AP261" s="42"/>
      <c r="AQ261" s="42"/>
      <c r="AR261" s="42"/>
      <c r="AS261" s="42"/>
      <c r="AT261" s="42"/>
      <c r="AU261" s="42"/>
      <c r="AV261" s="42"/>
      <c r="AW261" s="42"/>
      <c r="AX261" s="42"/>
      <c r="AY261" s="42"/>
      <c r="AZ261" s="140"/>
      <c r="BA261" s="86"/>
      <c r="BB261" s="86"/>
      <c r="BC261" s="86"/>
      <c r="BD261" s="86"/>
      <c r="BE261" s="86"/>
      <c r="BF261" s="86"/>
      <c r="BG261" s="86"/>
      <c r="BH261" s="86"/>
      <c r="BI261" s="86"/>
      <c r="BJ261" s="86"/>
      <c r="BK261" s="86"/>
      <c r="BL261" s="86"/>
      <c r="BM261" s="86"/>
      <c r="BN261" s="86"/>
      <c r="BO261" s="86"/>
      <c r="BQ261" s="142"/>
    </row>
    <row r="262" spans="1:69" s="16" customFormat="1" ht="11.25" customHeight="1" x14ac:dyDescent="0.15">
      <c r="A262" s="36"/>
      <c r="B262" s="37"/>
      <c r="C262" s="37"/>
      <c r="D262" s="19"/>
      <c r="E262" s="68"/>
      <c r="F262" s="69"/>
      <c r="G262" s="69"/>
      <c r="H262" s="69"/>
      <c r="I262" s="69"/>
      <c r="J262" s="27"/>
      <c r="K262" s="37"/>
      <c r="L262" s="37"/>
      <c r="M262" s="37"/>
      <c r="N262" s="37"/>
      <c r="O262" s="37"/>
      <c r="P262" s="37"/>
      <c r="Q262" s="37"/>
      <c r="R262" s="37"/>
      <c r="S262" s="37"/>
      <c r="T262" s="37"/>
      <c r="U262" s="37"/>
      <c r="V262" s="37"/>
      <c r="W262" s="37"/>
      <c r="X262" s="37"/>
      <c r="Y262" s="37"/>
      <c r="Z262" s="37"/>
      <c r="AA262" s="37"/>
      <c r="AB262" s="37"/>
      <c r="AC262" s="27"/>
      <c r="AD262" s="37"/>
      <c r="AE262" s="29"/>
      <c r="AF262" s="42"/>
      <c r="AG262" s="42"/>
      <c r="AH262" s="42"/>
      <c r="AI262" s="42"/>
      <c r="AJ262" s="42"/>
      <c r="AK262" s="42"/>
      <c r="AL262" s="42"/>
      <c r="AM262" s="42"/>
      <c r="AN262" s="42"/>
      <c r="AO262" s="42"/>
      <c r="AP262" s="42"/>
      <c r="AQ262" s="42"/>
      <c r="AR262" s="42"/>
      <c r="AS262" s="42"/>
      <c r="AT262" s="42"/>
      <c r="AU262" s="42"/>
      <c r="AV262" s="42"/>
      <c r="AW262" s="42"/>
      <c r="AX262" s="42"/>
      <c r="AY262" s="42"/>
      <c r="AZ262" s="140"/>
      <c r="BA262" s="86"/>
      <c r="BB262" s="86"/>
      <c r="BC262" s="86"/>
      <c r="BD262" s="86"/>
      <c r="BE262" s="86"/>
      <c r="BF262" s="86"/>
      <c r="BG262" s="86"/>
      <c r="BH262" s="86"/>
      <c r="BI262" s="86"/>
      <c r="BJ262" s="86"/>
      <c r="BK262" s="86"/>
      <c r="BL262" s="86"/>
      <c r="BM262" s="86"/>
      <c r="BN262" s="86"/>
      <c r="BO262" s="86"/>
      <c r="BQ262" s="142"/>
    </row>
    <row r="263" spans="1:69" s="22" customFormat="1" ht="21.75" customHeight="1" x14ac:dyDescent="0.15">
      <c r="A263" s="342" t="s">
        <v>14</v>
      </c>
      <c r="B263" s="343"/>
      <c r="C263" s="343"/>
      <c r="D263" s="343"/>
      <c r="E263" s="343"/>
      <c r="F263" s="343"/>
      <c r="G263" s="343"/>
      <c r="H263" s="343"/>
      <c r="I263" s="343"/>
      <c r="J263" s="343"/>
      <c r="K263" s="343"/>
      <c r="L263" s="343"/>
      <c r="M263" s="343"/>
      <c r="N263" s="343"/>
      <c r="O263" s="343"/>
      <c r="P263" s="343"/>
      <c r="Q263" s="343"/>
      <c r="R263" s="343"/>
      <c r="S263" s="343"/>
      <c r="T263" s="343"/>
      <c r="U263" s="343"/>
      <c r="V263" s="343"/>
      <c r="W263" s="343"/>
      <c r="X263" s="343"/>
      <c r="Y263" s="343"/>
      <c r="Z263" s="343"/>
      <c r="AA263" s="343"/>
      <c r="AB263" s="343"/>
      <c r="AC263" s="343"/>
      <c r="AD263" s="343"/>
      <c r="AE263" s="344"/>
      <c r="AF263" s="217"/>
      <c r="AG263" s="217"/>
      <c r="AH263" s="217"/>
      <c r="AI263" s="217"/>
      <c r="AJ263" s="217"/>
      <c r="AK263" s="217"/>
      <c r="AL263" s="217"/>
      <c r="AM263" s="217"/>
      <c r="AN263" s="217"/>
      <c r="AO263" s="217"/>
      <c r="AP263" s="217"/>
      <c r="AQ263" s="217"/>
      <c r="AR263" s="217"/>
      <c r="AS263" s="217"/>
      <c r="AT263" s="217"/>
      <c r="AU263" s="217"/>
      <c r="AV263" s="217"/>
      <c r="AW263" s="217"/>
      <c r="AX263" s="217"/>
      <c r="AY263" s="217"/>
      <c r="AZ263" s="168"/>
      <c r="BA263" s="20"/>
      <c r="BB263" s="20"/>
      <c r="BC263" s="20"/>
      <c r="BD263" s="20"/>
      <c r="BE263" s="20"/>
      <c r="BF263" s="20"/>
      <c r="BG263" s="20"/>
      <c r="BH263" s="20"/>
      <c r="BI263" s="20"/>
      <c r="BJ263" s="20"/>
      <c r="BK263" s="20"/>
      <c r="BL263" s="20"/>
      <c r="BM263" s="20"/>
      <c r="BN263" s="20"/>
      <c r="BO263" s="20"/>
      <c r="BQ263" s="249"/>
    </row>
    <row r="264" spans="1:69" s="25" customFormat="1" ht="18.75" customHeight="1" x14ac:dyDescent="0.15">
      <c r="A264" s="49" t="s">
        <v>32</v>
      </c>
      <c r="B264" s="88"/>
      <c r="C264" s="21"/>
      <c r="D264" s="21"/>
      <c r="E264" s="70"/>
      <c r="F264" s="70"/>
      <c r="G264" s="70"/>
      <c r="H264" s="70"/>
      <c r="I264" s="71" t="s">
        <v>29</v>
      </c>
      <c r="J264" s="46"/>
      <c r="K264" s="46"/>
      <c r="L264" s="46"/>
      <c r="M264" s="46"/>
      <c r="N264" s="46"/>
      <c r="O264" s="46"/>
      <c r="P264" s="46"/>
      <c r="Q264" s="46"/>
      <c r="R264" s="46"/>
      <c r="S264" s="46"/>
      <c r="T264" s="46"/>
      <c r="U264" s="46"/>
      <c r="V264" s="46"/>
      <c r="W264" s="46"/>
      <c r="X264" s="46"/>
      <c r="Y264" s="46"/>
      <c r="Z264" s="46"/>
      <c r="AA264" s="46"/>
      <c r="AB264" s="46"/>
      <c r="AC264" s="46"/>
      <c r="AD264" s="46"/>
      <c r="AE264" s="47"/>
      <c r="AF264" s="218"/>
      <c r="AG264" s="218"/>
      <c r="AH264" s="218"/>
      <c r="AI264" s="218"/>
      <c r="AJ264" s="218"/>
      <c r="AK264" s="218"/>
      <c r="AL264" s="218"/>
      <c r="AM264" s="218"/>
      <c r="AN264" s="218"/>
      <c r="AO264" s="218"/>
      <c r="AP264" s="218"/>
      <c r="AQ264" s="218"/>
      <c r="AR264" s="218"/>
      <c r="AS264" s="218"/>
      <c r="AT264" s="218"/>
      <c r="AU264" s="218"/>
      <c r="AV264" s="218"/>
      <c r="AW264" s="218"/>
      <c r="AX264" s="218"/>
      <c r="AY264" s="218"/>
      <c r="AZ264" s="169"/>
      <c r="BA264" s="30"/>
      <c r="BB264" s="30"/>
      <c r="BC264" s="30"/>
      <c r="BD264" s="30"/>
      <c r="BE264" s="30"/>
      <c r="BF264" s="30"/>
      <c r="BG264" s="30"/>
      <c r="BH264" s="30"/>
      <c r="BI264" s="30"/>
      <c r="BJ264" s="30"/>
      <c r="BK264" s="30"/>
      <c r="BL264" s="30"/>
      <c r="BM264" s="30"/>
      <c r="BN264" s="30"/>
      <c r="BO264" s="30"/>
      <c r="BQ264" s="250"/>
    </row>
    <row r="265" spans="1:69" s="16" customFormat="1" ht="18.75" customHeight="1" x14ac:dyDescent="0.15">
      <c r="A265" s="345" t="s">
        <v>33</v>
      </c>
      <c r="B265" s="346"/>
      <c r="C265" s="346"/>
      <c r="D265" s="346"/>
      <c r="E265" s="72" t="s">
        <v>24</v>
      </c>
      <c r="F265" s="73"/>
      <c r="G265" s="73"/>
      <c r="H265" s="73"/>
      <c r="I265" s="74" t="s">
        <v>36</v>
      </c>
      <c r="K265" s="17"/>
      <c r="L265" s="17"/>
      <c r="M265" s="17"/>
      <c r="N265" s="17"/>
      <c r="O265" s="17"/>
      <c r="P265" s="17"/>
      <c r="Q265" s="17"/>
      <c r="R265" s="17"/>
      <c r="S265" s="17"/>
      <c r="T265" s="17"/>
      <c r="U265" s="17"/>
      <c r="V265" s="17"/>
      <c r="W265" s="17"/>
      <c r="X265" s="17"/>
      <c r="Y265" s="17"/>
      <c r="Z265" s="17"/>
      <c r="AA265" s="17"/>
      <c r="AB265" s="17"/>
      <c r="AC265" s="16" t="s">
        <v>39</v>
      </c>
      <c r="AE265" s="99" t="s">
        <v>24</v>
      </c>
      <c r="AF265" s="170"/>
      <c r="AG265" s="170"/>
      <c r="AH265" s="170"/>
      <c r="AI265" s="170"/>
      <c r="AJ265" s="170"/>
      <c r="AK265" s="170"/>
      <c r="AL265" s="170"/>
      <c r="AM265" s="170"/>
      <c r="AN265" s="170"/>
      <c r="AO265" s="170"/>
      <c r="AP265" s="170"/>
      <c r="AQ265" s="170"/>
      <c r="AR265" s="170"/>
      <c r="AS265" s="170"/>
      <c r="AT265" s="170"/>
      <c r="AU265" s="170"/>
      <c r="AV265" s="170"/>
      <c r="AW265" s="170"/>
      <c r="AX265" s="170"/>
      <c r="AY265" s="170"/>
      <c r="AZ265" s="140"/>
      <c r="BA265" s="86"/>
      <c r="BB265" s="86"/>
      <c r="BC265" s="86"/>
      <c r="BD265" s="86"/>
      <c r="BE265" s="86"/>
      <c r="BF265" s="86"/>
      <c r="BG265" s="86"/>
      <c r="BH265" s="86"/>
      <c r="BI265" s="86"/>
      <c r="BJ265" s="86"/>
      <c r="BK265" s="86"/>
      <c r="BL265" s="86"/>
      <c r="BM265" s="86"/>
      <c r="BN265" s="86"/>
      <c r="BO265" s="86"/>
      <c r="BQ265" s="142"/>
    </row>
    <row r="266" spans="1:69" s="16" customFormat="1" ht="18.75" customHeight="1" x14ac:dyDescent="0.15">
      <c r="A266" s="345" t="s">
        <v>34</v>
      </c>
      <c r="B266" s="346"/>
      <c r="C266" s="346"/>
      <c r="D266" s="346"/>
      <c r="E266" s="75"/>
      <c r="F266" s="76"/>
      <c r="G266" s="76"/>
      <c r="H266" s="76"/>
      <c r="I266" s="77" t="s">
        <v>37</v>
      </c>
      <c r="K266" s="18"/>
      <c r="L266" s="18"/>
      <c r="M266" s="18"/>
      <c r="N266" s="18"/>
      <c r="O266" s="18"/>
      <c r="P266" s="18"/>
      <c r="Q266" s="18"/>
      <c r="R266" s="18"/>
      <c r="S266" s="18"/>
      <c r="T266" s="18"/>
      <c r="U266" s="18"/>
      <c r="V266" s="18"/>
      <c r="W266" s="18"/>
      <c r="X266" s="18"/>
      <c r="Y266" s="18"/>
      <c r="Z266" s="18"/>
      <c r="AA266" s="18"/>
      <c r="AB266" s="18"/>
      <c r="AC266" s="16" t="s">
        <v>40</v>
      </c>
      <c r="AE266" s="48"/>
      <c r="AF266" s="171"/>
      <c r="AG266" s="171"/>
      <c r="AH266" s="171"/>
      <c r="AI266" s="171"/>
      <c r="AJ266" s="171"/>
      <c r="AK266" s="171"/>
      <c r="AL266" s="171"/>
      <c r="AM266" s="171"/>
      <c r="AN266" s="171"/>
      <c r="AO266" s="171"/>
      <c r="AP266" s="171"/>
      <c r="AQ266" s="171"/>
      <c r="AR266" s="171"/>
      <c r="AS266" s="171"/>
      <c r="AT266" s="171"/>
      <c r="AU266" s="171"/>
      <c r="AV266" s="171"/>
      <c r="AW266" s="171"/>
      <c r="AX266" s="171"/>
      <c r="AY266" s="171"/>
      <c r="AZ266" s="140"/>
      <c r="BA266" s="86"/>
      <c r="BB266" s="86"/>
      <c r="BC266" s="86"/>
      <c r="BD266" s="86"/>
      <c r="BE266" s="86"/>
      <c r="BF266" s="86"/>
      <c r="BG266" s="86"/>
      <c r="BH266" s="86"/>
      <c r="BI266" s="86"/>
      <c r="BJ266" s="86"/>
      <c r="BK266" s="86"/>
      <c r="BL266" s="86"/>
      <c r="BM266" s="86"/>
      <c r="BN266" s="86"/>
      <c r="BO266" s="86"/>
      <c r="BQ266" s="142"/>
    </row>
    <row r="267" spans="1:69" s="16" customFormat="1" ht="18.75" customHeight="1" x14ac:dyDescent="0.15">
      <c r="A267" s="345" t="s">
        <v>35</v>
      </c>
      <c r="B267" s="346"/>
      <c r="C267" s="346"/>
      <c r="D267" s="346"/>
      <c r="E267" s="75"/>
      <c r="F267" s="76"/>
      <c r="G267" s="76"/>
      <c r="H267" s="76"/>
      <c r="I267" s="74" t="s">
        <v>38</v>
      </c>
      <c r="K267" s="56"/>
      <c r="L267" s="56"/>
      <c r="M267" s="56"/>
      <c r="N267" s="56"/>
      <c r="O267" s="56"/>
      <c r="P267" s="56"/>
      <c r="Q267" s="56"/>
      <c r="R267" s="56"/>
      <c r="S267" s="56"/>
      <c r="T267" s="56"/>
      <c r="U267" s="56"/>
      <c r="V267" s="56"/>
      <c r="W267" s="56"/>
      <c r="X267" s="56"/>
      <c r="Y267" s="56"/>
      <c r="Z267" s="56"/>
      <c r="AA267" s="56"/>
      <c r="AB267" s="56"/>
      <c r="AC267" s="18" t="s">
        <v>44</v>
      </c>
      <c r="AD267" s="44"/>
      <c r="AE267" s="48"/>
      <c r="AF267" s="171"/>
      <c r="AG267" s="171"/>
      <c r="AH267" s="171"/>
      <c r="AI267" s="171"/>
      <c r="AJ267" s="171"/>
      <c r="AK267" s="171"/>
      <c r="AL267" s="171"/>
      <c r="AM267" s="171"/>
      <c r="AN267" s="171"/>
      <c r="AO267" s="171"/>
      <c r="AP267" s="171"/>
      <c r="AQ267" s="171"/>
      <c r="AR267" s="171"/>
      <c r="AS267" s="171"/>
      <c r="AT267" s="171"/>
      <c r="AU267" s="171"/>
      <c r="AV267" s="171"/>
      <c r="AW267" s="171"/>
      <c r="AX267" s="171"/>
      <c r="AY267" s="171"/>
      <c r="AZ267" s="140"/>
      <c r="BA267" s="86"/>
      <c r="BB267" s="86"/>
      <c r="BC267" s="86"/>
      <c r="BD267" s="86"/>
      <c r="BE267" s="86"/>
      <c r="BF267" s="86"/>
      <c r="BG267" s="86"/>
      <c r="BH267" s="86"/>
      <c r="BI267" s="86"/>
      <c r="BJ267" s="86"/>
      <c r="BK267" s="86"/>
      <c r="BL267" s="86"/>
      <c r="BM267" s="86"/>
      <c r="BN267" s="86"/>
      <c r="BO267" s="86"/>
      <c r="BQ267" s="142"/>
    </row>
    <row r="268" spans="1:69" s="16" customFormat="1" ht="9" customHeight="1" thickBot="1" x14ac:dyDescent="0.2">
      <c r="A268" s="57"/>
      <c r="B268" s="39"/>
      <c r="C268" s="39"/>
      <c r="D268" s="39"/>
      <c r="E268" s="78"/>
      <c r="F268" s="79"/>
      <c r="G268" s="79"/>
      <c r="H268" s="79"/>
      <c r="I268" s="80"/>
      <c r="J268" s="33"/>
      <c r="K268" s="39"/>
      <c r="L268" s="39"/>
      <c r="M268" s="39"/>
      <c r="N268" s="39"/>
      <c r="O268" s="39"/>
      <c r="P268" s="39"/>
      <c r="Q268" s="39"/>
      <c r="R268" s="39"/>
      <c r="S268" s="39"/>
      <c r="T268" s="39"/>
      <c r="U268" s="39"/>
      <c r="V268" s="39"/>
      <c r="W268" s="39"/>
      <c r="X268" s="39"/>
      <c r="Y268" s="39"/>
      <c r="Z268" s="39"/>
      <c r="AA268" s="39"/>
      <c r="AB268" s="39"/>
      <c r="AC268" s="34"/>
      <c r="AD268" s="34"/>
      <c r="AE268" s="35"/>
      <c r="AF268" s="44"/>
      <c r="AG268" s="44"/>
      <c r="AH268" s="44"/>
      <c r="AI268" s="44"/>
      <c r="AJ268" s="44"/>
      <c r="AK268" s="44"/>
      <c r="AL268" s="44"/>
      <c r="AM268" s="44"/>
      <c r="AN268" s="44"/>
      <c r="AO268" s="44"/>
      <c r="AP268" s="44"/>
      <c r="AQ268" s="44"/>
      <c r="AR268" s="44"/>
      <c r="AS268" s="44"/>
      <c r="AT268" s="44"/>
      <c r="AU268" s="44"/>
      <c r="AV268" s="44"/>
      <c r="AW268" s="44"/>
      <c r="AX268" s="44"/>
      <c r="AY268" s="44"/>
      <c r="AZ268" s="140"/>
      <c r="BA268" s="86"/>
      <c r="BB268" s="86"/>
      <c r="BC268" s="86"/>
      <c r="BD268" s="86"/>
      <c r="BE268" s="86"/>
      <c r="BF268" s="86"/>
      <c r="BG268" s="86"/>
      <c r="BH268" s="86"/>
      <c r="BI268" s="86"/>
      <c r="BJ268" s="86"/>
      <c r="BK268" s="86"/>
      <c r="BL268" s="86"/>
      <c r="BM268" s="86"/>
      <c r="BN268" s="86"/>
      <c r="BO268" s="86"/>
      <c r="BQ268" s="142"/>
    </row>
    <row r="269" spans="1:69" s="22" customFormat="1" ht="9.75" customHeight="1" thickBot="1" x14ac:dyDescent="0.2">
      <c r="A269" s="45"/>
      <c r="B269" s="32"/>
      <c r="C269" s="32"/>
      <c r="D269" s="30"/>
      <c r="E269" s="81"/>
      <c r="F269" s="82"/>
      <c r="G269" s="82"/>
      <c r="H269" s="82"/>
      <c r="I269" s="82"/>
      <c r="J269" s="25"/>
      <c r="K269" s="31"/>
      <c r="L269" s="31"/>
      <c r="M269" s="31"/>
      <c r="N269" s="31"/>
      <c r="O269" s="31"/>
      <c r="P269" s="31"/>
      <c r="Q269" s="31"/>
      <c r="R269" s="31"/>
      <c r="S269" s="31"/>
      <c r="T269" s="31"/>
      <c r="U269" s="31"/>
      <c r="V269" s="31"/>
      <c r="W269" s="31"/>
      <c r="X269" s="31"/>
      <c r="Y269" s="31"/>
      <c r="Z269" s="31"/>
      <c r="AA269" s="31"/>
      <c r="AB269" s="31"/>
      <c r="AC269" s="31"/>
      <c r="AD269" s="31"/>
      <c r="AE269" s="91"/>
      <c r="AF269" s="31"/>
      <c r="AG269" s="31"/>
      <c r="AH269" s="31"/>
      <c r="AI269" s="31"/>
      <c r="AJ269" s="31"/>
      <c r="AK269" s="31"/>
      <c r="AL269" s="31"/>
      <c r="AM269" s="31"/>
      <c r="AN269" s="31"/>
      <c r="AO269" s="31"/>
      <c r="AP269" s="31"/>
      <c r="AQ269" s="31"/>
      <c r="AR269" s="31"/>
      <c r="AS269" s="31"/>
      <c r="AT269" s="31"/>
      <c r="AU269" s="31"/>
      <c r="AV269" s="31"/>
      <c r="AW269" s="31"/>
      <c r="AX269" s="31"/>
      <c r="AY269" s="31"/>
      <c r="AZ269" s="168"/>
      <c r="BA269" s="20"/>
      <c r="BB269" s="20"/>
      <c r="BC269" s="20"/>
      <c r="BD269" s="20"/>
      <c r="BE269" s="20"/>
      <c r="BF269" s="20"/>
      <c r="BG269" s="20"/>
      <c r="BH269" s="20"/>
      <c r="BI269" s="20"/>
      <c r="BJ269" s="20"/>
      <c r="BK269" s="20"/>
      <c r="BL269" s="20"/>
      <c r="BM269" s="20"/>
      <c r="BN269" s="20"/>
      <c r="BO269" s="20"/>
      <c r="BQ269" s="249"/>
    </row>
    <row r="270" spans="1:69" s="16" customFormat="1" ht="15.75" customHeight="1" x14ac:dyDescent="0.15">
      <c r="A270" s="347"/>
      <c r="B270" s="348"/>
      <c r="C270" s="106" t="s">
        <v>20</v>
      </c>
      <c r="D270" s="349" t="s">
        <v>21</v>
      </c>
      <c r="E270" s="349"/>
      <c r="F270" s="349"/>
      <c r="G270" s="349"/>
      <c r="H270" s="349"/>
      <c r="I270" s="322" t="s">
        <v>23</v>
      </c>
      <c r="J270" s="323"/>
      <c r="K270" s="323"/>
      <c r="L270" s="323"/>
      <c r="M270" s="323"/>
      <c r="N270" s="323"/>
      <c r="O270" s="323"/>
      <c r="P270" s="323"/>
      <c r="Q270" s="323"/>
      <c r="R270" s="323"/>
      <c r="S270" s="323"/>
      <c r="T270" s="323"/>
      <c r="U270" s="323"/>
      <c r="V270" s="323"/>
      <c r="W270" s="323"/>
      <c r="X270" s="323"/>
      <c r="Y270" s="323"/>
      <c r="Z270" s="323"/>
      <c r="AA270" s="323"/>
      <c r="AB270" s="324"/>
      <c r="AC270" s="322" t="s">
        <v>22</v>
      </c>
      <c r="AD270" s="323"/>
      <c r="AE270" s="324"/>
      <c r="AF270" s="219"/>
      <c r="AG270" s="219"/>
      <c r="AH270" s="219"/>
      <c r="AI270" s="219"/>
      <c r="AJ270" s="219"/>
      <c r="AK270" s="219"/>
      <c r="AL270" s="219"/>
      <c r="AM270" s="219"/>
      <c r="AN270" s="219"/>
      <c r="AO270" s="219"/>
      <c r="AP270" s="219"/>
      <c r="AQ270" s="219"/>
      <c r="AR270" s="219"/>
      <c r="AS270" s="219"/>
      <c r="AT270" s="219"/>
      <c r="AU270" s="219"/>
      <c r="AV270" s="219"/>
      <c r="AW270" s="219"/>
      <c r="AX270" s="219"/>
      <c r="AY270" s="219"/>
      <c r="AZ270" s="140"/>
      <c r="BA270" s="86"/>
      <c r="BB270" s="86"/>
      <c r="BC270" s="86"/>
      <c r="BD270" s="86"/>
      <c r="BE270" s="86"/>
      <c r="BF270" s="86"/>
      <c r="BG270" s="86"/>
      <c r="BH270" s="86"/>
      <c r="BI270" s="86"/>
      <c r="BJ270" s="86"/>
      <c r="BK270" s="86"/>
      <c r="BL270" s="86"/>
      <c r="BM270" s="86"/>
      <c r="BN270" s="86"/>
      <c r="BO270" s="86"/>
      <c r="BQ270" s="142"/>
    </row>
    <row r="271" spans="1:69" s="16" customFormat="1" ht="60.75" customHeight="1" x14ac:dyDescent="0.15">
      <c r="A271" s="339" t="s">
        <v>25</v>
      </c>
      <c r="B271" s="340"/>
      <c r="C271" s="104"/>
      <c r="D271" s="341"/>
      <c r="E271" s="341"/>
      <c r="F271" s="341"/>
      <c r="G271" s="341"/>
      <c r="H271" s="341"/>
      <c r="I271" s="92"/>
      <c r="J271" s="90"/>
      <c r="K271" s="92"/>
      <c r="L271" s="92"/>
      <c r="M271" s="92"/>
      <c r="N271" s="92"/>
      <c r="O271" s="92"/>
      <c r="P271" s="92"/>
      <c r="Q271" s="92"/>
      <c r="R271" s="92"/>
      <c r="S271" s="92"/>
      <c r="T271" s="92"/>
      <c r="U271" s="92"/>
      <c r="V271" s="92"/>
      <c r="W271" s="92"/>
      <c r="X271" s="92"/>
      <c r="Y271" s="92"/>
      <c r="Z271" s="92"/>
      <c r="AA271" s="92"/>
      <c r="AB271" s="92"/>
      <c r="AC271" s="94"/>
      <c r="AD271" s="9"/>
      <c r="AE271" s="8"/>
      <c r="AF271" s="90"/>
      <c r="AG271" s="90"/>
      <c r="AH271" s="90"/>
      <c r="AI271" s="90"/>
      <c r="AJ271" s="90"/>
      <c r="AK271" s="90"/>
      <c r="AL271" s="90"/>
      <c r="AM271" s="90"/>
      <c r="AN271" s="90"/>
      <c r="AO271" s="90"/>
      <c r="AP271" s="90"/>
      <c r="AQ271" s="90"/>
      <c r="AR271" s="90"/>
      <c r="AS271" s="90"/>
      <c r="AT271" s="90"/>
      <c r="AU271" s="90"/>
      <c r="AV271" s="90"/>
      <c r="AW271" s="90"/>
      <c r="AX271" s="90"/>
      <c r="AY271" s="90"/>
      <c r="AZ271" s="140"/>
      <c r="BA271" s="86"/>
      <c r="BB271" s="86"/>
      <c r="BC271" s="86"/>
      <c r="BD271" s="86"/>
      <c r="BE271" s="86"/>
      <c r="BF271" s="86"/>
      <c r="BG271" s="86"/>
      <c r="BH271" s="86"/>
      <c r="BI271" s="86"/>
      <c r="BJ271" s="86"/>
      <c r="BK271" s="86"/>
      <c r="BL271" s="86"/>
      <c r="BM271" s="86"/>
      <c r="BN271" s="86"/>
      <c r="BO271" s="86"/>
      <c r="BQ271" s="142"/>
    </row>
    <row r="272" spans="1:69" s="16" customFormat="1" ht="60.75" customHeight="1" x14ac:dyDescent="0.15">
      <c r="A272" s="339" t="s">
        <v>26</v>
      </c>
      <c r="B272" s="340"/>
      <c r="C272" s="104"/>
      <c r="D272" s="341"/>
      <c r="E272" s="341"/>
      <c r="F272" s="341"/>
      <c r="G272" s="341"/>
      <c r="H272" s="341"/>
      <c r="I272" s="9"/>
      <c r="J272" s="83"/>
      <c r="K272" s="9"/>
      <c r="L272" s="9"/>
      <c r="M272" s="9"/>
      <c r="N272" s="9"/>
      <c r="O272" s="9"/>
      <c r="P272" s="9"/>
      <c r="Q272" s="9"/>
      <c r="R272" s="9"/>
      <c r="S272" s="9"/>
      <c r="T272" s="9"/>
      <c r="U272" s="9"/>
      <c r="V272" s="9"/>
      <c r="W272" s="9"/>
      <c r="X272" s="9"/>
      <c r="Y272" s="9"/>
      <c r="Z272" s="9"/>
      <c r="AA272" s="9"/>
      <c r="AB272" s="9"/>
      <c r="AC272" s="94"/>
      <c r="AD272" s="9"/>
      <c r="AE272" s="8"/>
      <c r="AF272" s="90"/>
      <c r="AG272" s="90"/>
      <c r="AH272" s="90"/>
      <c r="AI272" s="90"/>
      <c r="AJ272" s="90"/>
      <c r="AK272" s="90"/>
      <c r="AL272" s="90"/>
      <c r="AM272" s="90"/>
      <c r="AN272" s="90"/>
      <c r="AO272" s="90"/>
      <c r="AP272" s="90"/>
      <c r="AQ272" s="90"/>
      <c r="AR272" s="90"/>
      <c r="AS272" s="90"/>
      <c r="AT272" s="90"/>
      <c r="AU272" s="90"/>
      <c r="AV272" s="90"/>
      <c r="AW272" s="90"/>
      <c r="AX272" s="90"/>
      <c r="AY272" s="90"/>
      <c r="AZ272" s="140"/>
      <c r="BA272" s="86"/>
      <c r="BB272" s="86"/>
      <c r="BC272" s="86"/>
      <c r="BD272" s="86"/>
      <c r="BE272" s="86"/>
      <c r="BF272" s="86"/>
      <c r="BG272" s="86"/>
      <c r="BH272" s="86"/>
      <c r="BI272" s="86"/>
      <c r="BJ272" s="86"/>
      <c r="BK272" s="86"/>
      <c r="BL272" s="86"/>
      <c r="BM272" s="86"/>
      <c r="BN272" s="86"/>
      <c r="BO272" s="86"/>
      <c r="BQ272" s="142"/>
    </row>
    <row r="273" spans="1:71" s="16" customFormat="1" ht="60.75" customHeight="1" x14ac:dyDescent="0.15">
      <c r="A273" s="339" t="s">
        <v>27</v>
      </c>
      <c r="B273" s="340"/>
      <c r="C273" s="104"/>
      <c r="D273" s="341"/>
      <c r="E273" s="341"/>
      <c r="F273" s="341"/>
      <c r="G273" s="341"/>
      <c r="H273" s="341"/>
      <c r="I273" s="9"/>
      <c r="J273" s="83"/>
      <c r="K273" s="9"/>
      <c r="L273" s="9"/>
      <c r="M273" s="9"/>
      <c r="N273" s="9"/>
      <c r="O273" s="9"/>
      <c r="P273" s="9"/>
      <c r="Q273" s="9"/>
      <c r="R273" s="9"/>
      <c r="S273" s="9"/>
      <c r="T273" s="9"/>
      <c r="U273" s="9"/>
      <c r="V273" s="9"/>
      <c r="W273" s="9"/>
      <c r="X273" s="9"/>
      <c r="Y273" s="9"/>
      <c r="Z273" s="9"/>
      <c r="AA273" s="9"/>
      <c r="AB273" s="9"/>
      <c r="AC273" s="94"/>
      <c r="AD273" s="9"/>
      <c r="AE273" s="8"/>
      <c r="AF273" s="90"/>
      <c r="AG273" s="90"/>
      <c r="AH273" s="90"/>
      <c r="AI273" s="90"/>
      <c r="AJ273" s="90"/>
      <c r="AK273" s="90"/>
      <c r="AL273" s="90"/>
      <c r="AM273" s="90"/>
      <c r="AN273" s="90"/>
      <c r="AO273" s="90"/>
      <c r="AP273" s="90"/>
      <c r="AQ273" s="90"/>
      <c r="AR273" s="90"/>
      <c r="AS273" s="90"/>
      <c r="AT273" s="90"/>
      <c r="AU273" s="90"/>
      <c r="AV273" s="90"/>
      <c r="AW273" s="90"/>
      <c r="AX273" s="90"/>
      <c r="AY273" s="90"/>
      <c r="AZ273" s="140"/>
      <c r="BA273" s="86"/>
      <c r="BB273" s="86"/>
      <c r="BC273" s="86"/>
      <c r="BD273" s="86"/>
      <c r="BE273" s="86"/>
      <c r="BF273" s="86"/>
      <c r="BG273" s="86"/>
      <c r="BH273" s="86"/>
      <c r="BI273" s="86"/>
      <c r="BJ273" s="86"/>
      <c r="BK273" s="86"/>
      <c r="BL273" s="86"/>
      <c r="BM273" s="86"/>
      <c r="BN273" s="86"/>
      <c r="BO273" s="86"/>
      <c r="BQ273" s="142"/>
    </row>
    <row r="274" spans="1:71" s="16" customFormat="1" ht="60.75" customHeight="1" thickBot="1" x14ac:dyDescent="0.2">
      <c r="A274" s="334" t="s">
        <v>28</v>
      </c>
      <c r="B274" s="335"/>
      <c r="C274" s="23"/>
      <c r="D274" s="336"/>
      <c r="E274" s="337"/>
      <c r="F274" s="337"/>
      <c r="G274" s="337"/>
      <c r="H274" s="338"/>
      <c r="I274" s="23"/>
      <c r="K274" s="7"/>
      <c r="L274" s="7"/>
      <c r="M274" s="7"/>
      <c r="N274" s="7"/>
      <c r="O274" s="7"/>
      <c r="P274" s="7"/>
      <c r="Q274" s="7"/>
      <c r="R274" s="7"/>
      <c r="S274" s="7"/>
      <c r="T274" s="7"/>
      <c r="U274" s="7"/>
      <c r="V274" s="7"/>
      <c r="W274" s="7"/>
      <c r="X274" s="7"/>
      <c r="Y274" s="7"/>
      <c r="Z274" s="7"/>
      <c r="AA274" s="7"/>
      <c r="AB274" s="7"/>
      <c r="AC274" s="23"/>
      <c r="AD274" s="7"/>
      <c r="AE274" s="8"/>
      <c r="AF274" s="90"/>
      <c r="AG274" s="90"/>
      <c r="AH274" s="90"/>
      <c r="AI274" s="90"/>
      <c r="AJ274" s="90"/>
      <c r="AK274" s="90"/>
      <c r="AL274" s="90"/>
      <c r="AM274" s="90"/>
      <c r="AN274" s="90"/>
      <c r="AO274" s="90"/>
      <c r="AP274" s="90"/>
      <c r="AQ274" s="90"/>
      <c r="AR274" s="90"/>
      <c r="AS274" s="90"/>
      <c r="AT274" s="90"/>
      <c r="AU274" s="90"/>
      <c r="AV274" s="90"/>
      <c r="AW274" s="90"/>
      <c r="AX274" s="90"/>
      <c r="AY274" s="90"/>
      <c r="AZ274" s="140"/>
      <c r="BA274" s="86"/>
      <c r="BB274" s="86"/>
      <c r="BC274" s="86"/>
      <c r="BD274" s="86"/>
      <c r="BE274" s="86"/>
      <c r="BF274" s="86"/>
      <c r="BG274" s="86"/>
      <c r="BH274" s="86"/>
      <c r="BI274" s="86"/>
      <c r="BJ274" s="86"/>
      <c r="BK274" s="86"/>
      <c r="BL274" s="86"/>
      <c r="BM274" s="86"/>
      <c r="BN274" s="86"/>
      <c r="BO274" s="86"/>
      <c r="BQ274" s="142"/>
    </row>
    <row r="275" spans="1:71" s="16" customFormat="1" ht="6.75" customHeight="1" x14ac:dyDescent="0.15">
      <c r="A275" s="52"/>
      <c r="B275" s="52"/>
      <c r="C275" s="95"/>
      <c r="D275" s="95"/>
      <c r="E275" s="96"/>
      <c r="F275" s="89"/>
      <c r="G275" s="89"/>
      <c r="H275" s="89"/>
      <c r="I275" s="89"/>
      <c r="J275" s="53"/>
      <c r="K275" s="90"/>
      <c r="L275" s="90"/>
      <c r="M275" s="90"/>
      <c r="N275" s="90"/>
      <c r="O275" s="90"/>
      <c r="P275" s="90"/>
      <c r="Q275" s="90"/>
      <c r="R275" s="90"/>
      <c r="S275" s="90"/>
      <c r="T275" s="90"/>
      <c r="U275" s="90"/>
      <c r="V275" s="90"/>
      <c r="W275" s="90"/>
      <c r="X275" s="90"/>
      <c r="Y275" s="90"/>
      <c r="Z275" s="90"/>
      <c r="AA275" s="90"/>
      <c r="AB275" s="90"/>
      <c r="AC275" s="90"/>
      <c r="AD275" s="93"/>
      <c r="AE275" s="54"/>
      <c r="AF275" s="135"/>
      <c r="AG275" s="135"/>
      <c r="AH275" s="135"/>
      <c r="AI275" s="135"/>
      <c r="AJ275" s="135"/>
      <c r="AK275" s="135"/>
      <c r="AL275" s="135"/>
      <c r="AM275" s="135"/>
      <c r="AN275" s="135"/>
      <c r="AO275" s="135"/>
      <c r="AP275" s="135"/>
      <c r="AQ275" s="135"/>
      <c r="AR275" s="135"/>
      <c r="AS275" s="135"/>
      <c r="AT275" s="135"/>
      <c r="AU275" s="135"/>
      <c r="AV275" s="135"/>
      <c r="AW275" s="135"/>
      <c r="AX275" s="135"/>
      <c r="AY275" s="135"/>
      <c r="AZ275" s="140"/>
      <c r="BA275" s="86"/>
      <c r="BB275" s="86"/>
      <c r="BC275" s="86"/>
      <c r="BD275" s="86"/>
      <c r="BE275" s="86"/>
      <c r="BF275" s="86"/>
      <c r="BG275" s="86"/>
      <c r="BH275" s="86"/>
      <c r="BI275" s="86"/>
      <c r="BJ275" s="86"/>
      <c r="BK275" s="86"/>
      <c r="BL275" s="86"/>
      <c r="BM275" s="86"/>
      <c r="BN275" s="86"/>
      <c r="BO275" s="86"/>
      <c r="BQ275" s="142"/>
    </row>
    <row r="276" spans="1:71" s="50" customFormat="1" ht="8.25" customHeight="1" x14ac:dyDescent="0.15">
      <c r="A276" s="4"/>
      <c r="B276" s="4"/>
      <c r="C276" s="4"/>
      <c r="D276" s="4"/>
      <c r="E276" s="84"/>
      <c r="F276" s="84"/>
      <c r="G276" s="84"/>
      <c r="H276" s="84"/>
      <c r="I276" s="84"/>
      <c r="J276" s="4"/>
      <c r="K276" s="4"/>
      <c r="L276" s="4"/>
      <c r="M276" s="4"/>
      <c r="N276" s="4"/>
      <c r="O276" s="4"/>
      <c r="P276" s="4"/>
      <c r="Q276" s="4"/>
      <c r="R276" s="4"/>
      <c r="S276" s="4"/>
      <c r="T276" s="4"/>
      <c r="U276" s="4"/>
      <c r="V276" s="4"/>
      <c r="W276" s="4"/>
      <c r="X276" s="4"/>
      <c r="Y276" s="4"/>
      <c r="Z276" s="4"/>
      <c r="AA276" s="4"/>
      <c r="AB276" s="4"/>
      <c r="AC276" s="4"/>
      <c r="AD276" s="4"/>
      <c r="AE276" s="55" t="s">
        <v>5</v>
      </c>
      <c r="AF276" s="55"/>
      <c r="AG276" s="55"/>
      <c r="AH276" s="55"/>
      <c r="AI276" s="55"/>
      <c r="AJ276" s="55"/>
      <c r="AK276" s="55"/>
      <c r="AL276" s="55"/>
      <c r="AM276" s="55"/>
      <c r="AN276" s="55"/>
      <c r="AO276" s="55"/>
      <c r="AP276" s="55"/>
      <c r="AQ276" s="55"/>
      <c r="AR276" s="55"/>
      <c r="AS276" s="55"/>
      <c r="AT276" s="55"/>
      <c r="AU276" s="55"/>
      <c r="AV276" s="55"/>
      <c r="AW276" s="55"/>
      <c r="AX276" s="55"/>
      <c r="AY276" s="55"/>
      <c r="BA276" s="42"/>
      <c r="BB276" s="42"/>
      <c r="BC276" s="42"/>
      <c r="BD276" s="42"/>
      <c r="BE276" s="42"/>
      <c r="BF276" s="42"/>
      <c r="BG276" s="42"/>
      <c r="BH276" s="42"/>
      <c r="BI276" s="42"/>
      <c r="BJ276" s="42"/>
      <c r="BK276" s="42"/>
      <c r="BL276" s="42"/>
      <c r="BM276" s="42"/>
      <c r="BN276" s="42"/>
      <c r="BO276" s="42"/>
      <c r="BP276" s="4"/>
      <c r="BQ276" s="141"/>
      <c r="BR276" s="4"/>
      <c r="BS276" s="4"/>
    </row>
  </sheetData>
  <autoFilter ref="A11:BS261" xr:uid="{94C253AD-BC96-49A0-AE92-B751E629A493}">
    <filterColumn colId="33">
      <customFilters>
        <customFilter operator="notEqual" val=" "/>
      </customFilters>
    </filterColumn>
  </autoFilter>
  <mergeCells count="83">
    <mergeCell ref="A274:B274"/>
    <mergeCell ref="D274:H274"/>
    <mergeCell ref="BN9:BO9"/>
    <mergeCell ref="A271:B271"/>
    <mergeCell ref="D271:H271"/>
    <mergeCell ref="A272:B272"/>
    <mergeCell ref="D272:H272"/>
    <mergeCell ref="A273:B273"/>
    <mergeCell ref="D273:H273"/>
    <mergeCell ref="A263:AE263"/>
    <mergeCell ref="A265:D265"/>
    <mergeCell ref="A266:D266"/>
    <mergeCell ref="A267:D267"/>
    <mergeCell ref="A270:B270"/>
    <mergeCell ref="D270:H270"/>
    <mergeCell ref="I270:AB270"/>
    <mergeCell ref="BE56:BE58"/>
    <mergeCell ref="B127:C127"/>
    <mergeCell ref="AC270:AE270"/>
    <mergeCell ref="B170:C170"/>
    <mergeCell ref="B223:C223"/>
    <mergeCell ref="B251:C251"/>
    <mergeCell ref="A255:AE255"/>
    <mergeCell ref="A258:AE258"/>
    <mergeCell ref="A259:AE259"/>
    <mergeCell ref="B167:C167"/>
    <mergeCell ref="B12:C12"/>
    <mergeCell ref="G50:G51"/>
    <mergeCell ref="H50:H51"/>
    <mergeCell ref="BD50:BD51"/>
    <mergeCell ref="G56:G58"/>
    <mergeCell ref="H56:H58"/>
    <mergeCell ref="BD56:BD58"/>
    <mergeCell ref="BE50:BE51"/>
    <mergeCell ref="G53:G55"/>
    <mergeCell ref="H53:H55"/>
    <mergeCell ref="BD53:BD55"/>
    <mergeCell ref="BE53:BE55"/>
    <mergeCell ref="BD9:BE9"/>
    <mergeCell ref="BF9:BG9"/>
    <mergeCell ref="BH9:BI9"/>
    <mergeCell ref="BJ9:BK9"/>
    <mergeCell ref="BL9:BM9"/>
    <mergeCell ref="AC9:AD9"/>
    <mergeCell ref="BB9:BC9"/>
    <mergeCell ref="AF9:AG9"/>
    <mergeCell ref="AH9:AI9"/>
    <mergeCell ref="AJ9:AK9"/>
    <mergeCell ref="AL9:AM9"/>
    <mergeCell ref="AN9:AO9"/>
    <mergeCell ref="AP9:AQ9"/>
    <mergeCell ref="AR9:AS9"/>
    <mergeCell ref="AT9:AU9"/>
    <mergeCell ref="AV9:AW9"/>
    <mergeCell ref="AX9:AY9"/>
    <mergeCell ref="AZ9:BA9"/>
    <mergeCell ref="S9:T9"/>
    <mergeCell ref="U9:V9"/>
    <mergeCell ref="W9:X9"/>
    <mergeCell ref="Y9:Z9"/>
    <mergeCell ref="AA9:AB9"/>
    <mergeCell ref="A7:C7"/>
    <mergeCell ref="D7:H7"/>
    <mergeCell ref="J7:AE7"/>
    <mergeCell ref="A9:A10"/>
    <mergeCell ref="B9:B10"/>
    <mergeCell ref="C9:C10"/>
    <mergeCell ref="D9:D10"/>
    <mergeCell ref="E9:E10"/>
    <mergeCell ref="F9:F10"/>
    <mergeCell ref="G9:H9"/>
    <mergeCell ref="AE9:AE10"/>
    <mergeCell ref="I9:J9"/>
    <mergeCell ref="K9:L9"/>
    <mergeCell ref="M9:N9"/>
    <mergeCell ref="O9:P9"/>
    <mergeCell ref="Q9:R9"/>
    <mergeCell ref="D1:AE2"/>
    <mergeCell ref="D3:AE3"/>
    <mergeCell ref="A5:C5"/>
    <mergeCell ref="J5:AE5"/>
    <mergeCell ref="A6:C6"/>
    <mergeCell ref="J6:AE6"/>
  </mergeCells>
  <phoneticPr fontId="24" type="noConversion"/>
  <printOptions horizontalCentered="1"/>
  <pageMargins left="0.23622047244094491" right="0" top="0.19" bottom="0.31" header="0" footer="0.15748031496062992"/>
  <pageSetup paperSize="9" scale="40" fitToHeight="0" orientation="landscape" r:id="rId1"/>
  <headerFooter alignWithMargins="0">
    <oddFooter>&amp;CPage &amp;P of &amp;N&amp;R&amp;F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C378-68C3-4EA8-8729-D7739DD949AF}">
  <sheetPr>
    <pageSetUpPr fitToPage="1"/>
  </sheetPr>
  <dimension ref="A1:H12"/>
  <sheetViews>
    <sheetView workbookViewId="0">
      <pane ySplit="4" topLeftCell="A5" activePane="bottomLeft" state="frozen"/>
      <selection pane="bottomLeft" activeCell="H26" sqref="H26"/>
    </sheetView>
  </sheetViews>
  <sheetFormatPr baseColWidth="10" defaultColWidth="8.83203125" defaultRowHeight="13" x14ac:dyDescent="0.15"/>
  <cols>
    <col min="2" max="2" width="9" bestFit="1" customWidth="1"/>
    <col min="3" max="3" width="14" bestFit="1" customWidth="1"/>
    <col min="4" max="4" width="10.6640625" bestFit="1" customWidth="1"/>
    <col min="5" max="5" width="15.33203125" customWidth="1"/>
    <col min="6" max="6" width="18.5" bestFit="1" customWidth="1"/>
    <col min="7" max="7" width="5.83203125" bestFit="1" customWidth="1"/>
    <col min="8" max="8" width="16.5" bestFit="1" customWidth="1"/>
  </cols>
  <sheetData>
    <row r="1" spans="1:8" ht="20" x14ac:dyDescent="0.2">
      <c r="A1" s="350" t="s">
        <v>358</v>
      </c>
      <c r="B1" s="350"/>
      <c r="C1" s="350"/>
      <c r="D1" s="350"/>
      <c r="E1" s="350"/>
      <c r="F1" s="350"/>
      <c r="G1" s="350"/>
      <c r="H1" s="350"/>
    </row>
    <row r="2" spans="1:8" x14ac:dyDescent="0.15">
      <c r="A2" s="183"/>
      <c r="B2" s="183"/>
      <c r="C2" s="183"/>
      <c r="D2" s="183" t="s">
        <v>363</v>
      </c>
      <c r="E2" s="183"/>
      <c r="F2" s="183" t="s">
        <v>355</v>
      </c>
      <c r="G2" s="183"/>
      <c r="H2" s="183"/>
    </row>
    <row r="3" spans="1:8" x14ac:dyDescent="0.15">
      <c r="G3" s="181">
        <f>+SUM(G5:G10)</f>
        <v>175</v>
      </c>
      <c r="H3" s="182">
        <f>+SUM(H5:H10)</f>
        <v>175970.31</v>
      </c>
    </row>
    <row r="4" spans="1:8" ht="21.75" customHeight="1" x14ac:dyDescent="0.15">
      <c r="A4" s="189" t="s">
        <v>300</v>
      </c>
      <c r="B4" s="189" t="s">
        <v>299</v>
      </c>
      <c r="C4" s="189" t="s">
        <v>298</v>
      </c>
      <c r="D4" s="189" t="s">
        <v>296</v>
      </c>
      <c r="E4" s="189" t="s">
        <v>295</v>
      </c>
      <c r="F4" s="189" t="s">
        <v>294</v>
      </c>
      <c r="G4" s="189" t="s">
        <v>297</v>
      </c>
      <c r="H4" s="189" t="s">
        <v>293</v>
      </c>
    </row>
    <row r="5" spans="1:8" x14ac:dyDescent="0.15">
      <c r="A5" s="175">
        <v>1</v>
      </c>
      <c r="B5" s="179" t="s">
        <v>238</v>
      </c>
      <c r="C5" s="179" t="s">
        <v>62</v>
      </c>
      <c r="D5" s="184">
        <v>6</v>
      </c>
      <c r="E5" s="128">
        <v>2000</v>
      </c>
      <c r="F5" s="128">
        <v>6650</v>
      </c>
      <c r="G5" s="128">
        <v>28</v>
      </c>
      <c r="H5" s="180">
        <f>+D5*E5*F5*G5*7.85/10^6</f>
        <v>17540.04</v>
      </c>
    </row>
    <row r="6" spans="1:8" x14ac:dyDescent="0.15">
      <c r="A6" s="175">
        <v>2</v>
      </c>
      <c r="B6" s="179" t="s">
        <v>238</v>
      </c>
      <c r="C6" s="179" t="s">
        <v>62</v>
      </c>
      <c r="D6" s="184">
        <v>6</v>
      </c>
      <c r="E6" s="128">
        <v>2000</v>
      </c>
      <c r="F6" s="128">
        <v>7000</v>
      </c>
      <c r="G6" s="128">
        <v>12</v>
      </c>
      <c r="H6" s="180">
        <f t="shared" ref="H6:H10" si="0">+D6*E6*F6*G6*7.85/10^6</f>
        <v>7912.8</v>
      </c>
    </row>
    <row r="7" spans="1:8" x14ac:dyDescent="0.15">
      <c r="A7" s="175">
        <v>3</v>
      </c>
      <c r="B7" s="179" t="s">
        <v>238</v>
      </c>
      <c r="C7" s="179" t="s">
        <v>62</v>
      </c>
      <c r="D7" s="184">
        <v>6</v>
      </c>
      <c r="E7" s="128">
        <v>2000</v>
      </c>
      <c r="F7" s="128">
        <v>10300</v>
      </c>
      <c r="G7" s="128">
        <v>4</v>
      </c>
      <c r="H7" s="180">
        <f t="shared" si="0"/>
        <v>3881.04</v>
      </c>
    </row>
    <row r="8" spans="1:8" x14ac:dyDescent="0.15">
      <c r="A8" s="175">
        <v>4</v>
      </c>
      <c r="B8" s="179" t="s">
        <v>238</v>
      </c>
      <c r="C8" s="179" t="s">
        <v>62</v>
      </c>
      <c r="D8" s="184">
        <v>6</v>
      </c>
      <c r="E8" s="128">
        <v>2000</v>
      </c>
      <c r="F8" s="128">
        <v>11150</v>
      </c>
      <c r="G8" s="128">
        <v>71</v>
      </c>
      <c r="H8" s="180">
        <f t="shared" si="0"/>
        <v>74573.429999999993</v>
      </c>
    </row>
    <row r="9" spans="1:8" x14ac:dyDescent="0.15">
      <c r="A9" s="175">
        <v>5</v>
      </c>
      <c r="B9" s="179" t="s">
        <v>238</v>
      </c>
      <c r="C9" s="179" t="s">
        <v>62</v>
      </c>
      <c r="D9" s="184">
        <v>6</v>
      </c>
      <c r="E9" s="128">
        <v>2000</v>
      </c>
      <c r="F9" s="128">
        <v>12000</v>
      </c>
      <c r="G9" s="128">
        <v>15</v>
      </c>
      <c r="H9" s="180">
        <f t="shared" si="0"/>
        <v>16956</v>
      </c>
    </row>
    <row r="10" spans="1:8" x14ac:dyDescent="0.15">
      <c r="A10" s="175">
        <v>5</v>
      </c>
      <c r="B10" s="179" t="s">
        <v>238</v>
      </c>
      <c r="C10" s="179" t="s">
        <v>62</v>
      </c>
      <c r="D10" s="184">
        <v>6</v>
      </c>
      <c r="E10" s="128">
        <v>2000</v>
      </c>
      <c r="F10" s="128">
        <v>13000</v>
      </c>
      <c r="G10" s="128">
        <v>45</v>
      </c>
      <c r="H10" s="180">
        <f t="shared" si="0"/>
        <v>55107</v>
      </c>
    </row>
    <row r="12" spans="1:8" ht="16" x14ac:dyDescent="0.2">
      <c r="F12" s="351" t="s">
        <v>351</v>
      </c>
      <c r="G12" s="351"/>
      <c r="H12" s="351"/>
    </row>
  </sheetData>
  <mergeCells count="2">
    <mergeCell ref="A1:H1"/>
    <mergeCell ref="F12:H12"/>
  </mergeCells>
  <pageMargins left="0.7" right="0.24" top="0.85" bottom="0.75" header="0.3" footer="0.3"/>
  <pageSetup paperSize="9" scale="9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4C687-5A74-45E1-92E9-423E3A68B06C}">
  <dimension ref="A1:K37"/>
  <sheetViews>
    <sheetView workbookViewId="0">
      <selection activeCell="Q12" sqref="Q12"/>
    </sheetView>
  </sheetViews>
  <sheetFormatPr baseColWidth="10" defaultColWidth="8.83203125" defaultRowHeight="13" x14ac:dyDescent="0.15"/>
  <cols>
    <col min="1" max="1" width="4.1640625" bestFit="1" customWidth="1"/>
    <col min="2" max="2" width="8.6640625" bestFit="1" customWidth="1"/>
    <col min="3" max="3" width="6.33203125" bestFit="1" customWidth="1"/>
    <col min="4" max="4" width="8.5" bestFit="1" customWidth="1"/>
    <col min="6" max="6" width="8.1640625" bestFit="1" customWidth="1"/>
    <col min="8" max="8" width="6.83203125" bestFit="1" customWidth="1"/>
    <col min="9" max="10" width="8.5" bestFit="1" customWidth="1"/>
    <col min="11" max="11" width="8.6640625" bestFit="1" customWidth="1"/>
  </cols>
  <sheetData>
    <row r="1" spans="1:11" ht="43" thickBot="1" x14ac:dyDescent="0.2">
      <c r="A1" s="185" t="s">
        <v>301</v>
      </c>
      <c r="B1" s="185" t="s">
        <v>302</v>
      </c>
      <c r="C1" s="185" t="s">
        <v>303</v>
      </c>
      <c r="D1" s="185" t="s">
        <v>304</v>
      </c>
      <c r="E1" s="185" t="s">
        <v>305</v>
      </c>
      <c r="F1" s="185" t="s">
        <v>306</v>
      </c>
      <c r="G1" s="185" t="s">
        <v>307</v>
      </c>
      <c r="H1" s="185" t="s">
        <v>308</v>
      </c>
      <c r="I1" s="185" t="s">
        <v>309</v>
      </c>
      <c r="J1" s="185" t="s">
        <v>310</v>
      </c>
      <c r="K1" s="185" t="s">
        <v>311</v>
      </c>
    </row>
    <row r="2" spans="1:11" ht="28" x14ac:dyDescent="0.15">
      <c r="A2" s="186">
        <v>1</v>
      </c>
      <c r="B2" s="187" t="s">
        <v>312</v>
      </c>
      <c r="C2" s="186" t="s">
        <v>313</v>
      </c>
      <c r="D2" s="187" t="s">
        <v>226</v>
      </c>
      <c r="E2" s="187">
        <v>253</v>
      </c>
      <c r="F2" s="188">
        <v>6061</v>
      </c>
      <c r="G2" s="186" t="s">
        <v>62</v>
      </c>
      <c r="H2" s="186">
        <v>2</v>
      </c>
      <c r="I2" s="188">
        <v>120.36</v>
      </c>
      <c r="J2" s="188">
        <v>240.72</v>
      </c>
      <c r="K2" s="186" t="s">
        <v>314</v>
      </c>
    </row>
    <row r="3" spans="1:11" ht="28" x14ac:dyDescent="0.15">
      <c r="A3" s="186">
        <v>2</v>
      </c>
      <c r="B3" s="187" t="s">
        <v>312</v>
      </c>
      <c r="C3" s="186" t="s">
        <v>315</v>
      </c>
      <c r="D3" s="187" t="s">
        <v>226</v>
      </c>
      <c r="E3" s="187">
        <v>2087.6</v>
      </c>
      <c r="F3" s="188">
        <v>7884</v>
      </c>
      <c r="G3" s="186" t="s">
        <v>62</v>
      </c>
      <c r="H3" s="186">
        <v>1</v>
      </c>
      <c r="I3" s="188">
        <v>1292</v>
      </c>
      <c r="J3" s="188">
        <v>1292</v>
      </c>
      <c r="K3" s="186" t="s">
        <v>314</v>
      </c>
    </row>
    <row r="4" spans="1:11" ht="28" x14ac:dyDescent="0.15">
      <c r="A4" s="186">
        <v>3</v>
      </c>
      <c r="B4" s="187" t="s">
        <v>312</v>
      </c>
      <c r="C4" s="186" t="s">
        <v>316</v>
      </c>
      <c r="D4" s="187" t="s">
        <v>226</v>
      </c>
      <c r="E4" s="187">
        <v>1453</v>
      </c>
      <c r="F4" s="188">
        <v>8174</v>
      </c>
      <c r="G4" s="186" t="s">
        <v>62</v>
      </c>
      <c r="H4" s="186">
        <v>2</v>
      </c>
      <c r="I4" s="188">
        <v>907.95</v>
      </c>
      <c r="J4" s="188">
        <v>1815.9</v>
      </c>
      <c r="K4" s="186" t="s">
        <v>314</v>
      </c>
    </row>
    <row r="5" spans="1:11" ht="28" x14ac:dyDescent="0.15">
      <c r="A5" s="186">
        <v>4</v>
      </c>
      <c r="B5" s="187" t="s">
        <v>312</v>
      </c>
      <c r="C5" s="186" t="s">
        <v>317</v>
      </c>
      <c r="D5" s="187" t="s">
        <v>226</v>
      </c>
      <c r="E5" s="187">
        <v>980.8</v>
      </c>
      <c r="F5" s="188">
        <v>8655</v>
      </c>
      <c r="G5" s="186" t="s">
        <v>62</v>
      </c>
      <c r="H5" s="186">
        <v>2</v>
      </c>
      <c r="I5" s="188">
        <v>644.22</v>
      </c>
      <c r="J5" s="188">
        <v>1288.44</v>
      </c>
      <c r="K5" s="186" t="s">
        <v>314</v>
      </c>
    </row>
    <row r="6" spans="1:11" ht="28" x14ac:dyDescent="0.15">
      <c r="A6" s="186">
        <v>5</v>
      </c>
      <c r="B6" s="187" t="s">
        <v>312</v>
      </c>
      <c r="C6" s="186" t="s">
        <v>318</v>
      </c>
      <c r="D6" s="187" t="s">
        <v>226</v>
      </c>
      <c r="E6" s="187">
        <v>2463</v>
      </c>
      <c r="F6" s="188">
        <v>19473</v>
      </c>
      <c r="G6" s="186" t="s">
        <v>62</v>
      </c>
      <c r="H6" s="186">
        <v>2</v>
      </c>
      <c r="I6" s="188">
        <v>2886.98</v>
      </c>
      <c r="J6" s="188">
        <v>5773.95</v>
      </c>
      <c r="K6" s="186" t="s">
        <v>314</v>
      </c>
    </row>
    <row r="7" spans="1:11" ht="28" x14ac:dyDescent="0.15">
      <c r="A7" s="186">
        <v>6</v>
      </c>
      <c r="B7" s="187" t="s">
        <v>312</v>
      </c>
      <c r="C7" s="186" t="s">
        <v>319</v>
      </c>
      <c r="D7" s="187" t="s">
        <v>226</v>
      </c>
      <c r="E7" s="187">
        <v>2726.7</v>
      </c>
      <c r="F7" s="188">
        <v>25281</v>
      </c>
      <c r="G7" s="186" t="s">
        <v>62</v>
      </c>
      <c r="H7" s="186">
        <v>2</v>
      </c>
      <c r="I7" s="188">
        <v>4277.47</v>
      </c>
      <c r="J7" s="188">
        <v>8554.94</v>
      </c>
      <c r="K7" s="186" t="s">
        <v>314</v>
      </c>
    </row>
    <row r="8" spans="1:11" ht="28" x14ac:dyDescent="0.15">
      <c r="A8" s="186">
        <v>7</v>
      </c>
      <c r="B8" s="187" t="s">
        <v>312</v>
      </c>
      <c r="C8" s="186" t="s">
        <v>320</v>
      </c>
      <c r="D8" s="187" t="s">
        <v>226</v>
      </c>
      <c r="E8" s="187">
        <v>233.6</v>
      </c>
      <c r="F8" s="188">
        <v>22039</v>
      </c>
      <c r="G8" s="186" t="s">
        <v>62</v>
      </c>
      <c r="H8" s="186">
        <v>2</v>
      </c>
      <c r="I8" s="188">
        <v>404.15</v>
      </c>
      <c r="J8" s="188">
        <v>808.31</v>
      </c>
      <c r="K8" s="186" t="s">
        <v>314</v>
      </c>
    </row>
    <row r="9" spans="1:11" ht="28" x14ac:dyDescent="0.15">
      <c r="A9" s="186">
        <v>8</v>
      </c>
      <c r="B9" s="187" t="s">
        <v>312</v>
      </c>
      <c r="C9" s="186" t="s">
        <v>321</v>
      </c>
      <c r="D9" s="187" t="s">
        <v>226</v>
      </c>
      <c r="E9" s="187">
        <v>2087.6</v>
      </c>
      <c r="F9" s="188">
        <v>7884</v>
      </c>
      <c r="G9" s="186" t="s">
        <v>62</v>
      </c>
      <c r="H9" s="186">
        <v>1</v>
      </c>
      <c r="I9" s="188">
        <v>1292</v>
      </c>
      <c r="J9" s="188">
        <v>1292</v>
      </c>
      <c r="K9" s="186" t="s">
        <v>314</v>
      </c>
    </row>
    <row r="10" spans="1:11" ht="28" x14ac:dyDescent="0.15">
      <c r="A10" s="186">
        <v>9</v>
      </c>
      <c r="B10" s="187" t="s">
        <v>312</v>
      </c>
      <c r="C10" s="186" t="s">
        <v>322</v>
      </c>
      <c r="D10" s="187" t="s">
        <v>226</v>
      </c>
      <c r="E10" s="187">
        <v>2542.6</v>
      </c>
      <c r="F10" s="188">
        <v>7884</v>
      </c>
      <c r="G10" s="186" t="s">
        <v>62</v>
      </c>
      <c r="H10" s="186">
        <v>1</v>
      </c>
      <c r="I10" s="188">
        <v>1573.6</v>
      </c>
      <c r="J10" s="188">
        <v>1573.6</v>
      </c>
      <c r="K10" s="186" t="s">
        <v>314</v>
      </c>
    </row>
    <row r="11" spans="1:11" ht="28" x14ac:dyDescent="0.15">
      <c r="A11" s="186">
        <v>10</v>
      </c>
      <c r="B11" s="187" t="s">
        <v>312</v>
      </c>
      <c r="C11" s="186" t="s">
        <v>323</v>
      </c>
      <c r="D11" s="187" t="s">
        <v>226</v>
      </c>
      <c r="E11" s="187">
        <v>2614.1</v>
      </c>
      <c r="F11" s="188">
        <v>8600</v>
      </c>
      <c r="G11" s="186" t="s">
        <v>62</v>
      </c>
      <c r="H11" s="186">
        <v>1</v>
      </c>
      <c r="I11" s="188">
        <v>1663.15</v>
      </c>
      <c r="J11" s="188">
        <v>1663.15</v>
      </c>
      <c r="K11" s="186" t="s">
        <v>314</v>
      </c>
    </row>
    <row r="12" spans="1:11" ht="28" x14ac:dyDescent="0.15">
      <c r="A12" s="186">
        <v>11</v>
      </c>
      <c r="B12" s="187" t="s">
        <v>312</v>
      </c>
      <c r="C12" s="186" t="s">
        <v>324</v>
      </c>
      <c r="D12" s="187" t="s">
        <v>226</v>
      </c>
      <c r="E12" s="187">
        <v>138.5</v>
      </c>
      <c r="F12" s="188">
        <v>8659</v>
      </c>
      <c r="G12" s="186" t="s">
        <v>62</v>
      </c>
      <c r="H12" s="186">
        <v>1</v>
      </c>
      <c r="I12" s="188">
        <v>93.7</v>
      </c>
      <c r="J12" s="188">
        <v>93.7</v>
      </c>
      <c r="K12" s="186" t="s">
        <v>314</v>
      </c>
    </row>
    <row r="13" spans="1:11" ht="28" x14ac:dyDescent="0.15">
      <c r="A13" s="186">
        <v>12</v>
      </c>
      <c r="B13" s="187" t="s">
        <v>312</v>
      </c>
      <c r="C13" s="186" t="s">
        <v>325</v>
      </c>
      <c r="D13" s="187" t="s">
        <v>226</v>
      </c>
      <c r="E13" s="187">
        <v>1509.8</v>
      </c>
      <c r="F13" s="188">
        <v>9702</v>
      </c>
      <c r="G13" s="186" t="s">
        <v>62</v>
      </c>
      <c r="H13" s="186">
        <v>1</v>
      </c>
      <c r="I13" s="188">
        <v>1118.31</v>
      </c>
      <c r="J13" s="188">
        <v>1118.31</v>
      </c>
      <c r="K13" s="186" t="s">
        <v>314</v>
      </c>
    </row>
    <row r="14" spans="1:11" ht="28" x14ac:dyDescent="0.15">
      <c r="A14" s="186">
        <v>13</v>
      </c>
      <c r="B14" s="187" t="s">
        <v>312</v>
      </c>
      <c r="C14" s="186" t="s">
        <v>326</v>
      </c>
      <c r="D14" s="187" t="s">
        <v>226</v>
      </c>
      <c r="E14" s="187">
        <v>1220.3</v>
      </c>
      <c r="F14" s="188">
        <v>10588</v>
      </c>
      <c r="G14" s="186" t="s">
        <v>62</v>
      </c>
      <c r="H14" s="186">
        <v>1</v>
      </c>
      <c r="I14" s="188">
        <v>1001.01</v>
      </c>
      <c r="J14" s="188">
        <v>1001.01</v>
      </c>
      <c r="K14" s="186" t="s">
        <v>314</v>
      </c>
    </row>
    <row r="15" spans="1:11" ht="28" x14ac:dyDescent="0.15">
      <c r="A15" s="186">
        <v>14</v>
      </c>
      <c r="B15" s="187" t="s">
        <v>312</v>
      </c>
      <c r="C15" s="186" t="s">
        <v>327</v>
      </c>
      <c r="D15" s="187" t="s">
        <v>226</v>
      </c>
      <c r="E15" s="187">
        <v>1120.8</v>
      </c>
      <c r="F15" s="188">
        <v>11040</v>
      </c>
      <c r="G15" s="186" t="s">
        <v>62</v>
      </c>
      <c r="H15" s="186">
        <v>1</v>
      </c>
      <c r="I15" s="188">
        <v>958.3</v>
      </c>
      <c r="J15" s="188">
        <v>958.3</v>
      </c>
      <c r="K15" s="186" t="s">
        <v>314</v>
      </c>
    </row>
    <row r="16" spans="1:11" ht="28" x14ac:dyDescent="0.15">
      <c r="A16" s="186">
        <v>15</v>
      </c>
      <c r="B16" s="187" t="s">
        <v>312</v>
      </c>
      <c r="C16" s="186" t="s">
        <v>328</v>
      </c>
      <c r="D16" s="187" t="s">
        <v>226</v>
      </c>
      <c r="E16" s="187">
        <v>800.9</v>
      </c>
      <c r="F16" s="188">
        <v>11305</v>
      </c>
      <c r="G16" s="186" t="s">
        <v>62</v>
      </c>
      <c r="H16" s="186">
        <v>1</v>
      </c>
      <c r="I16" s="188">
        <v>702.45</v>
      </c>
      <c r="J16" s="188">
        <v>702.45</v>
      </c>
      <c r="K16" s="186" t="s">
        <v>314</v>
      </c>
    </row>
    <row r="17" spans="1:11" ht="28" x14ac:dyDescent="0.15">
      <c r="A17" s="186">
        <v>16</v>
      </c>
      <c r="B17" s="187" t="s">
        <v>312</v>
      </c>
      <c r="C17" s="186" t="s">
        <v>329</v>
      </c>
      <c r="D17" s="187" t="s">
        <v>226</v>
      </c>
      <c r="E17" s="187">
        <v>539</v>
      </c>
      <c r="F17" s="188">
        <v>11397</v>
      </c>
      <c r="G17" s="186" t="s">
        <v>62</v>
      </c>
      <c r="H17" s="186">
        <v>1</v>
      </c>
      <c r="I17" s="188">
        <v>481.57</v>
      </c>
      <c r="J17" s="188">
        <v>481.57</v>
      </c>
      <c r="K17" s="186" t="s">
        <v>314</v>
      </c>
    </row>
    <row r="18" spans="1:11" ht="28" x14ac:dyDescent="0.15">
      <c r="A18" s="186">
        <v>17</v>
      </c>
      <c r="B18" s="187" t="s">
        <v>312</v>
      </c>
      <c r="C18" s="186" t="s">
        <v>330</v>
      </c>
      <c r="D18" s="187" t="s">
        <v>226</v>
      </c>
      <c r="E18" s="187">
        <v>2799.2</v>
      </c>
      <c r="F18" s="188">
        <v>7884</v>
      </c>
      <c r="G18" s="186" t="s">
        <v>62</v>
      </c>
      <c r="H18" s="186">
        <v>1</v>
      </c>
      <c r="I18" s="188">
        <v>1732.41</v>
      </c>
      <c r="J18" s="188">
        <v>1732.41</v>
      </c>
      <c r="K18" s="186" t="s">
        <v>314</v>
      </c>
    </row>
    <row r="19" spans="1:11" ht="28" x14ac:dyDescent="0.15">
      <c r="A19" s="186">
        <v>18</v>
      </c>
      <c r="B19" s="187" t="s">
        <v>312</v>
      </c>
      <c r="C19" s="186" t="s">
        <v>331</v>
      </c>
      <c r="D19" s="187" t="s">
        <v>226</v>
      </c>
      <c r="E19" s="187">
        <v>239.2</v>
      </c>
      <c r="F19" s="188">
        <v>7884</v>
      </c>
      <c r="G19" s="186" t="s">
        <v>62</v>
      </c>
      <c r="H19" s="186">
        <v>1</v>
      </c>
      <c r="I19" s="188">
        <v>148.05000000000001</v>
      </c>
      <c r="J19" s="188">
        <v>148.05000000000001</v>
      </c>
      <c r="K19" s="186" t="s">
        <v>314</v>
      </c>
    </row>
    <row r="20" spans="1:11" ht="28" x14ac:dyDescent="0.15">
      <c r="A20" s="186">
        <v>19</v>
      </c>
      <c r="B20" s="187" t="s">
        <v>312</v>
      </c>
      <c r="C20" s="186" t="s">
        <v>332</v>
      </c>
      <c r="D20" s="187" t="s">
        <v>226</v>
      </c>
      <c r="E20" s="187">
        <v>1307.4000000000001</v>
      </c>
      <c r="F20" s="188">
        <v>8636</v>
      </c>
      <c r="G20" s="186" t="s">
        <v>62</v>
      </c>
      <c r="H20" s="186">
        <v>1</v>
      </c>
      <c r="I20" s="188">
        <v>865.41</v>
      </c>
      <c r="J20" s="188">
        <v>865.41</v>
      </c>
      <c r="K20" s="186" t="s">
        <v>314</v>
      </c>
    </row>
    <row r="21" spans="1:11" ht="28" x14ac:dyDescent="0.15">
      <c r="A21" s="186">
        <v>20</v>
      </c>
      <c r="B21" s="187" t="s">
        <v>312</v>
      </c>
      <c r="C21" s="186" t="s">
        <v>333</v>
      </c>
      <c r="D21" s="187" t="s">
        <v>226</v>
      </c>
      <c r="E21" s="187">
        <v>3651.2</v>
      </c>
      <c r="F21" s="188">
        <v>9241</v>
      </c>
      <c r="G21" s="186" t="s">
        <v>62</v>
      </c>
      <c r="H21" s="186">
        <v>1</v>
      </c>
      <c r="I21" s="188">
        <v>2576.65</v>
      </c>
      <c r="J21" s="188">
        <v>2576.65</v>
      </c>
      <c r="K21" s="186" t="s">
        <v>314</v>
      </c>
    </row>
    <row r="22" spans="1:11" ht="28" x14ac:dyDescent="0.15">
      <c r="A22" s="186">
        <v>21</v>
      </c>
      <c r="B22" s="187" t="s">
        <v>312</v>
      </c>
      <c r="C22" s="186" t="s">
        <v>334</v>
      </c>
      <c r="D22" s="187" t="s">
        <v>226</v>
      </c>
      <c r="E22" s="187">
        <v>568.79999999999995</v>
      </c>
      <c r="F22" s="188">
        <v>11397</v>
      </c>
      <c r="G22" s="186" t="s">
        <v>62</v>
      </c>
      <c r="H22" s="186">
        <v>1</v>
      </c>
      <c r="I22" s="188">
        <v>507.97</v>
      </c>
      <c r="J22" s="188">
        <v>507.97</v>
      </c>
      <c r="K22" s="186" t="s">
        <v>314</v>
      </c>
    </row>
    <row r="23" spans="1:11" ht="28" x14ac:dyDescent="0.15">
      <c r="A23" s="186">
        <v>22</v>
      </c>
      <c r="B23" s="187" t="s">
        <v>312</v>
      </c>
      <c r="C23" s="186" t="s">
        <v>335</v>
      </c>
      <c r="D23" s="187" t="s">
        <v>226</v>
      </c>
      <c r="E23" s="187">
        <v>1151.5999999999999</v>
      </c>
      <c r="F23" s="188">
        <v>9172</v>
      </c>
      <c r="G23" s="186" t="s">
        <v>62</v>
      </c>
      <c r="H23" s="186">
        <v>1</v>
      </c>
      <c r="I23" s="188">
        <v>806.45</v>
      </c>
      <c r="J23" s="188">
        <v>806.45</v>
      </c>
      <c r="K23" s="186" t="s">
        <v>314</v>
      </c>
    </row>
    <row r="24" spans="1:11" ht="28" x14ac:dyDescent="0.15">
      <c r="A24" s="186">
        <v>23</v>
      </c>
      <c r="B24" s="187" t="s">
        <v>312</v>
      </c>
      <c r="C24" s="186" t="s">
        <v>336</v>
      </c>
      <c r="D24" s="187" t="s">
        <v>226</v>
      </c>
      <c r="E24" s="187">
        <v>1705.1</v>
      </c>
      <c r="F24" s="188">
        <v>10312</v>
      </c>
      <c r="G24" s="186" t="s">
        <v>62</v>
      </c>
      <c r="H24" s="186">
        <v>1</v>
      </c>
      <c r="I24" s="188">
        <v>1340.03</v>
      </c>
      <c r="J24" s="188">
        <v>1340.03</v>
      </c>
      <c r="K24" s="186" t="s">
        <v>314</v>
      </c>
    </row>
    <row r="25" spans="1:11" ht="28" x14ac:dyDescent="0.15">
      <c r="A25" s="186">
        <v>24</v>
      </c>
      <c r="B25" s="187" t="s">
        <v>312</v>
      </c>
      <c r="C25" s="186" t="s">
        <v>337</v>
      </c>
      <c r="D25" s="187" t="s">
        <v>226</v>
      </c>
      <c r="E25" s="187">
        <v>655.8</v>
      </c>
      <c r="F25" s="188">
        <v>10743</v>
      </c>
      <c r="G25" s="186" t="s">
        <v>62</v>
      </c>
      <c r="H25" s="186">
        <v>1</v>
      </c>
      <c r="I25" s="188">
        <v>549.25</v>
      </c>
      <c r="J25" s="188">
        <v>549.25</v>
      </c>
      <c r="K25" s="186" t="s">
        <v>314</v>
      </c>
    </row>
    <row r="26" spans="1:11" ht="28" x14ac:dyDescent="0.15">
      <c r="A26" s="186">
        <v>25</v>
      </c>
      <c r="B26" s="187" t="s">
        <v>312</v>
      </c>
      <c r="C26" s="186" t="s">
        <v>338</v>
      </c>
      <c r="D26" s="187" t="s">
        <v>226</v>
      </c>
      <c r="E26" s="187">
        <v>1371.2</v>
      </c>
      <c r="F26" s="188">
        <v>8225</v>
      </c>
      <c r="G26" s="186" t="s">
        <v>62</v>
      </c>
      <c r="H26" s="186">
        <v>1</v>
      </c>
      <c r="I26" s="188">
        <v>859.64</v>
      </c>
      <c r="J26" s="188">
        <v>859.64</v>
      </c>
      <c r="K26" s="186" t="s">
        <v>314</v>
      </c>
    </row>
    <row r="27" spans="1:11" ht="28" x14ac:dyDescent="0.15">
      <c r="A27" s="186">
        <v>26</v>
      </c>
      <c r="B27" s="187" t="s">
        <v>312</v>
      </c>
      <c r="C27" s="186" t="s">
        <v>339</v>
      </c>
      <c r="D27" s="187" t="s">
        <v>226</v>
      </c>
      <c r="E27" s="187">
        <v>292</v>
      </c>
      <c r="F27" s="188">
        <v>8735</v>
      </c>
      <c r="G27" s="186" t="s">
        <v>62</v>
      </c>
      <c r="H27" s="186">
        <v>1</v>
      </c>
      <c r="I27" s="188">
        <v>199.18</v>
      </c>
      <c r="J27" s="188">
        <v>199.18</v>
      </c>
      <c r="K27" s="186" t="s">
        <v>314</v>
      </c>
    </row>
    <row r="28" spans="1:11" ht="28" x14ac:dyDescent="0.15">
      <c r="A28" s="186">
        <v>27</v>
      </c>
      <c r="B28" s="187" t="s">
        <v>312</v>
      </c>
      <c r="C28" s="186" t="s">
        <v>340</v>
      </c>
      <c r="D28" s="187" t="s">
        <v>226</v>
      </c>
      <c r="E28" s="187">
        <v>2895.4</v>
      </c>
      <c r="F28" s="188">
        <v>9644</v>
      </c>
      <c r="G28" s="186" t="s">
        <v>62</v>
      </c>
      <c r="H28" s="186">
        <v>1</v>
      </c>
      <c r="I28" s="188">
        <v>2146.66</v>
      </c>
      <c r="J28" s="188">
        <v>2146.66</v>
      </c>
      <c r="K28" s="186" t="s">
        <v>314</v>
      </c>
    </row>
    <row r="29" spans="1:11" ht="28" x14ac:dyDescent="0.15">
      <c r="A29" s="186">
        <v>28</v>
      </c>
      <c r="B29" s="187" t="s">
        <v>312</v>
      </c>
      <c r="C29" s="186" t="s">
        <v>341</v>
      </c>
      <c r="D29" s="187" t="s">
        <v>226</v>
      </c>
      <c r="E29" s="187">
        <v>2737.4</v>
      </c>
      <c r="F29" s="188">
        <v>10025</v>
      </c>
      <c r="G29" s="186" t="s">
        <v>62</v>
      </c>
      <c r="H29" s="186">
        <v>1</v>
      </c>
      <c r="I29" s="188">
        <v>2113.7199999999998</v>
      </c>
      <c r="J29" s="188">
        <v>2113.7199999999998</v>
      </c>
      <c r="K29" s="186" t="s">
        <v>314</v>
      </c>
    </row>
    <row r="30" spans="1:11" ht="28" x14ac:dyDescent="0.15">
      <c r="A30" s="186">
        <v>29</v>
      </c>
      <c r="B30" s="187" t="s">
        <v>312</v>
      </c>
      <c r="C30" s="186" t="s">
        <v>342</v>
      </c>
      <c r="D30" s="187" t="s">
        <v>226</v>
      </c>
      <c r="E30" s="187">
        <v>2006.4</v>
      </c>
      <c r="F30" s="188">
        <v>10305</v>
      </c>
      <c r="G30" s="186" t="s">
        <v>62</v>
      </c>
      <c r="H30" s="186">
        <v>1</v>
      </c>
      <c r="I30" s="188">
        <v>1601.33</v>
      </c>
      <c r="J30" s="188">
        <v>1601.33</v>
      </c>
      <c r="K30" s="186" t="s">
        <v>314</v>
      </c>
    </row>
    <row r="31" spans="1:11" ht="28" x14ac:dyDescent="0.15">
      <c r="A31" s="186">
        <v>30</v>
      </c>
      <c r="B31" s="187" t="s">
        <v>312</v>
      </c>
      <c r="C31" s="186" t="s">
        <v>343</v>
      </c>
      <c r="D31" s="187" t="s">
        <v>226</v>
      </c>
      <c r="E31" s="187">
        <v>3632.4</v>
      </c>
      <c r="F31" s="188">
        <v>10810</v>
      </c>
      <c r="G31" s="186" t="s">
        <v>62</v>
      </c>
      <c r="H31" s="186">
        <v>1</v>
      </c>
      <c r="I31" s="188">
        <v>3010.9</v>
      </c>
      <c r="J31" s="188">
        <v>3010.9</v>
      </c>
      <c r="K31" s="186" t="s">
        <v>314</v>
      </c>
    </row>
    <row r="32" spans="1:11" ht="28" x14ac:dyDescent="0.15">
      <c r="A32" s="186">
        <v>31</v>
      </c>
      <c r="B32" s="187" t="s">
        <v>312</v>
      </c>
      <c r="C32" s="186" t="s">
        <v>344</v>
      </c>
      <c r="D32" s="187" t="s">
        <v>226</v>
      </c>
      <c r="E32" s="187">
        <v>3564.9</v>
      </c>
      <c r="F32" s="188">
        <v>11305</v>
      </c>
      <c r="G32" s="186" t="s">
        <v>62</v>
      </c>
      <c r="H32" s="186">
        <v>1</v>
      </c>
      <c r="I32" s="188">
        <v>3094.78</v>
      </c>
      <c r="J32" s="188">
        <v>3094.78</v>
      </c>
      <c r="K32" s="186" t="s">
        <v>314</v>
      </c>
    </row>
    <row r="33" spans="1:11" ht="28" x14ac:dyDescent="0.15">
      <c r="A33" s="186">
        <v>32</v>
      </c>
      <c r="B33" s="187" t="s">
        <v>312</v>
      </c>
      <c r="C33" s="186" t="s">
        <v>345</v>
      </c>
      <c r="D33" s="187" t="s">
        <v>226</v>
      </c>
      <c r="E33" s="187">
        <v>3942</v>
      </c>
      <c r="F33" s="188">
        <v>7884</v>
      </c>
      <c r="G33" s="186" t="s">
        <v>62</v>
      </c>
      <c r="H33" s="186">
        <v>1</v>
      </c>
      <c r="I33" s="188">
        <v>599.20000000000005</v>
      </c>
      <c r="J33" s="188">
        <v>599.20000000000005</v>
      </c>
      <c r="K33" s="186" t="s">
        <v>314</v>
      </c>
    </row>
    <row r="34" spans="1:11" ht="28" x14ac:dyDescent="0.15">
      <c r="A34" s="186">
        <v>33</v>
      </c>
      <c r="B34" s="187" t="s">
        <v>312</v>
      </c>
      <c r="C34" s="186" t="s">
        <v>346</v>
      </c>
      <c r="D34" s="187" t="s">
        <v>226</v>
      </c>
      <c r="E34" s="187">
        <v>3942</v>
      </c>
      <c r="F34" s="188">
        <v>7884</v>
      </c>
      <c r="G34" s="186" t="s">
        <v>62</v>
      </c>
      <c r="H34" s="186">
        <v>1</v>
      </c>
      <c r="I34" s="188">
        <v>599.25</v>
      </c>
      <c r="J34" s="188">
        <v>599.25</v>
      </c>
      <c r="K34" s="186" t="s">
        <v>314</v>
      </c>
    </row>
    <row r="35" spans="1:11" ht="28" x14ac:dyDescent="0.15">
      <c r="A35" s="186">
        <v>34</v>
      </c>
      <c r="B35" s="187" t="s">
        <v>312</v>
      </c>
      <c r="C35" s="186" t="s">
        <v>347</v>
      </c>
      <c r="D35" s="187" t="s">
        <v>226</v>
      </c>
      <c r="E35" s="187">
        <v>253</v>
      </c>
      <c r="F35" s="188">
        <v>6061</v>
      </c>
      <c r="G35" s="186" t="s">
        <v>62</v>
      </c>
      <c r="H35" s="186">
        <v>1</v>
      </c>
      <c r="I35" s="188">
        <v>120.32</v>
      </c>
      <c r="J35" s="188">
        <v>120.32</v>
      </c>
      <c r="K35" s="186" t="s">
        <v>314</v>
      </c>
    </row>
    <row r="36" spans="1:11" ht="28" x14ac:dyDescent="0.15">
      <c r="A36" s="186">
        <v>35</v>
      </c>
      <c r="B36" s="187" t="s">
        <v>312</v>
      </c>
      <c r="C36" s="186" t="s">
        <v>348</v>
      </c>
      <c r="D36" s="187" t="s">
        <v>226</v>
      </c>
      <c r="E36" s="187">
        <v>253</v>
      </c>
      <c r="F36" s="188">
        <v>6061</v>
      </c>
      <c r="G36" s="186" t="s">
        <v>62</v>
      </c>
      <c r="H36" s="186">
        <v>1</v>
      </c>
      <c r="I36" s="188">
        <v>120.32</v>
      </c>
      <c r="J36" s="188">
        <v>120.32</v>
      </c>
      <c r="K36" s="186" t="s">
        <v>314</v>
      </c>
    </row>
    <row r="37" spans="1:11" ht="28" x14ac:dyDescent="0.15">
      <c r="A37" s="186">
        <v>36</v>
      </c>
      <c r="B37" s="187" t="s">
        <v>312</v>
      </c>
      <c r="C37" s="186" t="s">
        <v>349</v>
      </c>
      <c r="D37" s="187" t="s">
        <v>226</v>
      </c>
      <c r="E37" s="187">
        <v>1848</v>
      </c>
      <c r="F37" s="188">
        <v>12271</v>
      </c>
      <c r="G37" s="186" t="s">
        <v>62</v>
      </c>
      <c r="H37" s="186">
        <v>2</v>
      </c>
      <c r="I37" s="188">
        <v>1442.5</v>
      </c>
      <c r="J37" s="188">
        <v>2885.01</v>
      </c>
      <c r="K37" s="186" t="s">
        <v>314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866D-D122-4136-A2F8-ED3C53869326}">
  <sheetPr>
    <pageSetUpPr fitToPage="1"/>
  </sheetPr>
  <dimension ref="A1:H22"/>
  <sheetViews>
    <sheetView workbookViewId="0">
      <pane ySplit="4" topLeftCell="A5" activePane="bottomLeft" state="frozen"/>
      <selection pane="bottomLeft" activeCell="H36" sqref="H36"/>
    </sheetView>
  </sheetViews>
  <sheetFormatPr baseColWidth="10" defaultColWidth="8.83203125" defaultRowHeight="13" x14ac:dyDescent="0.15"/>
  <cols>
    <col min="1" max="1" width="4" bestFit="1" customWidth="1"/>
    <col min="2" max="2" width="9" bestFit="1" customWidth="1"/>
    <col min="3" max="3" width="12" bestFit="1" customWidth="1"/>
    <col min="4" max="4" width="8.83203125" bestFit="1" customWidth="1"/>
    <col min="5" max="5" width="9.6640625" bestFit="1" customWidth="1"/>
    <col min="6" max="6" width="10.5" bestFit="1" customWidth="1"/>
    <col min="7" max="7" width="5.83203125" bestFit="1" customWidth="1"/>
    <col min="8" max="8" width="31" customWidth="1"/>
  </cols>
  <sheetData>
    <row r="1" spans="1:8" ht="20" x14ac:dyDescent="0.2">
      <c r="A1" s="350" t="s">
        <v>362</v>
      </c>
      <c r="B1" s="350"/>
      <c r="C1" s="350"/>
      <c r="D1" s="350"/>
      <c r="E1" s="350"/>
      <c r="F1" s="350"/>
      <c r="G1" s="350"/>
      <c r="H1" s="350"/>
    </row>
    <row r="2" spans="1:8" x14ac:dyDescent="0.15">
      <c r="A2" s="183"/>
      <c r="B2" s="183"/>
      <c r="C2" s="183" t="s">
        <v>363</v>
      </c>
      <c r="D2" s="183"/>
      <c r="E2" s="183"/>
      <c r="F2" s="183" t="s">
        <v>355</v>
      </c>
      <c r="G2" s="183"/>
      <c r="H2" s="183"/>
    </row>
    <row r="3" spans="1:8" x14ac:dyDescent="0.15">
      <c r="G3" s="181">
        <f>+SUM(G5:G19)</f>
        <v>78</v>
      </c>
      <c r="H3" s="182">
        <f>+SUM(H5:H19)</f>
        <v>125788.4</v>
      </c>
    </row>
    <row r="4" spans="1:8" x14ac:dyDescent="0.15">
      <c r="A4" s="173" t="s">
        <v>300</v>
      </c>
      <c r="B4" s="173" t="s">
        <v>299</v>
      </c>
      <c r="C4" s="173" t="s">
        <v>298</v>
      </c>
      <c r="D4" s="173" t="s">
        <v>296</v>
      </c>
      <c r="E4" s="173" t="s">
        <v>295</v>
      </c>
      <c r="F4" s="173" t="s">
        <v>294</v>
      </c>
      <c r="G4" s="173" t="s">
        <v>297</v>
      </c>
      <c r="H4" s="173" t="s">
        <v>293</v>
      </c>
    </row>
    <row r="5" spans="1:8" x14ac:dyDescent="0.15">
      <c r="A5" s="175">
        <v>1</v>
      </c>
      <c r="B5" s="179" t="s">
        <v>226</v>
      </c>
      <c r="C5" s="172" t="s">
        <v>62</v>
      </c>
      <c r="D5" s="184">
        <v>10</v>
      </c>
      <c r="E5" s="128">
        <v>2000</v>
      </c>
      <c r="F5" s="128">
        <v>7950</v>
      </c>
      <c r="G5" s="128">
        <v>12</v>
      </c>
      <c r="H5" s="180">
        <f>+D5*E5*F5*G5*7.85/10^6</f>
        <v>14977.8</v>
      </c>
    </row>
    <row r="6" spans="1:8" x14ac:dyDescent="0.15">
      <c r="A6" s="175">
        <v>2</v>
      </c>
      <c r="B6" s="179" t="s">
        <v>226</v>
      </c>
      <c r="C6" s="172" t="s">
        <v>62</v>
      </c>
      <c r="D6" s="184">
        <v>10</v>
      </c>
      <c r="E6" s="128">
        <v>2000</v>
      </c>
      <c r="F6" s="128">
        <v>8250</v>
      </c>
      <c r="G6" s="128">
        <v>4</v>
      </c>
      <c r="H6" s="180">
        <f t="shared" ref="H6:H19" si="0">+D6*E6*F6*G6*7.85/10^6</f>
        <v>5181</v>
      </c>
    </row>
    <row r="7" spans="1:8" x14ac:dyDescent="0.15">
      <c r="A7" s="175">
        <v>3</v>
      </c>
      <c r="B7" s="179" t="s">
        <v>226</v>
      </c>
      <c r="C7" s="172" t="s">
        <v>62</v>
      </c>
      <c r="D7" s="184">
        <v>10</v>
      </c>
      <c r="E7" s="128">
        <v>2000</v>
      </c>
      <c r="F7" s="128">
        <v>8700</v>
      </c>
      <c r="G7" s="128">
        <v>4</v>
      </c>
      <c r="H7" s="180">
        <f t="shared" si="0"/>
        <v>5463.6</v>
      </c>
    </row>
    <row r="8" spans="1:8" x14ac:dyDescent="0.15">
      <c r="A8" s="175">
        <v>4</v>
      </c>
      <c r="B8" s="179" t="s">
        <v>226</v>
      </c>
      <c r="C8" s="172" t="s">
        <v>62</v>
      </c>
      <c r="D8" s="184">
        <v>10</v>
      </c>
      <c r="E8" s="128">
        <v>2000</v>
      </c>
      <c r="F8" s="128">
        <v>9000</v>
      </c>
      <c r="G8" s="128">
        <v>2</v>
      </c>
      <c r="H8" s="180">
        <f t="shared" si="0"/>
        <v>2826</v>
      </c>
    </row>
    <row r="9" spans="1:8" x14ac:dyDescent="0.15">
      <c r="A9" s="175">
        <v>5</v>
      </c>
      <c r="B9" s="179" t="s">
        <v>226</v>
      </c>
      <c r="C9" s="172" t="s">
        <v>62</v>
      </c>
      <c r="D9" s="184">
        <v>10</v>
      </c>
      <c r="E9" s="128">
        <v>2000</v>
      </c>
      <c r="F9" s="128">
        <v>9300</v>
      </c>
      <c r="G9" s="128">
        <v>2</v>
      </c>
      <c r="H9" s="180">
        <f t="shared" si="0"/>
        <v>2920.2</v>
      </c>
    </row>
    <row r="10" spans="1:8" x14ac:dyDescent="0.15">
      <c r="A10" s="175">
        <v>6</v>
      </c>
      <c r="B10" s="179" t="s">
        <v>226</v>
      </c>
      <c r="C10" s="172" t="s">
        <v>62</v>
      </c>
      <c r="D10" s="184">
        <v>10</v>
      </c>
      <c r="E10" s="128">
        <v>2000</v>
      </c>
      <c r="F10" s="128">
        <v>9700</v>
      </c>
      <c r="G10" s="128">
        <v>2</v>
      </c>
      <c r="H10" s="180">
        <f t="shared" si="0"/>
        <v>3045.8</v>
      </c>
    </row>
    <row r="11" spans="1:8" x14ac:dyDescent="0.15">
      <c r="A11" s="175">
        <v>7</v>
      </c>
      <c r="B11" s="179" t="s">
        <v>226</v>
      </c>
      <c r="C11" s="172" t="s">
        <v>62</v>
      </c>
      <c r="D11" s="184">
        <v>10</v>
      </c>
      <c r="E11" s="128">
        <v>2000</v>
      </c>
      <c r="F11" s="128">
        <v>9800</v>
      </c>
      <c r="G11" s="128">
        <v>2</v>
      </c>
      <c r="H11" s="180">
        <f t="shared" si="0"/>
        <v>3077.2</v>
      </c>
    </row>
    <row r="12" spans="1:8" x14ac:dyDescent="0.15">
      <c r="A12" s="175">
        <v>8</v>
      </c>
      <c r="B12" s="179" t="s">
        <v>226</v>
      </c>
      <c r="C12" s="172" t="s">
        <v>62</v>
      </c>
      <c r="D12" s="184">
        <v>10</v>
      </c>
      <c r="E12" s="128">
        <v>2000</v>
      </c>
      <c r="F12" s="128">
        <v>10100</v>
      </c>
      <c r="G12" s="128">
        <v>12</v>
      </c>
      <c r="H12" s="180">
        <f t="shared" si="0"/>
        <v>19028.400000000001</v>
      </c>
    </row>
    <row r="13" spans="1:8" x14ac:dyDescent="0.15">
      <c r="A13" s="175">
        <v>9</v>
      </c>
      <c r="B13" s="179" t="s">
        <v>226</v>
      </c>
      <c r="C13" s="172" t="s">
        <v>62</v>
      </c>
      <c r="D13" s="184">
        <v>10</v>
      </c>
      <c r="E13" s="128">
        <v>2000</v>
      </c>
      <c r="F13" s="128">
        <v>10400</v>
      </c>
      <c r="G13" s="128">
        <v>4</v>
      </c>
      <c r="H13" s="180">
        <f t="shared" si="0"/>
        <v>6531.2</v>
      </c>
    </row>
    <row r="14" spans="1:8" x14ac:dyDescent="0.15">
      <c r="A14" s="175">
        <v>10</v>
      </c>
      <c r="B14" s="179" t="s">
        <v>226</v>
      </c>
      <c r="C14" s="172" t="s">
        <v>62</v>
      </c>
      <c r="D14" s="184">
        <v>10</v>
      </c>
      <c r="E14" s="128">
        <v>2000</v>
      </c>
      <c r="F14" s="128">
        <v>10800</v>
      </c>
      <c r="G14" s="128">
        <v>2</v>
      </c>
      <c r="H14" s="180">
        <f t="shared" si="0"/>
        <v>3391.2</v>
      </c>
    </row>
    <row r="15" spans="1:8" x14ac:dyDescent="0.15">
      <c r="A15" s="175">
        <v>11</v>
      </c>
      <c r="B15" s="179" t="s">
        <v>226</v>
      </c>
      <c r="C15" s="172" t="s">
        <v>62</v>
      </c>
      <c r="D15" s="184">
        <v>10</v>
      </c>
      <c r="E15" s="128">
        <v>2000</v>
      </c>
      <c r="F15" s="128">
        <v>10900</v>
      </c>
      <c r="G15" s="128">
        <v>4</v>
      </c>
      <c r="H15" s="180">
        <f t="shared" si="0"/>
        <v>6845.2</v>
      </c>
    </row>
    <row r="16" spans="1:8" x14ac:dyDescent="0.15">
      <c r="A16" s="175">
        <v>12</v>
      </c>
      <c r="B16" s="179" t="s">
        <v>226</v>
      </c>
      <c r="C16" s="172" t="s">
        <v>62</v>
      </c>
      <c r="D16" s="184">
        <v>10</v>
      </c>
      <c r="E16" s="128">
        <v>2000</v>
      </c>
      <c r="F16" s="128">
        <v>11400</v>
      </c>
      <c r="G16" s="128">
        <v>6</v>
      </c>
      <c r="H16" s="180">
        <f t="shared" si="0"/>
        <v>10738.8</v>
      </c>
    </row>
    <row r="17" spans="1:8" x14ac:dyDescent="0.15">
      <c r="A17" s="175">
        <v>13</v>
      </c>
      <c r="B17" s="179" t="s">
        <v>226</v>
      </c>
      <c r="C17" s="172" t="s">
        <v>62</v>
      </c>
      <c r="D17" s="184">
        <v>10</v>
      </c>
      <c r="E17" s="128">
        <v>2000</v>
      </c>
      <c r="F17" s="128">
        <v>11500</v>
      </c>
      <c r="G17" s="128">
        <v>4</v>
      </c>
      <c r="H17" s="180">
        <f t="shared" si="0"/>
        <v>7222</v>
      </c>
    </row>
    <row r="18" spans="1:8" x14ac:dyDescent="0.15">
      <c r="A18" s="175">
        <v>14</v>
      </c>
      <c r="B18" s="179" t="s">
        <v>226</v>
      </c>
      <c r="C18" s="172" t="s">
        <v>62</v>
      </c>
      <c r="D18" s="184">
        <v>10</v>
      </c>
      <c r="E18" s="128">
        <v>2000</v>
      </c>
      <c r="F18" s="128">
        <v>12000</v>
      </c>
      <c r="G18" s="128">
        <v>14</v>
      </c>
      <c r="H18" s="180">
        <f t="shared" si="0"/>
        <v>26376</v>
      </c>
    </row>
    <row r="19" spans="1:8" x14ac:dyDescent="0.15">
      <c r="A19" s="175">
        <v>15</v>
      </c>
      <c r="B19" s="179" t="s">
        <v>226</v>
      </c>
      <c r="C19" s="172" t="s">
        <v>62</v>
      </c>
      <c r="D19" s="184">
        <v>10</v>
      </c>
      <c r="E19" s="128">
        <v>2000</v>
      </c>
      <c r="F19" s="128">
        <v>13000</v>
      </c>
      <c r="G19" s="128">
        <v>4</v>
      </c>
      <c r="H19" s="180">
        <f t="shared" si="0"/>
        <v>8164</v>
      </c>
    </row>
    <row r="22" spans="1:8" ht="16" x14ac:dyDescent="0.2">
      <c r="H22" s="192" t="s">
        <v>351</v>
      </c>
    </row>
  </sheetData>
  <mergeCells count="1">
    <mergeCell ref="A1:H1"/>
  </mergeCells>
  <pageMargins left="0.7" right="0.7" top="0.75" bottom="0.75" header="0.3" footer="0.3"/>
  <pageSetup paperSize="9" scale="9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7A57B-F2A3-4EB1-B211-E4DD513EC519}">
  <dimension ref="A1"/>
  <sheetViews>
    <sheetView workbookViewId="0">
      <selection activeCell="N21" sqref="N21"/>
    </sheetView>
  </sheetViews>
  <sheetFormatPr baseColWidth="10" defaultColWidth="8.83203125" defaultRowHeight="13" x14ac:dyDescent="0.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C1BB-858D-4900-8836-C95BD72A950D}">
  <dimension ref="A1:I30"/>
  <sheetViews>
    <sheetView workbookViewId="0">
      <pane ySplit="1" topLeftCell="A2" activePane="bottomLeft" state="frozen"/>
      <selection pane="bottomLeft" activeCell="K15" sqref="K15"/>
    </sheetView>
  </sheetViews>
  <sheetFormatPr baseColWidth="10" defaultColWidth="8.83203125" defaultRowHeight="13" x14ac:dyDescent="0.15"/>
  <cols>
    <col min="1" max="1" width="14.83203125" bestFit="1" customWidth="1"/>
    <col min="2" max="2" width="26.6640625" bestFit="1" customWidth="1"/>
    <col min="3" max="3" width="44.33203125" bestFit="1" customWidth="1"/>
    <col min="4" max="6" width="8.83203125" customWidth="1"/>
    <col min="7" max="7" width="24.1640625" customWidth="1"/>
    <col min="9" max="9" width="26" bestFit="1" customWidth="1"/>
  </cols>
  <sheetData>
    <row r="1" spans="1:9" ht="30" x14ac:dyDescent="0.15">
      <c r="A1" s="225" t="s">
        <v>589</v>
      </c>
      <c r="B1" s="225" t="s">
        <v>49</v>
      </c>
      <c r="C1" s="220" t="s">
        <v>2</v>
      </c>
      <c r="D1" s="322" t="s">
        <v>596</v>
      </c>
      <c r="E1" s="323"/>
      <c r="F1" s="324"/>
      <c r="G1" s="225" t="s">
        <v>3</v>
      </c>
      <c r="H1" s="179" t="s">
        <v>592</v>
      </c>
      <c r="I1" s="179" t="s">
        <v>593</v>
      </c>
    </row>
    <row r="2" spans="1:9" ht="16" x14ac:dyDescent="0.15">
      <c r="A2" s="224"/>
      <c r="B2" s="224"/>
      <c r="C2" s="132" t="s">
        <v>588</v>
      </c>
      <c r="D2" s="173" t="s">
        <v>597</v>
      </c>
      <c r="E2" s="173" t="s">
        <v>598</v>
      </c>
      <c r="F2" s="173" t="s">
        <v>599</v>
      </c>
      <c r="G2" s="224"/>
      <c r="H2" s="128"/>
      <c r="I2" s="128"/>
    </row>
    <row r="3" spans="1:9" ht="16" x14ac:dyDescent="0.15">
      <c r="A3" s="162" t="s">
        <v>483</v>
      </c>
      <c r="B3" s="162" t="s">
        <v>510</v>
      </c>
      <c r="C3" s="128" t="s">
        <v>534</v>
      </c>
      <c r="D3" s="128">
        <v>10</v>
      </c>
      <c r="E3" s="128">
        <v>108</v>
      </c>
      <c r="F3" s="179">
        <v>32</v>
      </c>
      <c r="G3" s="119" t="s">
        <v>563</v>
      </c>
      <c r="H3" s="172" t="s">
        <v>590</v>
      </c>
      <c r="I3" s="172" t="s">
        <v>594</v>
      </c>
    </row>
    <row r="4" spans="1:9" ht="16" x14ac:dyDescent="0.15">
      <c r="A4" s="162" t="s">
        <v>484</v>
      </c>
      <c r="B4" s="162" t="s">
        <v>510</v>
      </c>
      <c r="C4" s="128" t="s">
        <v>535</v>
      </c>
      <c r="D4" s="128">
        <v>10</v>
      </c>
      <c r="E4" s="128">
        <v>111</v>
      </c>
      <c r="F4" s="179">
        <v>32</v>
      </c>
      <c r="G4" s="119" t="s">
        <v>563</v>
      </c>
      <c r="H4" s="172" t="s">
        <v>590</v>
      </c>
      <c r="I4" s="172" t="s">
        <v>594</v>
      </c>
    </row>
    <row r="5" spans="1:9" ht="16" x14ac:dyDescent="0.15">
      <c r="A5" s="162" t="s">
        <v>485</v>
      </c>
      <c r="B5" s="162" t="s">
        <v>510</v>
      </c>
      <c r="C5" s="128" t="s">
        <v>536</v>
      </c>
      <c r="D5" s="128">
        <v>10</v>
      </c>
      <c r="E5" s="128">
        <v>114</v>
      </c>
      <c r="F5" s="179">
        <v>35</v>
      </c>
      <c r="G5" s="119" t="s">
        <v>563</v>
      </c>
      <c r="H5" s="172" t="s">
        <v>590</v>
      </c>
      <c r="I5" s="172" t="s">
        <v>594</v>
      </c>
    </row>
    <row r="6" spans="1:9" ht="16" x14ac:dyDescent="0.15">
      <c r="A6" s="162" t="s">
        <v>486</v>
      </c>
      <c r="B6" s="162" t="s">
        <v>510</v>
      </c>
      <c r="C6" s="128" t="s">
        <v>537</v>
      </c>
      <c r="D6" s="128">
        <v>10</v>
      </c>
      <c r="E6" s="128">
        <v>117</v>
      </c>
      <c r="F6" s="179">
        <v>32</v>
      </c>
      <c r="G6" s="119" t="s">
        <v>563</v>
      </c>
      <c r="H6" s="172" t="s">
        <v>590</v>
      </c>
      <c r="I6" s="172" t="s">
        <v>594</v>
      </c>
    </row>
    <row r="7" spans="1:9" ht="16" x14ac:dyDescent="0.15">
      <c r="A7" s="162" t="s">
        <v>487</v>
      </c>
      <c r="B7" s="162" t="s">
        <v>510</v>
      </c>
      <c r="C7" s="128" t="s">
        <v>538</v>
      </c>
      <c r="D7" s="128">
        <v>10</v>
      </c>
      <c r="E7" s="128">
        <v>133</v>
      </c>
      <c r="F7" s="179">
        <v>32</v>
      </c>
      <c r="G7" s="119" t="s">
        <v>563</v>
      </c>
      <c r="H7" s="172" t="s">
        <v>590</v>
      </c>
      <c r="I7" s="172" t="s">
        <v>594</v>
      </c>
    </row>
    <row r="8" spans="1:9" ht="16" x14ac:dyDescent="0.15">
      <c r="A8" s="162" t="s">
        <v>488</v>
      </c>
      <c r="B8" s="162" t="s">
        <v>510</v>
      </c>
      <c r="C8" s="128" t="s">
        <v>539</v>
      </c>
      <c r="D8" s="128">
        <v>10</v>
      </c>
      <c r="E8" s="128">
        <v>137</v>
      </c>
      <c r="F8" s="179">
        <v>35</v>
      </c>
      <c r="G8" s="119" t="s">
        <v>563</v>
      </c>
      <c r="H8" s="172" t="s">
        <v>590</v>
      </c>
      <c r="I8" s="172" t="s">
        <v>594</v>
      </c>
    </row>
    <row r="9" spans="1:9" ht="16" x14ac:dyDescent="0.15">
      <c r="A9" s="162" t="s">
        <v>489</v>
      </c>
      <c r="B9" s="162" t="s">
        <v>510</v>
      </c>
      <c r="C9" s="128" t="s">
        <v>540</v>
      </c>
      <c r="D9" s="128">
        <v>10</v>
      </c>
      <c r="E9" s="128">
        <v>139</v>
      </c>
      <c r="F9" s="179">
        <v>32</v>
      </c>
      <c r="G9" s="119" t="s">
        <v>563</v>
      </c>
      <c r="H9" s="172" t="s">
        <v>590</v>
      </c>
      <c r="I9" s="172" t="s">
        <v>594</v>
      </c>
    </row>
    <row r="10" spans="1:9" ht="16" x14ac:dyDescent="0.15">
      <c r="A10" s="162" t="s">
        <v>490</v>
      </c>
      <c r="B10" s="162" t="s">
        <v>510</v>
      </c>
      <c r="C10" s="128" t="s">
        <v>541</v>
      </c>
      <c r="D10" s="128">
        <v>10</v>
      </c>
      <c r="E10" s="128">
        <v>140</v>
      </c>
      <c r="F10" s="179">
        <v>32</v>
      </c>
      <c r="G10" s="119" t="s">
        <v>563</v>
      </c>
      <c r="H10" s="172" t="s">
        <v>590</v>
      </c>
      <c r="I10" s="172" t="s">
        <v>594</v>
      </c>
    </row>
    <row r="11" spans="1:9" ht="16" x14ac:dyDescent="0.15">
      <c r="A11" s="162" t="s">
        <v>491</v>
      </c>
      <c r="B11" s="162" t="s">
        <v>510</v>
      </c>
      <c r="C11" s="128" t="s">
        <v>542</v>
      </c>
      <c r="D11" s="128">
        <v>10</v>
      </c>
      <c r="E11" s="128">
        <v>152</v>
      </c>
      <c r="F11" s="179">
        <v>32</v>
      </c>
      <c r="G11" s="119" t="s">
        <v>563</v>
      </c>
      <c r="H11" s="172" t="s">
        <v>590</v>
      </c>
      <c r="I11" s="172" t="s">
        <v>594</v>
      </c>
    </row>
    <row r="12" spans="1:9" ht="16" x14ac:dyDescent="0.15">
      <c r="A12" s="162" t="s">
        <v>492</v>
      </c>
      <c r="B12" s="162" t="s">
        <v>510</v>
      </c>
      <c r="C12" s="128" t="s">
        <v>543</v>
      </c>
      <c r="D12" s="128">
        <v>10</v>
      </c>
      <c r="E12" s="128">
        <v>171</v>
      </c>
      <c r="F12" s="179">
        <v>32</v>
      </c>
      <c r="G12" s="119" t="s">
        <v>563</v>
      </c>
      <c r="H12" s="172" t="s">
        <v>590</v>
      </c>
      <c r="I12" s="172" t="s">
        <v>594</v>
      </c>
    </row>
    <row r="13" spans="1:9" ht="16" x14ac:dyDescent="0.15">
      <c r="A13" s="162" t="s">
        <v>493</v>
      </c>
      <c r="B13" s="162" t="s">
        <v>510</v>
      </c>
      <c r="C13" s="128" t="s">
        <v>544</v>
      </c>
      <c r="D13" s="128">
        <v>10</v>
      </c>
      <c r="E13" s="128">
        <v>54</v>
      </c>
      <c r="F13" s="179">
        <v>32</v>
      </c>
      <c r="G13" s="119" t="s">
        <v>563</v>
      </c>
      <c r="H13" s="172" t="s">
        <v>590</v>
      </c>
      <c r="I13" s="172" t="s">
        <v>594</v>
      </c>
    </row>
    <row r="14" spans="1:9" ht="16" x14ac:dyDescent="0.15">
      <c r="A14" s="162" t="s">
        <v>494</v>
      </c>
      <c r="B14" s="162" t="s">
        <v>510</v>
      </c>
      <c r="C14" s="128" t="s">
        <v>545</v>
      </c>
      <c r="D14" s="128">
        <v>10</v>
      </c>
      <c r="E14" s="128">
        <v>57</v>
      </c>
      <c r="F14" s="179">
        <v>35</v>
      </c>
      <c r="G14" s="119" t="s">
        <v>563</v>
      </c>
      <c r="H14" s="172" t="s">
        <v>590</v>
      </c>
      <c r="I14" s="172" t="s">
        <v>594</v>
      </c>
    </row>
    <row r="15" spans="1:9" ht="16" x14ac:dyDescent="0.15">
      <c r="A15" s="162" t="s">
        <v>502</v>
      </c>
      <c r="B15" s="162" t="s">
        <v>510</v>
      </c>
      <c r="C15" s="128" t="s">
        <v>546</v>
      </c>
      <c r="D15" s="128">
        <v>10</v>
      </c>
      <c r="E15" s="128">
        <v>60</v>
      </c>
      <c r="F15" s="179">
        <v>32</v>
      </c>
      <c r="G15" s="119" t="s">
        <v>563</v>
      </c>
      <c r="H15" s="172" t="s">
        <v>590</v>
      </c>
      <c r="I15" s="172" t="s">
        <v>594</v>
      </c>
    </row>
    <row r="16" spans="1:9" ht="16" x14ac:dyDescent="0.15">
      <c r="A16" s="162" t="s">
        <v>512</v>
      </c>
      <c r="B16" s="162" t="s">
        <v>510</v>
      </c>
      <c r="C16" s="128" t="s">
        <v>547</v>
      </c>
      <c r="D16" s="128">
        <v>10</v>
      </c>
      <c r="E16" s="128">
        <v>64</v>
      </c>
      <c r="F16" s="179">
        <v>32</v>
      </c>
      <c r="G16" s="119" t="s">
        <v>563</v>
      </c>
      <c r="H16" s="172" t="s">
        <v>590</v>
      </c>
      <c r="I16" s="172" t="s">
        <v>594</v>
      </c>
    </row>
    <row r="17" spans="1:9" ht="16" x14ac:dyDescent="0.15">
      <c r="A17" s="162" t="s">
        <v>513</v>
      </c>
      <c r="B17" s="162" t="s">
        <v>510</v>
      </c>
      <c r="C17" s="128" t="s">
        <v>548</v>
      </c>
      <c r="D17" s="128">
        <v>10</v>
      </c>
      <c r="E17" s="128">
        <v>67</v>
      </c>
      <c r="F17" s="179">
        <v>32</v>
      </c>
      <c r="G17" s="119" t="s">
        <v>563</v>
      </c>
      <c r="H17" s="172" t="s">
        <v>590</v>
      </c>
      <c r="I17" s="172" t="s">
        <v>594</v>
      </c>
    </row>
    <row r="18" spans="1:9" ht="16" x14ac:dyDescent="0.15">
      <c r="A18" s="162" t="s">
        <v>514</v>
      </c>
      <c r="B18" s="162" t="s">
        <v>510</v>
      </c>
      <c r="C18" s="128" t="s">
        <v>549</v>
      </c>
      <c r="D18" s="128">
        <v>10</v>
      </c>
      <c r="E18" s="128">
        <v>73</v>
      </c>
      <c r="F18" s="179">
        <v>32</v>
      </c>
      <c r="G18" s="119" t="s">
        <v>563</v>
      </c>
      <c r="H18" s="172" t="s">
        <v>590</v>
      </c>
      <c r="I18" s="172" t="s">
        <v>594</v>
      </c>
    </row>
    <row r="19" spans="1:9" ht="16" x14ac:dyDescent="0.15">
      <c r="A19" s="162" t="s">
        <v>515</v>
      </c>
      <c r="B19" s="162" t="s">
        <v>511</v>
      </c>
      <c r="C19" s="128" t="s">
        <v>550</v>
      </c>
      <c r="D19" s="128">
        <v>12</v>
      </c>
      <c r="E19" s="128">
        <v>140</v>
      </c>
      <c r="F19" s="179">
        <v>41</v>
      </c>
      <c r="G19" s="119" t="s">
        <v>564</v>
      </c>
      <c r="H19" s="172" t="s">
        <v>591</v>
      </c>
      <c r="I19" s="172" t="s">
        <v>595</v>
      </c>
    </row>
    <row r="20" spans="1:9" ht="16" x14ac:dyDescent="0.15">
      <c r="A20" s="162" t="s">
        <v>516</v>
      </c>
      <c r="B20" s="162" t="s">
        <v>510</v>
      </c>
      <c r="C20" s="128" t="s">
        <v>551</v>
      </c>
      <c r="D20" s="128">
        <v>12</v>
      </c>
      <c r="E20" s="128">
        <v>1487</v>
      </c>
      <c r="F20" s="179">
        <v>44</v>
      </c>
      <c r="G20" s="119" t="s">
        <v>563</v>
      </c>
      <c r="H20" s="172" t="s">
        <v>591</v>
      </c>
      <c r="I20" s="172" t="s">
        <v>595</v>
      </c>
    </row>
    <row r="21" spans="1:9" ht="16" x14ac:dyDescent="0.15">
      <c r="A21" s="162" t="s">
        <v>517</v>
      </c>
      <c r="B21" s="162" t="s">
        <v>510</v>
      </c>
      <c r="C21" s="128" t="s">
        <v>552</v>
      </c>
      <c r="D21" s="128">
        <v>12</v>
      </c>
      <c r="E21" s="128">
        <v>318</v>
      </c>
      <c r="F21" s="179">
        <v>41</v>
      </c>
      <c r="G21" s="119" t="s">
        <v>563</v>
      </c>
      <c r="H21" s="172" t="s">
        <v>591</v>
      </c>
      <c r="I21" s="172" t="s">
        <v>595</v>
      </c>
    </row>
    <row r="22" spans="1:9" ht="16" x14ac:dyDescent="0.15">
      <c r="A22" s="162" t="s">
        <v>518</v>
      </c>
      <c r="B22" s="162" t="s">
        <v>510</v>
      </c>
      <c r="C22" s="128" t="s">
        <v>553</v>
      </c>
      <c r="D22" s="128">
        <v>12</v>
      </c>
      <c r="E22" s="128">
        <v>321</v>
      </c>
      <c r="F22" s="179">
        <v>41</v>
      </c>
      <c r="G22" s="119" t="s">
        <v>563</v>
      </c>
      <c r="H22" s="172" t="s">
        <v>591</v>
      </c>
      <c r="I22" s="172" t="s">
        <v>595</v>
      </c>
    </row>
    <row r="23" spans="1:9" ht="16" x14ac:dyDescent="0.15">
      <c r="A23" s="162" t="s">
        <v>519</v>
      </c>
      <c r="B23" s="162" t="s">
        <v>510</v>
      </c>
      <c r="C23" s="128" t="s">
        <v>554</v>
      </c>
      <c r="D23" s="128">
        <v>12</v>
      </c>
      <c r="E23" s="128">
        <v>321</v>
      </c>
      <c r="F23" s="179">
        <v>44</v>
      </c>
      <c r="G23" s="119" t="s">
        <v>563</v>
      </c>
      <c r="H23" s="172" t="s">
        <v>591</v>
      </c>
      <c r="I23" s="172" t="s">
        <v>595</v>
      </c>
    </row>
    <row r="24" spans="1:9" ht="16" x14ac:dyDescent="0.15">
      <c r="A24" s="162" t="s">
        <v>520</v>
      </c>
      <c r="B24" s="162" t="s">
        <v>510</v>
      </c>
      <c r="C24" s="128" t="s">
        <v>555</v>
      </c>
      <c r="D24" s="128">
        <v>12</v>
      </c>
      <c r="E24" s="128">
        <v>324</v>
      </c>
      <c r="F24" s="179">
        <v>41</v>
      </c>
      <c r="G24" s="119" t="s">
        <v>563</v>
      </c>
      <c r="H24" s="172" t="s">
        <v>591</v>
      </c>
      <c r="I24" s="172" t="s">
        <v>595</v>
      </c>
    </row>
    <row r="25" spans="1:9" ht="16" x14ac:dyDescent="0.15">
      <c r="A25" s="162" t="s">
        <v>521</v>
      </c>
      <c r="B25" s="162" t="s">
        <v>510</v>
      </c>
      <c r="C25" s="128" t="s">
        <v>556</v>
      </c>
      <c r="D25" s="128">
        <v>12</v>
      </c>
      <c r="E25" s="128">
        <v>473</v>
      </c>
      <c r="F25" s="179">
        <v>41</v>
      </c>
      <c r="G25" s="119" t="s">
        <v>563</v>
      </c>
      <c r="H25" s="172" t="s">
        <v>591</v>
      </c>
      <c r="I25" s="172" t="s">
        <v>595</v>
      </c>
    </row>
    <row r="26" spans="1:9" ht="16" x14ac:dyDescent="0.15">
      <c r="A26" s="162" t="s">
        <v>522</v>
      </c>
      <c r="B26" s="162" t="s">
        <v>511</v>
      </c>
      <c r="C26" s="128" t="s">
        <v>557</v>
      </c>
      <c r="D26" s="128">
        <v>12</v>
      </c>
      <c r="E26" s="128">
        <v>473</v>
      </c>
      <c r="F26" s="179">
        <v>41</v>
      </c>
      <c r="G26" s="119" t="s">
        <v>564</v>
      </c>
      <c r="H26" s="172" t="s">
        <v>591</v>
      </c>
      <c r="I26" s="172" t="s">
        <v>595</v>
      </c>
    </row>
    <row r="27" spans="1:9" ht="16" x14ac:dyDescent="0.15">
      <c r="A27" s="162" t="s">
        <v>523</v>
      </c>
      <c r="B27" s="162" t="s">
        <v>511</v>
      </c>
      <c r="C27" s="128" t="s">
        <v>558</v>
      </c>
      <c r="D27" s="128">
        <v>12</v>
      </c>
      <c r="E27" s="128">
        <v>479</v>
      </c>
      <c r="F27" s="179">
        <v>41</v>
      </c>
      <c r="G27" s="119" t="s">
        <v>564</v>
      </c>
      <c r="H27" s="172" t="s">
        <v>591</v>
      </c>
      <c r="I27" s="172" t="s">
        <v>595</v>
      </c>
    </row>
    <row r="28" spans="1:9" ht="16" x14ac:dyDescent="0.15">
      <c r="A28" s="162" t="s">
        <v>524</v>
      </c>
      <c r="B28" s="162" t="s">
        <v>510</v>
      </c>
      <c r="C28" s="128" t="s">
        <v>559</v>
      </c>
      <c r="D28" s="128">
        <v>12</v>
      </c>
      <c r="E28" s="128">
        <v>551</v>
      </c>
      <c r="F28" s="179">
        <v>44</v>
      </c>
      <c r="G28" s="119" t="s">
        <v>563</v>
      </c>
      <c r="H28" s="172" t="s">
        <v>591</v>
      </c>
      <c r="I28" s="172" t="s">
        <v>595</v>
      </c>
    </row>
    <row r="29" spans="1:9" ht="16" x14ac:dyDescent="0.15">
      <c r="A29" s="162" t="s">
        <v>525</v>
      </c>
      <c r="B29" s="162" t="s">
        <v>510</v>
      </c>
      <c r="C29" s="128" t="s">
        <v>560</v>
      </c>
      <c r="D29" s="128">
        <v>12</v>
      </c>
      <c r="E29" s="128">
        <v>555</v>
      </c>
      <c r="F29" s="179">
        <v>44</v>
      </c>
      <c r="G29" s="119" t="s">
        <v>563</v>
      </c>
      <c r="H29" s="172" t="s">
        <v>591</v>
      </c>
      <c r="I29" s="172" t="s">
        <v>595</v>
      </c>
    </row>
    <row r="30" spans="1:9" ht="16" x14ac:dyDescent="0.15">
      <c r="A30" s="162" t="s">
        <v>526</v>
      </c>
      <c r="B30" s="162" t="s">
        <v>510</v>
      </c>
      <c r="C30" s="172" t="s">
        <v>600</v>
      </c>
      <c r="D30" s="128">
        <v>12</v>
      </c>
      <c r="E30" s="128">
        <v>769</v>
      </c>
      <c r="F30" s="179">
        <v>44</v>
      </c>
      <c r="G30" s="119" t="s">
        <v>563</v>
      </c>
      <c r="H30" s="172" t="s">
        <v>591</v>
      </c>
      <c r="I30" s="172" t="s">
        <v>595</v>
      </c>
    </row>
  </sheetData>
  <mergeCells count="1">
    <mergeCell ref="D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90B0-2A1B-4CF9-8C76-0DCDD10E04EB}">
  <dimension ref="A1:M9"/>
  <sheetViews>
    <sheetView workbookViewId="0">
      <pane ySplit="3" topLeftCell="A4" activePane="bottomLeft" state="frozen"/>
      <selection pane="bottomLeft" activeCell="L7" sqref="L7"/>
    </sheetView>
  </sheetViews>
  <sheetFormatPr baseColWidth="10" defaultColWidth="8.83203125" defaultRowHeight="13" x14ac:dyDescent="0.15"/>
  <cols>
    <col min="1" max="1" width="18.5" bestFit="1" customWidth="1"/>
    <col min="2" max="2" width="6.83203125" bestFit="1" customWidth="1"/>
    <col min="3" max="3" width="9.33203125" style="177" bestFit="1" customWidth="1"/>
    <col min="4" max="4" width="14.5" style="177" customWidth="1"/>
    <col min="6" max="6" width="9.1640625" style="177"/>
    <col min="7" max="7" width="14.5" style="178" bestFit="1" customWidth="1"/>
    <col min="8" max="8" width="7.6640625" style="178" bestFit="1" customWidth="1"/>
    <col min="9" max="9" width="14.5" style="178" customWidth="1"/>
    <col min="11" max="11" width="21.83203125" customWidth="1"/>
    <col min="12" max="12" width="12" customWidth="1"/>
    <col min="13" max="13" width="14.5" bestFit="1" customWidth="1"/>
  </cols>
  <sheetData>
    <row r="1" spans="1:13" x14ac:dyDescent="0.15">
      <c r="A1" s="193" t="s">
        <v>355</v>
      </c>
      <c r="C1" s="353" t="s">
        <v>292</v>
      </c>
      <c r="D1" s="354"/>
      <c r="E1" s="354"/>
      <c r="F1" s="354"/>
      <c r="G1" s="354"/>
      <c r="H1" s="356" t="s">
        <v>354</v>
      </c>
      <c r="I1" s="357"/>
      <c r="J1" s="352" t="s">
        <v>356</v>
      </c>
      <c r="K1" s="352"/>
      <c r="L1" s="355" t="s">
        <v>357</v>
      </c>
      <c r="M1" s="355"/>
    </row>
    <row r="2" spans="1:13" x14ac:dyDescent="0.15">
      <c r="C2" s="190"/>
      <c r="D2" s="191"/>
      <c r="E2" s="191"/>
      <c r="F2" s="191"/>
      <c r="G2" s="197">
        <f>+SUM(G4:G9)</f>
        <v>127466.73</v>
      </c>
      <c r="H2" s="198"/>
      <c r="I2" s="199">
        <f>+SUM(I4:I9)</f>
        <v>254933.46</v>
      </c>
      <c r="J2" s="200"/>
      <c r="K2" s="200">
        <f>+SUM(K4:K9)</f>
        <v>175970.31</v>
      </c>
      <c r="L2" s="201"/>
      <c r="M2" s="201">
        <f>+SUM(M4:M9)</f>
        <v>78963.149999999994</v>
      </c>
    </row>
    <row r="3" spans="1:13" x14ac:dyDescent="0.15">
      <c r="A3" s="132"/>
      <c r="B3" s="132" t="s">
        <v>353</v>
      </c>
      <c r="C3" s="173" t="s">
        <v>287</v>
      </c>
      <c r="D3" s="173" t="s">
        <v>288</v>
      </c>
      <c r="E3" s="132" t="s">
        <v>289</v>
      </c>
      <c r="F3" s="173" t="s">
        <v>290</v>
      </c>
      <c r="G3" s="174" t="s">
        <v>291</v>
      </c>
      <c r="H3" s="173" t="s">
        <v>290</v>
      </c>
      <c r="I3" s="174" t="s">
        <v>291</v>
      </c>
      <c r="J3" s="173" t="s">
        <v>290</v>
      </c>
      <c r="K3" s="174" t="s">
        <v>291</v>
      </c>
      <c r="L3" s="173" t="s">
        <v>290</v>
      </c>
      <c r="M3" s="174" t="s">
        <v>291</v>
      </c>
    </row>
    <row r="4" spans="1:13" x14ac:dyDescent="0.15">
      <c r="A4" s="172"/>
      <c r="B4" s="128" t="s">
        <v>238</v>
      </c>
      <c r="C4" s="175">
        <v>6</v>
      </c>
      <c r="D4" s="175">
        <v>2000</v>
      </c>
      <c r="E4" s="128">
        <v>6650</v>
      </c>
      <c r="F4" s="175">
        <v>14</v>
      </c>
      <c r="G4" s="176">
        <f>+C4*D4*E4*F4*7.85/10^6</f>
        <v>8770.02</v>
      </c>
      <c r="H4" s="176">
        <f>+F4*2</f>
        <v>28</v>
      </c>
      <c r="I4" s="176">
        <f t="shared" ref="I4:I9" si="0">+H4*C4*D4*E4*7.85/10^6</f>
        <v>17540.04</v>
      </c>
      <c r="J4" s="175">
        <v>28</v>
      </c>
      <c r="K4" s="176">
        <f t="shared" ref="K4:K9" si="1">+C4*D4*E4*J4*7.85/10^6</f>
        <v>17540.04</v>
      </c>
      <c r="L4" s="196">
        <f>+H4-J4</f>
        <v>0</v>
      </c>
      <c r="M4" s="128">
        <f>+L4*C4*D4*E4*7.85/10^6</f>
        <v>0</v>
      </c>
    </row>
    <row r="5" spans="1:13" x14ac:dyDescent="0.15">
      <c r="A5" s="172"/>
      <c r="B5" s="128" t="s">
        <v>238</v>
      </c>
      <c r="C5" s="175">
        <v>6</v>
      </c>
      <c r="D5" s="175">
        <v>2000</v>
      </c>
      <c r="E5" s="128">
        <v>7000</v>
      </c>
      <c r="F5" s="175">
        <v>6</v>
      </c>
      <c r="G5" s="176">
        <f t="shared" ref="G5:G9" si="2">+C5*D5*E5*F5*7.85/10^6</f>
        <v>3956.4</v>
      </c>
      <c r="H5" s="176">
        <f t="shared" ref="H5:H9" si="3">+F5*2</f>
        <v>12</v>
      </c>
      <c r="I5" s="176">
        <f t="shared" si="0"/>
        <v>7912.8</v>
      </c>
      <c r="J5" s="175">
        <v>12</v>
      </c>
      <c r="K5" s="176">
        <f t="shared" si="1"/>
        <v>7912.8</v>
      </c>
      <c r="L5" s="196">
        <f t="shared" ref="L5:L9" si="4">+H5-J5</f>
        <v>0</v>
      </c>
      <c r="M5" s="128">
        <f t="shared" ref="M5:M9" si="5">+L5*C5*D5*E5*7.85/10^6</f>
        <v>0</v>
      </c>
    </row>
    <row r="6" spans="1:13" x14ac:dyDescent="0.15">
      <c r="A6" s="172"/>
      <c r="B6" s="128" t="s">
        <v>238</v>
      </c>
      <c r="C6" s="175">
        <v>6</v>
      </c>
      <c r="D6" s="175">
        <v>2000</v>
      </c>
      <c r="E6" s="128">
        <v>10300</v>
      </c>
      <c r="F6" s="175">
        <v>2</v>
      </c>
      <c r="G6" s="176">
        <f t="shared" si="2"/>
        <v>1940.52</v>
      </c>
      <c r="H6" s="176">
        <f t="shared" si="3"/>
        <v>4</v>
      </c>
      <c r="I6" s="176">
        <f t="shared" si="0"/>
        <v>3881.04</v>
      </c>
      <c r="J6" s="175">
        <v>4</v>
      </c>
      <c r="K6" s="176">
        <f t="shared" si="1"/>
        <v>3881.04</v>
      </c>
      <c r="L6" s="196">
        <f t="shared" si="4"/>
        <v>0</v>
      </c>
      <c r="M6" s="128">
        <f t="shared" si="5"/>
        <v>0</v>
      </c>
    </row>
    <row r="7" spans="1:13" x14ac:dyDescent="0.15">
      <c r="A7" s="172"/>
      <c r="B7" s="128" t="s">
        <v>238</v>
      </c>
      <c r="C7" s="175">
        <v>6</v>
      </c>
      <c r="D7" s="175">
        <v>2000</v>
      </c>
      <c r="E7" s="128">
        <v>11150</v>
      </c>
      <c r="F7" s="175">
        <v>63</v>
      </c>
      <c r="G7" s="176">
        <f t="shared" si="2"/>
        <v>66170.789999999994</v>
      </c>
      <c r="H7" s="176">
        <f t="shared" si="3"/>
        <v>126</v>
      </c>
      <c r="I7" s="176">
        <f t="shared" si="0"/>
        <v>132341.57999999999</v>
      </c>
      <c r="J7" s="175">
        <v>71</v>
      </c>
      <c r="K7" s="176">
        <f t="shared" si="1"/>
        <v>74573.429999999993</v>
      </c>
      <c r="L7" s="196">
        <f t="shared" si="4"/>
        <v>55</v>
      </c>
      <c r="M7" s="128">
        <f t="shared" si="5"/>
        <v>57768.15</v>
      </c>
    </row>
    <row r="8" spans="1:13" x14ac:dyDescent="0.15">
      <c r="A8" s="172" t="s">
        <v>352</v>
      </c>
      <c r="B8" s="128" t="s">
        <v>238</v>
      </c>
      <c r="C8" s="175">
        <v>6</v>
      </c>
      <c r="D8" s="175">
        <v>2000</v>
      </c>
      <c r="E8" s="128">
        <v>12000</v>
      </c>
      <c r="F8" s="175">
        <v>12</v>
      </c>
      <c r="G8" s="176">
        <f t="shared" si="2"/>
        <v>13564.8</v>
      </c>
      <c r="H8" s="176">
        <f t="shared" si="3"/>
        <v>24</v>
      </c>
      <c r="I8" s="176">
        <f t="shared" si="0"/>
        <v>27129.599999999999</v>
      </c>
      <c r="J8" s="175">
        <v>15</v>
      </c>
      <c r="K8" s="176">
        <f t="shared" si="1"/>
        <v>16956</v>
      </c>
      <c r="L8" s="196">
        <f t="shared" si="4"/>
        <v>9</v>
      </c>
      <c r="M8" s="128">
        <f t="shared" si="5"/>
        <v>10173.6</v>
      </c>
    </row>
    <row r="9" spans="1:13" x14ac:dyDescent="0.15">
      <c r="A9" s="172"/>
      <c r="B9" s="128" t="s">
        <v>238</v>
      </c>
      <c r="C9" s="175">
        <v>6</v>
      </c>
      <c r="D9" s="175">
        <v>2000</v>
      </c>
      <c r="E9" s="128">
        <v>13000</v>
      </c>
      <c r="F9" s="175">
        <v>27</v>
      </c>
      <c r="G9" s="176">
        <f t="shared" si="2"/>
        <v>33064.199999999997</v>
      </c>
      <c r="H9" s="176">
        <f t="shared" si="3"/>
        <v>54</v>
      </c>
      <c r="I9" s="176">
        <f t="shared" si="0"/>
        <v>66128.399999999994</v>
      </c>
      <c r="J9" s="175">
        <v>45</v>
      </c>
      <c r="K9" s="176">
        <f t="shared" si="1"/>
        <v>55107</v>
      </c>
      <c r="L9" s="196">
        <f t="shared" si="4"/>
        <v>9</v>
      </c>
      <c r="M9" s="128">
        <f t="shared" si="5"/>
        <v>11021.4</v>
      </c>
    </row>
  </sheetData>
  <mergeCells count="4">
    <mergeCell ref="J1:K1"/>
    <mergeCell ref="C1:G1"/>
    <mergeCell ref="L1:M1"/>
    <mergeCell ref="H1:I1"/>
  </mergeCells>
  <phoneticPr fontId="2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908D4-292B-4685-871C-541806473292}">
  <dimension ref="A1:L18"/>
  <sheetViews>
    <sheetView workbookViewId="0">
      <pane ySplit="3" topLeftCell="A4" activePane="bottomLeft" state="frozen"/>
      <selection pane="bottomLeft" activeCell="K4" sqref="K4:K18"/>
    </sheetView>
  </sheetViews>
  <sheetFormatPr baseColWidth="10" defaultColWidth="8.83203125" defaultRowHeight="13" x14ac:dyDescent="0.15"/>
  <cols>
    <col min="1" max="1" width="13.33203125" bestFit="1" customWidth="1"/>
    <col min="2" max="2" width="28" bestFit="1" customWidth="1"/>
    <col min="4" max="4" width="9.1640625" style="177"/>
    <col min="5" max="5" width="14.5" style="177" customWidth="1"/>
    <col min="7" max="7" width="9.1640625" style="177"/>
    <col min="8" max="8" width="14.5" style="178" bestFit="1" customWidth="1"/>
    <col min="9" max="9" width="6.6640625" style="178" bestFit="1" customWidth="1"/>
    <col min="10" max="10" width="14.5" style="178" customWidth="1"/>
    <col min="11" max="11" width="14.33203125" customWidth="1"/>
    <col min="12" max="12" width="16.1640625" customWidth="1"/>
  </cols>
  <sheetData>
    <row r="1" spans="1:12" x14ac:dyDescent="0.15">
      <c r="A1" s="128"/>
      <c r="B1" s="128"/>
      <c r="C1" s="128"/>
      <c r="D1" s="358" t="s">
        <v>292</v>
      </c>
      <c r="E1" s="359"/>
      <c r="F1" s="359"/>
      <c r="G1" s="359"/>
      <c r="H1" s="359"/>
      <c r="I1" s="360" t="s">
        <v>359</v>
      </c>
      <c r="J1" s="361"/>
      <c r="K1" s="362" t="s">
        <v>360</v>
      </c>
      <c r="L1" s="362"/>
    </row>
    <row r="2" spans="1:12" x14ac:dyDescent="0.15">
      <c r="A2" s="128"/>
      <c r="B2" s="128"/>
      <c r="C2" s="128"/>
      <c r="D2" s="195"/>
      <c r="E2" s="194"/>
      <c r="F2" s="194"/>
      <c r="G2" s="194"/>
      <c r="H2" s="205">
        <f>+SUM(H4:H18)</f>
        <v>61010.2</v>
      </c>
      <c r="I2" s="203"/>
      <c r="J2" s="206">
        <f>+SUM(J4:J18)</f>
        <v>122020.4</v>
      </c>
      <c r="K2" s="204"/>
      <c r="L2" s="207">
        <f>+SUM(L4:L18)</f>
        <v>125788.4</v>
      </c>
    </row>
    <row r="3" spans="1:12" x14ac:dyDescent="0.15">
      <c r="A3" s="128"/>
      <c r="B3" s="132"/>
      <c r="C3" s="132" t="s">
        <v>353</v>
      </c>
      <c r="D3" s="173" t="s">
        <v>287</v>
      </c>
      <c r="E3" s="173" t="s">
        <v>288</v>
      </c>
      <c r="F3" s="132" t="s">
        <v>289</v>
      </c>
      <c r="G3" s="173" t="s">
        <v>290</v>
      </c>
      <c r="H3" s="174" t="s">
        <v>291</v>
      </c>
      <c r="I3" s="173" t="s">
        <v>290</v>
      </c>
      <c r="J3" s="174" t="s">
        <v>291</v>
      </c>
      <c r="K3" s="173" t="s">
        <v>290</v>
      </c>
      <c r="L3" s="174" t="s">
        <v>291</v>
      </c>
    </row>
    <row r="4" spans="1:12" x14ac:dyDescent="0.15">
      <c r="A4" s="128"/>
      <c r="B4" s="172" t="s">
        <v>350</v>
      </c>
      <c r="C4" s="128" t="s">
        <v>226</v>
      </c>
      <c r="D4" s="175">
        <v>10</v>
      </c>
      <c r="E4" s="175">
        <v>2000</v>
      </c>
      <c r="F4" s="128">
        <v>7950</v>
      </c>
      <c r="G4" s="175">
        <v>6</v>
      </c>
      <c r="H4" s="176">
        <f t="shared" ref="H4:H18" si="0">+D4*E4*F4*G4*7.85/10^6</f>
        <v>7488.9</v>
      </c>
      <c r="I4" s="176">
        <f>+G4*2</f>
        <v>12</v>
      </c>
      <c r="J4" s="176">
        <f>+D4*E4*F4*I4*7.85/10^6</f>
        <v>14977.8</v>
      </c>
      <c r="K4" s="202">
        <f>+I4</f>
        <v>12</v>
      </c>
      <c r="L4" s="176">
        <f t="shared" ref="L4:L18" si="1">+D4*E4*F4*K4*7.85/10^6</f>
        <v>14977.8</v>
      </c>
    </row>
    <row r="5" spans="1:12" x14ac:dyDescent="0.15">
      <c r="A5" s="128"/>
      <c r="B5" s="172" t="s">
        <v>350</v>
      </c>
      <c r="C5" s="128" t="s">
        <v>226</v>
      </c>
      <c r="D5" s="175">
        <v>10</v>
      </c>
      <c r="E5" s="175">
        <v>2000</v>
      </c>
      <c r="F5" s="128">
        <v>8250</v>
      </c>
      <c r="G5" s="175">
        <v>2</v>
      </c>
      <c r="H5" s="176">
        <f t="shared" si="0"/>
        <v>2590.5</v>
      </c>
      <c r="I5" s="176">
        <f t="shared" ref="I5:I18" si="2">+G5*2</f>
        <v>4</v>
      </c>
      <c r="J5" s="176">
        <f t="shared" ref="J5:J18" si="3">+D5*E5*F5*I5*7.85/10^6</f>
        <v>5181</v>
      </c>
      <c r="K5" s="202">
        <f t="shared" ref="K5:K18" si="4">+I5</f>
        <v>4</v>
      </c>
      <c r="L5" s="176">
        <f t="shared" si="1"/>
        <v>5181</v>
      </c>
    </row>
    <row r="6" spans="1:12" x14ac:dyDescent="0.15">
      <c r="A6" s="128"/>
      <c r="B6" s="172" t="s">
        <v>350</v>
      </c>
      <c r="C6" s="128" t="s">
        <v>226</v>
      </c>
      <c r="D6" s="175">
        <v>10</v>
      </c>
      <c r="E6" s="175">
        <v>2000</v>
      </c>
      <c r="F6" s="128">
        <v>8700</v>
      </c>
      <c r="G6" s="175">
        <v>2</v>
      </c>
      <c r="H6" s="176">
        <f t="shared" si="0"/>
        <v>2731.8</v>
      </c>
      <c r="I6" s="176">
        <f t="shared" si="2"/>
        <v>4</v>
      </c>
      <c r="J6" s="176">
        <f t="shared" si="3"/>
        <v>5463.6</v>
      </c>
      <c r="K6" s="202">
        <f t="shared" si="4"/>
        <v>4</v>
      </c>
      <c r="L6" s="176">
        <f t="shared" si="1"/>
        <v>5463.6</v>
      </c>
    </row>
    <row r="7" spans="1:12" x14ac:dyDescent="0.15">
      <c r="A7" s="128"/>
      <c r="B7" s="172" t="s">
        <v>350</v>
      </c>
      <c r="C7" s="128" t="s">
        <v>226</v>
      </c>
      <c r="D7" s="175">
        <v>10</v>
      </c>
      <c r="E7" s="175">
        <v>2000</v>
      </c>
      <c r="F7" s="128">
        <v>9000</v>
      </c>
      <c r="G7" s="175">
        <v>1</v>
      </c>
      <c r="H7" s="176">
        <f t="shared" si="0"/>
        <v>1413</v>
      </c>
      <c r="I7" s="176">
        <f t="shared" si="2"/>
        <v>2</v>
      </c>
      <c r="J7" s="176">
        <f t="shared" si="3"/>
        <v>2826</v>
      </c>
      <c r="K7" s="202">
        <f t="shared" si="4"/>
        <v>2</v>
      </c>
      <c r="L7" s="176">
        <f t="shared" si="1"/>
        <v>2826</v>
      </c>
    </row>
    <row r="8" spans="1:12" x14ac:dyDescent="0.15">
      <c r="A8" s="128"/>
      <c r="B8" s="172" t="s">
        <v>350</v>
      </c>
      <c r="C8" s="128" t="s">
        <v>226</v>
      </c>
      <c r="D8" s="175">
        <v>10</v>
      </c>
      <c r="E8" s="175">
        <v>2000</v>
      </c>
      <c r="F8" s="128">
        <v>9300</v>
      </c>
      <c r="G8" s="175">
        <v>1</v>
      </c>
      <c r="H8" s="176">
        <f t="shared" si="0"/>
        <v>1460.1</v>
      </c>
      <c r="I8" s="176">
        <f t="shared" si="2"/>
        <v>2</v>
      </c>
      <c r="J8" s="176">
        <f t="shared" si="3"/>
        <v>2920.2</v>
      </c>
      <c r="K8" s="202">
        <f t="shared" si="4"/>
        <v>2</v>
      </c>
      <c r="L8" s="176">
        <f t="shared" si="1"/>
        <v>2920.2</v>
      </c>
    </row>
    <row r="9" spans="1:12" x14ac:dyDescent="0.15">
      <c r="A9" s="128"/>
      <c r="B9" s="172" t="s">
        <v>350</v>
      </c>
      <c r="C9" s="128" t="s">
        <v>226</v>
      </c>
      <c r="D9" s="175">
        <v>10</v>
      </c>
      <c r="E9" s="175">
        <v>2000</v>
      </c>
      <c r="F9" s="128">
        <v>9700</v>
      </c>
      <c r="G9" s="175">
        <v>1</v>
      </c>
      <c r="H9" s="176">
        <f t="shared" si="0"/>
        <v>1522.9</v>
      </c>
      <c r="I9" s="176">
        <f t="shared" si="2"/>
        <v>2</v>
      </c>
      <c r="J9" s="176">
        <f t="shared" si="3"/>
        <v>3045.8</v>
      </c>
      <c r="K9" s="202">
        <f t="shared" si="4"/>
        <v>2</v>
      </c>
      <c r="L9" s="176">
        <f t="shared" si="1"/>
        <v>3045.8</v>
      </c>
    </row>
    <row r="10" spans="1:12" x14ac:dyDescent="0.15">
      <c r="A10" s="128"/>
      <c r="B10" s="172" t="s">
        <v>350</v>
      </c>
      <c r="C10" s="128" t="s">
        <v>226</v>
      </c>
      <c r="D10" s="175">
        <v>10</v>
      </c>
      <c r="E10" s="175">
        <v>2000</v>
      </c>
      <c r="F10" s="128">
        <v>9800</v>
      </c>
      <c r="G10" s="175">
        <v>1</v>
      </c>
      <c r="H10" s="176">
        <f t="shared" si="0"/>
        <v>1538.6</v>
      </c>
      <c r="I10" s="176">
        <f t="shared" si="2"/>
        <v>2</v>
      </c>
      <c r="J10" s="176">
        <f t="shared" si="3"/>
        <v>3077.2</v>
      </c>
      <c r="K10" s="202">
        <f t="shared" si="4"/>
        <v>2</v>
      </c>
      <c r="L10" s="176">
        <f t="shared" si="1"/>
        <v>3077.2</v>
      </c>
    </row>
    <row r="11" spans="1:12" x14ac:dyDescent="0.15">
      <c r="A11" s="128"/>
      <c r="B11" s="172" t="s">
        <v>350</v>
      </c>
      <c r="C11" s="128" t="s">
        <v>226</v>
      </c>
      <c r="D11" s="175">
        <v>10</v>
      </c>
      <c r="E11" s="175">
        <v>2000</v>
      </c>
      <c r="F11" s="128">
        <v>10100</v>
      </c>
      <c r="G11" s="175">
        <v>6</v>
      </c>
      <c r="H11" s="176">
        <f t="shared" si="0"/>
        <v>9514.2000000000007</v>
      </c>
      <c r="I11" s="176">
        <f t="shared" si="2"/>
        <v>12</v>
      </c>
      <c r="J11" s="176">
        <f t="shared" si="3"/>
        <v>19028.400000000001</v>
      </c>
      <c r="K11" s="202">
        <f t="shared" si="4"/>
        <v>12</v>
      </c>
      <c r="L11" s="176">
        <f t="shared" si="1"/>
        <v>19028.400000000001</v>
      </c>
    </row>
    <row r="12" spans="1:12" x14ac:dyDescent="0.15">
      <c r="A12" s="128"/>
      <c r="B12" s="172" t="s">
        <v>350</v>
      </c>
      <c r="C12" s="128" t="s">
        <v>226</v>
      </c>
      <c r="D12" s="175">
        <v>10</v>
      </c>
      <c r="E12" s="175">
        <v>2000</v>
      </c>
      <c r="F12" s="128">
        <v>10400</v>
      </c>
      <c r="G12" s="175">
        <v>2</v>
      </c>
      <c r="H12" s="176">
        <f t="shared" si="0"/>
        <v>3265.6</v>
      </c>
      <c r="I12" s="176">
        <f t="shared" si="2"/>
        <v>4</v>
      </c>
      <c r="J12" s="176">
        <f t="shared" si="3"/>
        <v>6531.2</v>
      </c>
      <c r="K12" s="202">
        <f t="shared" si="4"/>
        <v>4</v>
      </c>
      <c r="L12" s="176">
        <f t="shared" si="1"/>
        <v>6531.2</v>
      </c>
    </row>
    <row r="13" spans="1:12" x14ac:dyDescent="0.15">
      <c r="A13" s="128"/>
      <c r="B13" s="172" t="s">
        <v>350</v>
      </c>
      <c r="C13" s="128" t="s">
        <v>226</v>
      </c>
      <c r="D13" s="175">
        <v>10</v>
      </c>
      <c r="E13" s="175">
        <v>2000</v>
      </c>
      <c r="F13" s="128">
        <v>10800</v>
      </c>
      <c r="G13" s="175">
        <v>1</v>
      </c>
      <c r="H13" s="176">
        <f t="shared" si="0"/>
        <v>1695.6</v>
      </c>
      <c r="I13" s="176">
        <f t="shared" si="2"/>
        <v>2</v>
      </c>
      <c r="J13" s="176">
        <f t="shared" si="3"/>
        <v>3391.2</v>
      </c>
      <c r="K13" s="202">
        <f t="shared" si="4"/>
        <v>2</v>
      </c>
      <c r="L13" s="176">
        <f t="shared" si="1"/>
        <v>3391.2</v>
      </c>
    </row>
    <row r="14" spans="1:12" x14ac:dyDescent="0.15">
      <c r="A14" s="128"/>
      <c r="B14" s="172" t="s">
        <v>350</v>
      </c>
      <c r="C14" s="128" t="s">
        <v>226</v>
      </c>
      <c r="D14" s="175">
        <v>10</v>
      </c>
      <c r="E14" s="175">
        <v>2000</v>
      </c>
      <c r="F14" s="128">
        <v>10900</v>
      </c>
      <c r="G14" s="175">
        <v>2</v>
      </c>
      <c r="H14" s="176">
        <f t="shared" si="0"/>
        <v>3422.6</v>
      </c>
      <c r="I14" s="176">
        <f t="shared" si="2"/>
        <v>4</v>
      </c>
      <c r="J14" s="176">
        <f t="shared" si="3"/>
        <v>6845.2</v>
      </c>
      <c r="K14" s="202">
        <f t="shared" si="4"/>
        <v>4</v>
      </c>
      <c r="L14" s="176">
        <f t="shared" si="1"/>
        <v>6845.2</v>
      </c>
    </row>
    <row r="15" spans="1:12" x14ac:dyDescent="0.15">
      <c r="A15" s="128"/>
      <c r="B15" s="172" t="s">
        <v>350</v>
      </c>
      <c r="C15" s="128" t="s">
        <v>226</v>
      </c>
      <c r="D15" s="175">
        <v>10</v>
      </c>
      <c r="E15" s="175">
        <v>2000</v>
      </c>
      <c r="F15" s="128">
        <v>11400</v>
      </c>
      <c r="G15" s="175">
        <v>3</v>
      </c>
      <c r="H15" s="176">
        <f t="shared" si="0"/>
        <v>5369.4</v>
      </c>
      <c r="I15" s="176">
        <f t="shared" si="2"/>
        <v>6</v>
      </c>
      <c r="J15" s="176">
        <f t="shared" si="3"/>
        <v>10738.8</v>
      </c>
      <c r="K15" s="202">
        <f t="shared" si="4"/>
        <v>6</v>
      </c>
      <c r="L15" s="176">
        <f t="shared" si="1"/>
        <v>10738.8</v>
      </c>
    </row>
    <row r="16" spans="1:12" x14ac:dyDescent="0.15">
      <c r="A16" s="128"/>
      <c r="B16" s="172" t="s">
        <v>350</v>
      </c>
      <c r="C16" s="128" t="s">
        <v>226</v>
      </c>
      <c r="D16" s="175">
        <v>10</v>
      </c>
      <c r="E16" s="175">
        <v>2000</v>
      </c>
      <c r="F16" s="128">
        <v>11500</v>
      </c>
      <c r="G16" s="175">
        <v>2</v>
      </c>
      <c r="H16" s="176">
        <f t="shared" si="0"/>
        <v>3611</v>
      </c>
      <c r="I16" s="176">
        <f t="shared" si="2"/>
        <v>4</v>
      </c>
      <c r="J16" s="176">
        <f t="shared" si="3"/>
        <v>7222</v>
      </c>
      <c r="K16" s="202">
        <f t="shared" si="4"/>
        <v>4</v>
      </c>
      <c r="L16" s="176">
        <f t="shared" si="1"/>
        <v>7222</v>
      </c>
    </row>
    <row r="17" spans="1:12" x14ac:dyDescent="0.15">
      <c r="A17" s="172" t="s">
        <v>361</v>
      </c>
      <c r="B17" s="172" t="s">
        <v>350</v>
      </c>
      <c r="C17" s="128" t="s">
        <v>226</v>
      </c>
      <c r="D17" s="175">
        <v>10</v>
      </c>
      <c r="E17" s="175">
        <v>2000</v>
      </c>
      <c r="F17" s="128">
        <v>12000</v>
      </c>
      <c r="G17" s="175">
        <v>6</v>
      </c>
      <c r="H17" s="176">
        <f t="shared" si="0"/>
        <v>11304</v>
      </c>
      <c r="I17" s="176">
        <f t="shared" si="2"/>
        <v>12</v>
      </c>
      <c r="J17" s="176">
        <f t="shared" si="3"/>
        <v>22608</v>
      </c>
      <c r="K17" s="202">
        <v>14</v>
      </c>
      <c r="L17" s="176">
        <f t="shared" si="1"/>
        <v>26376</v>
      </c>
    </row>
    <row r="18" spans="1:12" x14ac:dyDescent="0.15">
      <c r="A18" s="128"/>
      <c r="B18" s="172" t="s">
        <v>350</v>
      </c>
      <c r="C18" s="128" t="s">
        <v>226</v>
      </c>
      <c r="D18" s="175">
        <v>10</v>
      </c>
      <c r="E18" s="175">
        <v>2000</v>
      </c>
      <c r="F18" s="128">
        <v>13000</v>
      </c>
      <c r="G18" s="175">
        <v>2</v>
      </c>
      <c r="H18" s="176">
        <f t="shared" si="0"/>
        <v>4082</v>
      </c>
      <c r="I18" s="176">
        <f t="shared" si="2"/>
        <v>4</v>
      </c>
      <c r="J18" s="176">
        <f t="shared" si="3"/>
        <v>8164</v>
      </c>
      <c r="K18" s="202">
        <f t="shared" si="4"/>
        <v>4</v>
      </c>
      <c r="L18" s="176">
        <f t="shared" si="1"/>
        <v>8164</v>
      </c>
    </row>
  </sheetData>
  <mergeCells count="3">
    <mergeCell ref="D1:H1"/>
    <mergeCell ref="I1:J1"/>
    <mergeCell ref="K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9A3A-82B3-408A-8DEB-0D4F8088ABCB}">
  <dimension ref="A1:I38"/>
  <sheetViews>
    <sheetView zoomScaleNormal="100" workbookViewId="0">
      <pane ySplit="1" topLeftCell="A2" activePane="bottomLeft" state="frozen"/>
      <selection pane="bottomLeft" activeCell="A25" sqref="A25:G25"/>
    </sheetView>
  </sheetViews>
  <sheetFormatPr baseColWidth="10" defaultColWidth="8.83203125" defaultRowHeight="13" x14ac:dyDescent="0.15"/>
  <cols>
    <col min="1" max="1" width="18.5" customWidth="1"/>
    <col min="2" max="2" width="15.5" bestFit="1" customWidth="1"/>
    <col min="3" max="3" width="12.33203125" bestFit="1" customWidth="1"/>
    <col min="4" max="4" width="19" bestFit="1" customWidth="1"/>
    <col min="5" max="5" width="26.83203125" bestFit="1" customWidth="1"/>
    <col min="6" max="6" width="19" bestFit="1" customWidth="1"/>
    <col min="7" max="7" width="26.83203125" bestFit="1" customWidth="1"/>
    <col min="8" max="8" width="9.33203125" bestFit="1" customWidth="1"/>
    <col min="9" max="9" width="10.33203125" bestFit="1" customWidth="1"/>
  </cols>
  <sheetData>
    <row r="1" spans="1:9" ht="15" x14ac:dyDescent="0.2">
      <c r="A1" s="132" t="s">
        <v>211</v>
      </c>
      <c r="B1" s="129" t="s">
        <v>212</v>
      </c>
      <c r="C1" s="129" t="s">
        <v>213</v>
      </c>
      <c r="D1" s="130" t="s">
        <v>246</v>
      </c>
      <c r="E1" s="129" t="s">
        <v>245</v>
      </c>
      <c r="F1" s="130" t="s">
        <v>248</v>
      </c>
      <c r="G1" s="129" t="s">
        <v>247</v>
      </c>
      <c r="H1" s="128"/>
      <c r="I1" s="128"/>
    </row>
    <row r="2" spans="1:9" x14ac:dyDescent="0.15">
      <c r="A2" s="136" t="s">
        <v>214</v>
      </c>
      <c r="B2" s="136" t="s">
        <v>215</v>
      </c>
      <c r="C2" s="136" t="s">
        <v>62</v>
      </c>
      <c r="D2" s="137">
        <v>7.48</v>
      </c>
      <c r="E2" s="136">
        <v>139.19999999999999</v>
      </c>
      <c r="F2" s="137">
        <f>+D2*2</f>
        <v>14.96</v>
      </c>
      <c r="G2" s="137">
        <f>+E2*2</f>
        <v>278.39999999999998</v>
      </c>
      <c r="H2" s="137">
        <f>+F2*1.08</f>
        <v>16.1568</v>
      </c>
      <c r="I2" s="137">
        <f>+G2*1.08</f>
        <v>300.67199999999997</v>
      </c>
    </row>
    <row r="3" spans="1:9" x14ac:dyDescent="0.15">
      <c r="A3" s="136" t="s">
        <v>214</v>
      </c>
      <c r="B3" s="136" t="s">
        <v>216</v>
      </c>
      <c r="C3" s="136" t="s">
        <v>62</v>
      </c>
      <c r="D3" s="137">
        <v>104.09</v>
      </c>
      <c r="E3" s="136">
        <v>2560</v>
      </c>
      <c r="F3" s="137">
        <f t="shared" ref="F3:F38" si="0">+D3*2</f>
        <v>208.18</v>
      </c>
      <c r="G3" s="137">
        <f t="shared" ref="G3:G38" si="1">+E3*2</f>
        <v>5120</v>
      </c>
      <c r="H3" s="137">
        <f t="shared" ref="H3:H11" si="2">+F3*1.08</f>
        <v>224.83440000000002</v>
      </c>
      <c r="I3" s="137">
        <f t="shared" ref="I3:I11" si="3">+G3*1.08</f>
        <v>5529.6</v>
      </c>
    </row>
    <row r="4" spans="1:9" x14ac:dyDescent="0.15">
      <c r="A4" s="136" t="s">
        <v>214</v>
      </c>
      <c r="B4" s="136" t="s">
        <v>217</v>
      </c>
      <c r="C4" s="136" t="s">
        <v>218</v>
      </c>
      <c r="D4" s="137">
        <v>1.948</v>
      </c>
      <c r="E4" s="136">
        <v>97.1</v>
      </c>
      <c r="F4" s="137">
        <f t="shared" si="0"/>
        <v>3.8959999999999999</v>
      </c>
      <c r="G4" s="137">
        <f t="shared" si="1"/>
        <v>194.2</v>
      </c>
      <c r="H4" s="137">
        <f t="shared" si="2"/>
        <v>4.2076799999999999</v>
      </c>
      <c r="I4" s="137">
        <f t="shared" si="3"/>
        <v>209.73599999999999</v>
      </c>
    </row>
    <row r="5" spans="1:9" x14ac:dyDescent="0.15">
      <c r="A5" s="136" t="s">
        <v>214</v>
      </c>
      <c r="B5" s="136" t="s">
        <v>219</v>
      </c>
      <c r="C5" s="136" t="s">
        <v>62</v>
      </c>
      <c r="D5" s="137">
        <v>111.63999999999999</v>
      </c>
      <c r="E5" s="136">
        <v>6231</v>
      </c>
      <c r="F5" s="137">
        <f t="shared" si="0"/>
        <v>223.27999999999997</v>
      </c>
      <c r="G5" s="137">
        <f t="shared" si="1"/>
        <v>12462</v>
      </c>
      <c r="H5" s="137">
        <f t="shared" si="2"/>
        <v>241.14239999999998</v>
      </c>
      <c r="I5" s="137">
        <f t="shared" si="3"/>
        <v>13458.960000000001</v>
      </c>
    </row>
    <row r="6" spans="1:9" x14ac:dyDescent="0.15">
      <c r="A6" s="136" t="s">
        <v>214</v>
      </c>
      <c r="B6" s="136" t="s">
        <v>220</v>
      </c>
      <c r="C6" s="136" t="s">
        <v>62</v>
      </c>
      <c r="D6" s="137">
        <v>58.21</v>
      </c>
      <c r="E6" s="136">
        <v>2027.4</v>
      </c>
      <c r="F6" s="137">
        <f t="shared" si="0"/>
        <v>116.42</v>
      </c>
      <c r="G6" s="137">
        <f t="shared" si="1"/>
        <v>4054.8</v>
      </c>
      <c r="H6" s="137">
        <f t="shared" si="2"/>
        <v>125.73360000000001</v>
      </c>
      <c r="I6" s="137">
        <f t="shared" si="3"/>
        <v>4379.1840000000002</v>
      </c>
    </row>
    <row r="7" spans="1:9" x14ac:dyDescent="0.15">
      <c r="A7" s="136" t="s">
        <v>214</v>
      </c>
      <c r="B7" s="136" t="s">
        <v>221</v>
      </c>
      <c r="C7" s="136" t="s">
        <v>62</v>
      </c>
      <c r="D7" s="137">
        <v>112.628</v>
      </c>
      <c r="E7" s="136">
        <v>11516.7</v>
      </c>
      <c r="F7" s="137">
        <f t="shared" si="0"/>
        <v>225.256</v>
      </c>
      <c r="G7" s="137">
        <f t="shared" si="1"/>
        <v>23033.4</v>
      </c>
      <c r="H7" s="137">
        <f t="shared" si="2"/>
        <v>243.27648000000002</v>
      </c>
      <c r="I7" s="137">
        <f t="shared" si="3"/>
        <v>24876.072000000004</v>
      </c>
    </row>
    <row r="8" spans="1:9" x14ac:dyDescent="0.15">
      <c r="A8" s="136" t="s">
        <v>214</v>
      </c>
      <c r="B8" s="136" t="s">
        <v>222</v>
      </c>
      <c r="C8" s="136" t="s">
        <v>62</v>
      </c>
      <c r="D8" s="137">
        <v>14.069000000000001</v>
      </c>
      <c r="E8" s="136">
        <v>161.9</v>
      </c>
      <c r="F8" s="137">
        <f t="shared" si="0"/>
        <v>28.138000000000002</v>
      </c>
      <c r="G8" s="137">
        <f t="shared" si="1"/>
        <v>323.8</v>
      </c>
      <c r="H8" s="137">
        <f t="shared" si="2"/>
        <v>30.389040000000005</v>
      </c>
      <c r="I8" s="137">
        <f t="shared" si="3"/>
        <v>349.70400000000001</v>
      </c>
    </row>
    <row r="9" spans="1:9" x14ac:dyDescent="0.15">
      <c r="A9" s="136" t="s">
        <v>214</v>
      </c>
      <c r="B9" s="136" t="s">
        <v>223</v>
      </c>
      <c r="C9" s="136" t="s">
        <v>62</v>
      </c>
      <c r="D9" s="137">
        <v>114.051</v>
      </c>
      <c r="E9" s="136">
        <v>1679.6</v>
      </c>
      <c r="F9" s="137">
        <f t="shared" si="0"/>
        <v>228.102</v>
      </c>
      <c r="G9" s="137">
        <f t="shared" si="1"/>
        <v>3359.2</v>
      </c>
      <c r="H9" s="137">
        <f t="shared" si="2"/>
        <v>246.35016000000002</v>
      </c>
      <c r="I9" s="137">
        <f t="shared" si="3"/>
        <v>3627.9360000000001</v>
      </c>
    </row>
    <row r="10" spans="1:9" x14ac:dyDescent="0.15">
      <c r="A10" s="136" t="s">
        <v>214</v>
      </c>
      <c r="B10" s="136" t="s">
        <v>224</v>
      </c>
      <c r="C10" s="136" t="s">
        <v>62</v>
      </c>
      <c r="D10" s="137">
        <v>56.923999999999999</v>
      </c>
      <c r="E10" s="136">
        <v>252.2</v>
      </c>
      <c r="F10" s="137">
        <f t="shared" si="0"/>
        <v>113.848</v>
      </c>
      <c r="G10" s="137">
        <f t="shared" si="1"/>
        <v>504.4</v>
      </c>
      <c r="H10" s="137">
        <f t="shared" si="2"/>
        <v>122.95584000000001</v>
      </c>
      <c r="I10" s="137">
        <f t="shared" si="3"/>
        <v>544.75200000000007</v>
      </c>
    </row>
    <row r="11" spans="1:9" x14ac:dyDescent="0.15">
      <c r="A11" s="136" t="s">
        <v>214</v>
      </c>
      <c r="B11" s="136" t="s">
        <v>225</v>
      </c>
      <c r="C11" s="136" t="s">
        <v>62</v>
      </c>
      <c r="D11" s="137">
        <v>57.026000000000003</v>
      </c>
      <c r="E11" s="136">
        <v>472.1</v>
      </c>
      <c r="F11" s="137">
        <f t="shared" si="0"/>
        <v>114.05200000000001</v>
      </c>
      <c r="G11" s="137">
        <f t="shared" si="1"/>
        <v>944.2</v>
      </c>
      <c r="H11" s="137">
        <f t="shared" si="2"/>
        <v>123.17616000000001</v>
      </c>
      <c r="I11" s="137">
        <f t="shared" si="3"/>
        <v>1019.7360000000001</v>
      </c>
    </row>
    <row r="12" spans="1:9" x14ac:dyDescent="0.15">
      <c r="A12" s="136" t="s">
        <v>214</v>
      </c>
      <c r="B12" s="136" t="s">
        <v>226</v>
      </c>
      <c r="C12" s="136" t="s">
        <v>243</v>
      </c>
      <c r="D12" s="137">
        <v>0.22929936305732485</v>
      </c>
      <c r="E12" s="136">
        <v>18</v>
      </c>
      <c r="F12" s="137">
        <f t="shared" si="0"/>
        <v>0.45859872611464969</v>
      </c>
      <c r="G12" s="137">
        <f t="shared" si="1"/>
        <v>36</v>
      </c>
      <c r="H12" s="128"/>
      <c r="I12" s="128"/>
    </row>
    <row r="13" spans="1:9" x14ac:dyDescent="0.15">
      <c r="A13" s="136" t="s">
        <v>214</v>
      </c>
      <c r="B13" s="136" t="s">
        <v>226</v>
      </c>
      <c r="C13" s="136" t="s">
        <v>62</v>
      </c>
      <c r="D13" s="137">
        <v>5.6050955414012744</v>
      </c>
      <c r="E13" s="136">
        <v>440</v>
      </c>
      <c r="F13" s="137">
        <f t="shared" si="0"/>
        <v>11.210191082802549</v>
      </c>
      <c r="G13" s="137">
        <f t="shared" si="1"/>
        <v>880</v>
      </c>
      <c r="H13" s="128"/>
      <c r="I13" s="128"/>
    </row>
    <row r="14" spans="1:9" x14ac:dyDescent="0.15">
      <c r="A14" s="136" t="s">
        <v>214</v>
      </c>
      <c r="B14" s="136" t="s">
        <v>227</v>
      </c>
      <c r="C14" s="136" t="s">
        <v>243</v>
      </c>
      <c r="D14" s="137">
        <v>1.4554140127388535</v>
      </c>
      <c r="E14" s="136">
        <v>137.1</v>
      </c>
      <c r="F14" s="137">
        <f t="shared" si="0"/>
        <v>2.910828025477707</v>
      </c>
      <c r="G14" s="137">
        <f t="shared" si="1"/>
        <v>274.2</v>
      </c>
      <c r="H14" s="128"/>
      <c r="I14" s="128"/>
    </row>
    <row r="15" spans="1:9" x14ac:dyDescent="0.15">
      <c r="A15" s="136" t="s">
        <v>214</v>
      </c>
      <c r="B15" s="136" t="s">
        <v>227</v>
      </c>
      <c r="C15" s="136" t="s">
        <v>62</v>
      </c>
      <c r="D15" s="137">
        <v>11.302547770700638</v>
      </c>
      <c r="E15" s="136">
        <v>1064.7</v>
      </c>
      <c r="F15" s="137">
        <f t="shared" si="0"/>
        <v>22.605095541401276</v>
      </c>
      <c r="G15" s="137">
        <f t="shared" si="1"/>
        <v>2129.4</v>
      </c>
      <c r="H15" s="128"/>
      <c r="I15" s="128"/>
    </row>
    <row r="16" spans="1:9" x14ac:dyDescent="0.15">
      <c r="A16" s="136" t="s">
        <v>214</v>
      </c>
      <c r="B16" s="136" t="s">
        <v>228</v>
      </c>
      <c r="C16" s="136" t="s">
        <v>62</v>
      </c>
      <c r="D16" s="137">
        <v>5.7141719745222934</v>
      </c>
      <c r="E16" s="136">
        <v>717.7</v>
      </c>
      <c r="F16" s="137">
        <f t="shared" si="0"/>
        <v>11.428343949044587</v>
      </c>
      <c r="G16" s="137">
        <f t="shared" si="1"/>
        <v>1435.4</v>
      </c>
      <c r="H16" s="128"/>
      <c r="I16" s="128"/>
    </row>
    <row r="17" spans="1:9" ht="21.75" customHeight="1" x14ac:dyDescent="0.15">
      <c r="A17" s="138" t="s">
        <v>214</v>
      </c>
      <c r="B17" s="138" t="s">
        <v>229</v>
      </c>
      <c r="C17" s="138" t="s">
        <v>243</v>
      </c>
      <c r="D17" s="139">
        <v>0.67717063359034535</v>
      </c>
      <c r="E17" s="138">
        <v>101</v>
      </c>
      <c r="F17" s="139">
        <f t="shared" si="0"/>
        <v>1.3543412671806907</v>
      </c>
      <c r="G17" s="139">
        <f t="shared" si="1"/>
        <v>202</v>
      </c>
      <c r="H17" s="128"/>
      <c r="I17" s="128"/>
    </row>
    <row r="18" spans="1:9" x14ac:dyDescent="0.15">
      <c r="A18" s="136" t="s">
        <v>214</v>
      </c>
      <c r="B18" s="136" t="s">
        <v>230</v>
      </c>
      <c r="C18" s="136" t="s">
        <v>62</v>
      </c>
      <c r="D18" s="137">
        <v>2.8681528662420379</v>
      </c>
      <c r="E18" s="136">
        <v>450.29999999999995</v>
      </c>
      <c r="F18" s="137">
        <f t="shared" si="0"/>
        <v>5.7363057324840758</v>
      </c>
      <c r="G18" s="137">
        <f t="shared" si="1"/>
        <v>900.59999999999991</v>
      </c>
      <c r="H18" s="128"/>
      <c r="I18" s="128"/>
    </row>
    <row r="19" spans="1:9" x14ac:dyDescent="0.15">
      <c r="A19" s="136" t="s">
        <v>214</v>
      </c>
      <c r="B19" s="136" t="s">
        <v>231</v>
      </c>
      <c r="C19" s="136" t="s">
        <v>243</v>
      </c>
      <c r="D19" s="137">
        <v>158.35414012738855</v>
      </c>
      <c r="E19" s="137">
        <v>31077</v>
      </c>
      <c r="F19" s="137">
        <f t="shared" si="0"/>
        <v>316.70828025477709</v>
      </c>
      <c r="G19" s="137">
        <f t="shared" si="1"/>
        <v>62154</v>
      </c>
      <c r="H19" s="128"/>
      <c r="I19" s="128"/>
    </row>
    <row r="20" spans="1:9" x14ac:dyDescent="0.15">
      <c r="A20" s="136" t="s">
        <v>214</v>
      </c>
      <c r="B20" s="136" t="s">
        <v>231</v>
      </c>
      <c r="C20" s="136" t="s">
        <v>62</v>
      </c>
      <c r="D20" s="137">
        <v>1.1322292993630574</v>
      </c>
      <c r="E20" s="137">
        <v>222.20000000000002</v>
      </c>
      <c r="F20" s="137">
        <f t="shared" si="0"/>
        <v>2.2644585987261148</v>
      </c>
      <c r="G20" s="137">
        <f t="shared" si="1"/>
        <v>444.40000000000003</v>
      </c>
      <c r="H20" s="128"/>
      <c r="I20" s="128"/>
    </row>
    <row r="21" spans="1:9" x14ac:dyDescent="0.15">
      <c r="A21" s="136" t="s">
        <v>214</v>
      </c>
      <c r="B21" s="136" t="s">
        <v>232</v>
      </c>
      <c r="C21" s="136" t="s">
        <v>243</v>
      </c>
      <c r="D21" s="137">
        <v>0.82484076433121034</v>
      </c>
      <c r="E21" s="136">
        <v>181.3</v>
      </c>
      <c r="F21" s="137">
        <f t="shared" si="0"/>
        <v>1.6496815286624207</v>
      </c>
      <c r="G21" s="137">
        <f t="shared" si="1"/>
        <v>362.6</v>
      </c>
      <c r="H21" s="128"/>
      <c r="I21" s="128"/>
    </row>
    <row r="22" spans="1:9" x14ac:dyDescent="0.15">
      <c r="A22" s="136" t="s">
        <v>214</v>
      </c>
      <c r="B22" s="136" t="s">
        <v>232</v>
      </c>
      <c r="C22" s="136" t="s">
        <v>62</v>
      </c>
      <c r="D22" s="137">
        <v>0.37670609645131936</v>
      </c>
      <c r="E22" s="136">
        <v>82.8</v>
      </c>
      <c r="F22" s="137">
        <f t="shared" si="0"/>
        <v>0.75341219290263872</v>
      </c>
      <c r="G22" s="137">
        <f t="shared" si="1"/>
        <v>165.6</v>
      </c>
      <c r="H22" s="128"/>
      <c r="I22" s="128"/>
    </row>
    <row r="23" spans="1:9" x14ac:dyDescent="0.15">
      <c r="A23" s="136" t="s">
        <v>214</v>
      </c>
      <c r="B23" s="136" t="s">
        <v>233</v>
      </c>
      <c r="C23" s="136" t="s">
        <v>243</v>
      </c>
      <c r="D23" s="137">
        <v>4.1094745222929934</v>
      </c>
      <c r="E23" s="136">
        <v>1032.3</v>
      </c>
      <c r="F23" s="137">
        <f t="shared" si="0"/>
        <v>8.2189490445859867</v>
      </c>
      <c r="G23" s="137">
        <f t="shared" si="1"/>
        <v>2064.6</v>
      </c>
      <c r="H23" s="128"/>
      <c r="I23" s="128"/>
    </row>
    <row r="24" spans="1:9" x14ac:dyDescent="0.15">
      <c r="A24" s="136" t="s">
        <v>214</v>
      </c>
      <c r="B24" s="136" t="s">
        <v>234</v>
      </c>
      <c r="C24" s="136" t="s">
        <v>243</v>
      </c>
      <c r="D24" s="137">
        <v>126.71940998994302</v>
      </c>
      <c r="E24" s="136">
        <v>37800.400000000001</v>
      </c>
      <c r="F24" s="137">
        <f t="shared" si="0"/>
        <v>253.43881997988603</v>
      </c>
      <c r="G24" s="137">
        <f t="shared" si="1"/>
        <v>75600.800000000003</v>
      </c>
      <c r="H24" s="128"/>
      <c r="I24" s="128"/>
    </row>
    <row r="25" spans="1:9" x14ac:dyDescent="0.15">
      <c r="A25" s="128" t="s">
        <v>214</v>
      </c>
      <c r="B25" s="128" t="s">
        <v>235</v>
      </c>
      <c r="C25" s="128" t="s">
        <v>62</v>
      </c>
      <c r="D25" s="131">
        <v>0.14267515923566879</v>
      </c>
      <c r="E25" s="128">
        <v>5.6</v>
      </c>
      <c r="F25" s="131">
        <f t="shared" si="0"/>
        <v>0.28535031847133757</v>
      </c>
      <c r="G25" s="131">
        <f t="shared" si="1"/>
        <v>11.2</v>
      </c>
      <c r="H25" s="128"/>
      <c r="I25" s="128"/>
    </row>
    <row r="26" spans="1:9" x14ac:dyDescent="0.15">
      <c r="A26" s="136" t="s">
        <v>214</v>
      </c>
      <c r="B26" s="136" t="s">
        <v>236</v>
      </c>
      <c r="C26" s="136" t="s">
        <v>243</v>
      </c>
      <c r="D26" s="137">
        <v>0.79719745222929927</v>
      </c>
      <c r="E26" s="136">
        <v>312.89999999999998</v>
      </c>
      <c r="F26" s="137">
        <f t="shared" si="0"/>
        <v>1.5943949044585985</v>
      </c>
      <c r="G26" s="137">
        <f t="shared" si="1"/>
        <v>625.79999999999995</v>
      </c>
      <c r="H26" s="128"/>
      <c r="I26" s="128"/>
    </row>
    <row r="27" spans="1:9" x14ac:dyDescent="0.15">
      <c r="A27" s="136" t="s">
        <v>214</v>
      </c>
      <c r="B27" s="136" t="s">
        <v>236</v>
      </c>
      <c r="C27" s="136" t="s">
        <v>62</v>
      </c>
      <c r="D27" s="137">
        <v>2.3166878980891719</v>
      </c>
      <c r="E27" s="136">
        <v>909.3</v>
      </c>
      <c r="F27" s="137">
        <f t="shared" si="0"/>
        <v>4.6333757961783437</v>
      </c>
      <c r="G27" s="137">
        <f t="shared" si="1"/>
        <v>1818.6</v>
      </c>
      <c r="H27" s="128"/>
      <c r="I27" s="128"/>
    </row>
    <row r="28" spans="1:9" x14ac:dyDescent="0.15">
      <c r="A28" s="136" t="s">
        <v>214</v>
      </c>
      <c r="B28" s="136" t="s">
        <v>237</v>
      </c>
      <c r="C28" s="136" t="s">
        <v>243</v>
      </c>
      <c r="D28" s="137">
        <v>3.1833236826867402</v>
      </c>
      <c r="E28" s="136">
        <v>1374.3999999999999</v>
      </c>
      <c r="F28" s="137">
        <f t="shared" si="0"/>
        <v>6.3666473653734803</v>
      </c>
      <c r="G28" s="137">
        <f t="shared" si="1"/>
        <v>2748.7999999999997</v>
      </c>
      <c r="H28" s="128"/>
      <c r="I28" s="128"/>
    </row>
    <row r="29" spans="1:9" x14ac:dyDescent="0.15">
      <c r="A29" s="136" t="s">
        <v>214</v>
      </c>
      <c r="B29" s="136" t="s">
        <v>238</v>
      </c>
      <c r="C29" s="136" t="s">
        <v>62</v>
      </c>
      <c r="D29" s="137">
        <v>358.11677282377923</v>
      </c>
      <c r="E29" s="136">
        <v>16867.3</v>
      </c>
      <c r="F29" s="137">
        <f t="shared" si="0"/>
        <v>716.23354564755846</v>
      </c>
      <c r="G29" s="137">
        <f t="shared" si="1"/>
        <v>33734.6</v>
      </c>
      <c r="H29" s="128"/>
      <c r="I29" s="128"/>
    </row>
    <row r="30" spans="1:9" x14ac:dyDescent="0.15">
      <c r="A30" s="136" t="s">
        <v>214</v>
      </c>
      <c r="B30" s="136" t="s">
        <v>239</v>
      </c>
      <c r="C30" s="136" t="s">
        <v>243</v>
      </c>
      <c r="D30" s="137">
        <v>3.0658174097664546</v>
      </c>
      <c r="E30" s="136">
        <v>1444</v>
      </c>
      <c r="F30" s="137">
        <f t="shared" si="0"/>
        <v>6.1316348195329091</v>
      </c>
      <c r="G30" s="137">
        <f t="shared" si="1"/>
        <v>2888</v>
      </c>
      <c r="H30" s="128"/>
      <c r="I30" s="128"/>
    </row>
    <row r="31" spans="1:9" x14ac:dyDescent="0.15">
      <c r="A31" s="136" t="s">
        <v>214</v>
      </c>
      <c r="B31" s="136" t="s">
        <v>240</v>
      </c>
      <c r="C31" s="136" t="s">
        <v>243</v>
      </c>
      <c r="D31" s="137">
        <v>0.95796178343949057</v>
      </c>
      <c r="E31" s="136">
        <v>488.8</v>
      </c>
      <c r="F31" s="137">
        <f t="shared" si="0"/>
        <v>1.9159235668789811</v>
      </c>
      <c r="G31" s="137">
        <f t="shared" si="1"/>
        <v>977.6</v>
      </c>
      <c r="H31" s="128"/>
      <c r="I31" s="128"/>
    </row>
    <row r="32" spans="1:9" x14ac:dyDescent="0.15">
      <c r="A32" s="136" t="s">
        <v>214</v>
      </c>
      <c r="B32" s="136" t="s">
        <v>241</v>
      </c>
      <c r="C32" s="136" t="s">
        <v>62</v>
      </c>
      <c r="D32" s="137">
        <v>25.048000000000002</v>
      </c>
      <c r="E32" s="136">
        <v>963</v>
      </c>
      <c r="F32" s="137">
        <f t="shared" si="0"/>
        <v>50.096000000000004</v>
      </c>
      <c r="G32" s="137">
        <f t="shared" si="1"/>
        <v>1926</v>
      </c>
      <c r="H32" s="137">
        <f>+F32*1.08</f>
        <v>54.103680000000004</v>
      </c>
      <c r="I32" s="137">
        <f>+G32*1.08</f>
        <v>2080.08</v>
      </c>
    </row>
    <row r="33" spans="1:9" x14ac:dyDescent="0.15">
      <c r="A33" s="136" t="s">
        <v>242</v>
      </c>
      <c r="B33" s="136" t="s">
        <v>227</v>
      </c>
      <c r="C33" s="136" t="s">
        <v>243</v>
      </c>
      <c r="D33" s="137">
        <v>5.0669519999999997</v>
      </c>
      <c r="E33" s="137">
        <v>477.30687839999996</v>
      </c>
      <c r="F33" s="137">
        <f t="shared" si="0"/>
        <v>10.133903999999999</v>
      </c>
      <c r="G33" s="137">
        <f t="shared" si="1"/>
        <v>954.61375679999992</v>
      </c>
      <c r="H33" s="128"/>
      <c r="I33" s="128"/>
    </row>
    <row r="34" spans="1:9" x14ac:dyDescent="0.15">
      <c r="A34" s="136" t="s">
        <v>242</v>
      </c>
      <c r="B34" s="136" t="s">
        <v>231</v>
      </c>
      <c r="C34" s="136" t="s">
        <v>243</v>
      </c>
      <c r="D34" s="137">
        <v>42.499600000000008</v>
      </c>
      <c r="E34" s="137">
        <v>8340.5465000000004</v>
      </c>
      <c r="F34" s="137">
        <f t="shared" si="0"/>
        <v>84.999200000000016</v>
      </c>
      <c r="G34" s="137">
        <f t="shared" si="1"/>
        <v>16681.093000000001</v>
      </c>
      <c r="H34" s="128"/>
      <c r="I34" s="128"/>
    </row>
    <row r="35" spans="1:9" x14ac:dyDescent="0.15">
      <c r="A35" s="136" t="s">
        <v>242</v>
      </c>
      <c r="B35" s="136" t="s">
        <v>233</v>
      </c>
      <c r="C35" s="136" t="s">
        <v>243</v>
      </c>
      <c r="D35" s="137">
        <v>23.166</v>
      </c>
      <c r="E35" s="137">
        <v>5819.2991999999995</v>
      </c>
      <c r="F35" s="137">
        <f t="shared" si="0"/>
        <v>46.332000000000001</v>
      </c>
      <c r="G35" s="137">
        <f t="shared" si="1"/>
        <v>11638.598399999999</v>
      </c>
      <c r="H35" s="128"/>
      <c r="I35" s="128"/>
    </row>
    <row r="36" spans="1:9" x14ac:dyDescent="0.15">
      <c r="A36" s="136" t="s">
        <v>242</v>
      </c>
      <c r="B36" s="136" t="s">
        <v>234</v>
      </c>
      <c r="C36" s="136" t="s">
        <v>243</v>
      </c>
      <c r="D36" s="137">
        <v>34.320000000000007</v>
      </c>
      <c r="E36" s="137">
        <v>10237.656000000001</v>
      </c>
      <c r="F36" s="137">
        <f t="shared" si="0"/>
        <v>68.640000000000015</v>
      </c>
      <c r="G36" s="137">
        <f t="shared" si="1"/>
        <v>20475.312000000002</v>
      </c>
      <c r="H36" s="128"/>
      <c r="I36" s="128"/>
    </row>
    <row r="37" spans="1:9" x14ac:dyDescent="0.15">
      <c r="A37" s="136" t="s">
        <v>242</v>
      </c>
      <c r="B37" s="136" t="s">
        <v>239</v>
      </c>
      <c r="C37" s="136" t="s">
        <v>243</v>
      </c>
      <c r="D37" s="137">
        <v>17.16</v>
      </c>
      <c r="E37" s="137">
        <v>8082.36</v>
      </c>
      <c r="F37" s="137">
        <f t="shared" si="0"/>
        <v>34.32</v>
      </c>
      <c r="G37" s="137">
        <f t="shared" si="1"/>
        <v>16164.72</v>
      </c>
      <c r="H37" s="128"/>
      <c r="I37" s="128"/>
    </row>
    <row r="38" spans="1:9" x14ac:dyDescent="0.15">
      <c r="A38" s="136" t="s">
        <v>242</v>
      </c>
      <c r="B38" s="136" t="s">
        <v>244</v>
      </c>
      <c r="C38" s="136" t="s">
        <v>62</v>
      </c>
      <c r="D38" s="136">
        <v>73.400000000000006</v>
      </c>
      <c r="E38" s="137">
        <v>2921.3199999999997</v>
      </c>
      <c r="F38" s="137">
        <f t="shared" si="0"/>
        <v>146.80000000000001</v>
      </c>
      <c r="G38" s="137">
        <f t="shared" si="1"/>
        <v>5842.6399999999994</v>
      </c>
      <c r="H38" s="137">
        <f>+F38*1.08</f>
        <v>158.54400000000001</v>
      </c>
      <c r="I38" s="137">
        <f>+G38*1.08</f>
        <v>6310.0511999999999</v>
      </c>
    </row>
  </sheetData>
  <autoFilter ref="A1:E38" xr:uid="{88C69A3A-82B3-408A-8DEB-0D4F8088ABC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PR</vt:lpstr>
      <vt:lpstr>I95-VTC01-007-PL6</vt:lpstr>
      <vt:lpstr>pl10-inlet</vt:lpstr>
      <vt:lpstr>I95-VTC01-050-PL10</vt:lpstr>
      <vt:lpstr>MESH 40</vt:lpstr>
      <vt:lpstr>stud</vt:lpstr>
      <vt:lpstr>CHIA TON PL6</vt:lpstr>
      <vt:lpstr>CHIA TON PL10</vt:lpstr>
      <vt:lpstr>VT ƯU TIÊN</vt:lpstr>
      <vt:lpstr>PR!Print_Area</vt:lpstr>
      <vt:lpstr>PR!Print_Titles</vt:lpstr>
    </vt:vector>
  </TitlesOfParts>
  <Company>long binh coputer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Trịnh Hữu Hưng</cp:lastModifiedBy>
  <cp:lastPrinted>2025-11-25T02:11:10Z</cp:lastPrinted>
  <dcterms:created xsi:type="dcterms:W3CDTF">2003-06-12T17:50:48Z</dcterms:created>
  <dcterms:modified xsi:type="dcterms:W3CDTF">2026-04-04T15:48:11Z</dcterms:modified>
</cp:coreProperties>
</file>