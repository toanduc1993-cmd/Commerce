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trinhhuuhung/Desktop/IBSHI/01 IBSHI THƯƠNG MẠI/IBSHI THƯƠNG MẠI CÔNG NGHỆ/VẬT TƯ/From H/"/>
    </mc:Choice>
  </mc:AlternateContent>
  <xr:revisionPtr revIDLastSave="0" documentId="13_ncr:1_{DE88F02F-0A2D-964B-8E89-86C42C0273C4}" xr6:coauthVersionLast="47" xr6:coauthVersionMax="47" xr10:uidLastSave="{00000000-0000-0000-0000-000000000000}"/>
  <bookViews>
    <workbookView xWindow="34560" yWindow="600" windowWidth="51200" windowHeight="21000" xr2:uid="{6935D1A6-A53D-7C4D-9953-625332CB331F}"/>
  </bookViews>
  <sheets>
    <sheet name="PR" sheetId="1" r:id="rId1"/>
  </sheets>
  <externalReferences>
    <externalReference r:id="rId2"/>
    <externalReference r:id="rId3"/>
  </externalReferences>
  <definedNames>
    <definedName name="________________a129"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Goi8" hidden="1">{"'Sheet1'!$L$16"}</definedName>
    <definedName name="________________Lan1" hidden="1">{"'Sheet1'!$L$16"}</definedName>
    <definedName name="________________LAN3" hidden="1">{"'Sheet1'!$L$16"}</definedName>
    <definedName name="______________PA3" hidden="1">{"'Sheet1'!$L$16"}</definedName>
    <definedName name="___________TM2" hidden="1">{"'Sheet1'!$L$16"}</definedName>
    <definedName name="___________tt3" hidden="1">{"'Sheet1'!$L$16"}</definedName>
    <definedName name="_________Goi8" hidden="1">{"'Sheet1'!$L$16"}</definedName>
    <definedName name="_________Lan1" hidden="1">{"'Sheet1'!$L$16"}</definedName>
    <definedName name="________a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Goi8" hidden="1">{"'Sheet1'!$L$16"}</definedName>
    <definedName name="________hu1" hidden="1">{"'Sheet1'!$L$16"}</definedName>
    <definedName name="________hu2" hidden="1">{"'Sheet1'!$L$16"}</definedName>
    <definedName name="________hu5" hidden="1">{"'Sheet1'!$L$16"}</definedName>
    <definedName name="________hu6" hidden="1">{"'Sheet1'!$L$16"}</definedName>
    <definedName name="________Lan1" hidden="1">{"'Sheet1'!$L$16"}</definedName>
    <definedName name="________LAN3" hidden="1">{"'Sheet1'!$L$16"}</definedName>
    <definedName name="________TM2" hidden="1">{"'Sheet1'!$L$16"}</definedName>
    <definedName name="________tt3"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h1" hidden="1">{"'Sheet1'!$L$16"}</definedName>
    <definedName name="_______LAN3" hidden="1">{"'Sheet1'!$L$16"}</definedName>
    <definedName name="_______TM2" hidden="1">{"'Sheet1'!$L$16"}</definedName>
    <definedName name="_______tt3"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Bm2" hidden="1">{"'Sheet1'!$L$16"}</definedName>
    <definedName name="______CP31" hidden="1">{"'Sheet1'!$L$16"}</definedName>
    <definedName name="______Goi8" hidden="1">{"'Sheet1'!$L$16"}</definedName>
    <definedName name="______Lan1" hidden="1">{"'Sheet1'!$L$16"}</definedName>
    <definedName name="______LAN3" hidden="1">{"'Sheet1'!$L$16"}</definedName>
    <definedName name="______NCN15" hidden="1">{"'Sheet1'!$L$16"}</definedName>
    <definedName name="______PA3" hidden="1">{"'Sheet1'!$L$16"}</definedName>
    <definedName name="______TH20004"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m2" hidden="1">{"'Sheet1'!$L$16"}</definedName>
    <definedName name="_____CP31" hidden="1">{"'Sheet1'!$L$16"}</definedName>
    <definedName name="_____d1500" hidden="1">{"'Sheet1'!$L$16"}</definedName>
    <definedName name="_____Goi8" hidden="1">{"'Sheet1'!$L$16"}</definedName>
    <definedName name="_____KM130" hidden="1">{"'Sheet1'!$L$16"}</definedName>
    <definedName name="_____Lan1" hidden="1">{"'Sheet1'!$L$16"}</definedName>
    <definedName name="_____LAN3" hidden="1">{"'Sheet1'!$L$16"}</definedName>
    <definedName name="_____PA3" hidden="1">{"'Sheet1'!$L$16"}</definedName>
    <definedName name="_____TH20004" hidden="1">{"'Sheet1'!$L$16"}</definedName>
    <definedName name="_____TM2" hidden="1">{"'Sheet1'!$L$16"}</definedName>
    <definedName name="_____tt3"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Goi8" hidden="1">{"'Sheet1'!$L$16"}</definedName>
    <definedName name="____hu1" hidden="1">{"'Sheet1'!$L$16"}</definedName>
    <definedName name="____hu2" hidden="1">{"'Sheet1'!$L$16"}</definedName>
    <definedName name="____hu5" hidden="1">{"'Sheet1'!$L$16"}</definedName>
    <definedName name="____hu6" hidden="1">{"'Sheet1'!$L$16"}</definedName>
    <definedName name="____Lan1" hidden="1">{"'Sheet1'!$L$16"}</definedName>
    <definedName name="____LAN3" hidden="1">{"'Sheet1'!$L$16"}</definedName>
    <definedName name="____NCN15" hidden="1">{"'Sheet1'!$L$16"}</definedName>
    <definedName name="____PA3" hidden="1">{"'Sheet1'!$L$16"}</definedName>
    <definedName name="____TM2" hidden="1">{"'Sheet1'!$L$16"}</definedName>
    <definedName name="____tt3" hidden="1">{"'Sheet1'!$L$16"}</definedName>
    <definedName name="___a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Goi8" hidden="1">{"'Sheet1'!$L$16"}</definedName>
    <definedName name="___h1" hidden="1">{"'Sheet1'!$L$16"}</definedName>
    <definedName name="___hu1" hidden="1">{"'Sheet1'!$L$16"}</definedName>
    <definedName name="___hu2" hidden="1">{"'Sheet1'!$L$16"}</definedName>
    <definedName name="___hu5" hidden="1">{"'Sheet1'!$L$16"}</definedName>
    <definedName name="___hu6" hidden="1">{"'Sheet1'!$L$16"}</definedName>
    <definedName name="___Lan1" hidden="1">{"'Sheet1'!$L$16"}</definedName>
    <definedName name="___LAN3" hidden="1">{"'Sheet1'!$L$16"}</definedName>
    <definedName name="___NCN15" hidden="1">{"'Sheet1'!$L$16"}</definedName>
    <definedName name="___PA3" hidden="1">{"'Sheet1'!$L$16"}</definedName>
    <definedName name="___SCL4" hidden="1">{"'Sheet1'!$L$16"}</definedName>
    <definedName name="___TM2" hidden="1">{"'Sheet1'!$L$16"}</definedName>
    <definedName name="___tt3"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8" hidden="1">{"'Sheet1'!$L$16"}</definedName>
    <definedName name="__a9" hidden="1">{"'Sheet1'!$L$16"}</definedName>
    <definedName name="__Goi8" hidden="1">{"'Sheet1'!$L$16"}</definedName>
    <definedName name="__h1"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KL3" hidden="1">{"'Sheet1'!$L$16"}</definedName>
    <definedName name="__Lan1" hidden="1">{"'Sheet1'!$L$16"}</definedName>
    <definedName name="__LAN3" hidden="1">{"'Sheet1'!$L$16"}</definedName>
    <definedName name="__NCN15" hidden="1">{"'Sheet1'!$L$16"}</definedName>
    <definedName name="__NK5" hidden="1">{"'Sheet1'!$L$16"}</definedName>
    <definedName name="__PA3" hidden="1">{"'Sheet1'!$L$16"}</definedName>
    <definedName name="__QLO7" hidden="1">#REF!</definedName>
    <definedName name="__T10" hidden="1">{"'Sheet1'!$L$16"}</definedName>
    <definedName name="__tb2" hidden="1">{"'Sheet1'!$L$16"}</definedName>
    <definedName name="__td1" hidden="1">{"'Sheet1'!$L$16"}</definedName>
    <definedName name="__TM2" hidden="1">{"'Sheet1'!$L$16"}</definedName>
    <definedName name="__tt3" hidden="1">{"'Sheet1'!$L$16"}</definedName>
    <definedName name="_a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hidden="1">{"'Sheet1'!$L$16"}</definedName>
    <definedName name="_A8" hidden="1">{"'Sheet1'!$L$16"}</definedName>
    <definedName name="_a9" hidden="1">{"'Sheet1'!$L$16"}</definedName>
    <definedName name="_Builtin155" hidden="1">#N/A</definedName>
    <definedName name="_Coc39" hidden="1">{"'Sheet1'!$L$16"}</definedName>
    <definedName name="_d1500" hidden="1">{"'Sheet1'!$L$16"}</definedName>
    <definedName name="_Fill" hidden="1">#REF!</definedName>
    <definedName name="_xlnm._FilterDatabase" localSheetId="0" hidden="1">PR!$A$3:$BS$253</definedName>
    <definedName name="_Goi8" hidden="1">{"'Sheet1'!$L$16"}</definedName>
    <definedName name="_h1" hidden="1">{"'Sheet1'!$L$16"}</definedName>
    <definedName name="_hu1" hidden="1">{"'Sheet1'!$L$16"}</definedName>
    <definedName name="_hu2" hidden="1">{"'Sheet1'!$L$16"}</definedName>
    <definedName name="_hu5" hidden="1">{"'Sheet1'!$L$16"}</definedName>
    <definedName name="_hu6" hidden="1">{"'Sheet1'!$L$16"}</definedName>
    <definedName name="_hu7" hidden="1">{"'Sheet1'!$L$16"}</definedName>
    <definedName name="_Key1" hidden="1">#REF!</definedName>
    <definedName name="_Key2" hidden="1">#REF!</definedName>
    <definedName name="_KM130" hidden="1">{"'Sheet1'!$L$16"}</definedName>
    <definedName name="_Lan1" hidden="1">{"'Sheet1'!$L$16"}</definedName>
    <definedName name="_LAN3" hidden="1">{"'Sheet1'!$L$16"}</definedName>
    <definedName name="_ld2" hidden="1">{"'Sheet1'!$L$16"}</definedName>
    <definedName name="_lk2" hidden="1">{"'Sheet1'!$L$16"}</definedName>
    <definedName name="_NCN15" hidden="1">{"'Sheet1'!$L$16"}</definedName>
    <definedName name="_NK5" hidden="1">{"'Sheet1'!$L$16"}</definedName>
    <definedName name="_Order1" hidden="1">255</definedName>
    <definedName name="_Order2" hidden="1">255</definedName>
    <definedName name="_PA3" hidden="1">{"'Sheet1'!$L$16"}</definedName>
    <definedName name="_Parse_Out" hidden="1">[1]Quantity!#REF!</definedName>
    <definedName name="_QLO7" hidden="1">#REF!</definedName>
    <definedName name="_SCL4" hidden="1">{"'Sheet1'!$L$16"}</definedName>
    <definedName name="_Sort" hidden="1">#REF!</definedName>
    <definedName name="_Sortmoi" hidden="1">#REF!</definedName>
    <definedName name="_T10" hidden="1">{"'Sheet1'!$L$16"}</definedName>
    <definedName name="_tb2" hidden="1">{"'Sheet1'!$L$16"}</definedName>
    <definedName name="_td1" hidden="1">{"'Sheet1'!$L$16"}</definedName>
    <definedName name="_TM2" hidden="1">{"'Sheet1'!$L$16"}</definedName>
    <definedName name="_tt3" hidden="1">{"'Sheet1'!$L$16"}</definedName>
    <definedName name="â" hidden="1">{"'Sheet1'!$L$16"}</definedName>
    <definedName name="a1moi" hidden="1">{"'Sheet1'!$L$16"}</definedName>
    <definedName name="afasfsagfas" hidden="1">{#N/A,#N/A,FALSE,"Chi tiÆt"}</definedName>
    <definedName name="amoi" hidden="1">{"'Sheet1'!$L$16"}</definedName>
    <definedName name="anscount" hidden="1">1</definedName>
    <definedName name="Antoan" hidden="1">{"'Sheet1'!$L$16"}</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ffgggh" hidden="1">{"'Sheet1'!$L$16"}</definedName>
    <definedName name="asf" hidden="1">{"'Sheet1'!$L$16"}</definedName>
    <definedName name="ATGT" hidden="1">{"'Sheet1'!$L$16"}</definedName>
    <definedName name="banQL" hidden="1">{"'Sheet1'!$L$16"}</definedName>
    <definedName name="BCHC1" hidden="1">{"'Sheet1'!$L$16"}</definedName>
    <definedName name="BG_Del" hidden="1">15</definedName>
    <definedName name="BG_Ins" hidden="1">4</definedName>
    <definedName name="BG_Mod" hidden="1">6</definedName>
    <definedName name="BTH" hidden="1">{"'Sheet1'!$L$16"}</definedName>
    <definedName name="btl" hidden="1">{"'Sheet1'!$L$16"}</definedName>
    <definedName name="c.BaMuoi" hidden="1">{"'Sheet1'!$L$16"}</definedName>
    <definedName name="C.MocTom" hidden="1">{"'Sheet1'!$L$16"}</definedName>
    <definedName name="chietchai2" hidden="1">{"'Sheet1'!$L$16"}</definedName>
    <definedName name="chitietbgiang2" hidden="1">{"'Sheet1'!$L$16"}</definedName>
    <definedName name="chl" hidden="1">{"'Sheet1'!$L$16"}</definedName>
    <definedName name="chuyen" hidden="1">{"'Sheet1'!$L$16"}</definedName>
    <definedName name="Coc_60" hidden="1">{"'Sheet1'!$L$16"}</definedName>
    <definedName name="COST.020" hidden="1">#REF!</definedName>
    <definedName name="COST.030" hidden="1">#REF!</definedName>
    <definedName name="COST.040" hidden="1">#REF!</definedName>
    <definedName name="COST.050" hidden="1">#REF!</definedName>
    <definedName name="COST.060" hidden="1">#REF!</definedName>
    <definedName name="COST.070" hidden="1">#REF!</definedName>
    <definedName name="COST.080" hidden="1">#REF!</definedName>
    <definedName name="COST.100" hidden="1">#REF!</definedName>
    <definedName name="COST.110" hidden="1">#REF!</definedName>
    <definedName name="COST.120" hidden="1">#REF!</definedName>
    <definedName name="COST.130" hidden="1">#REF!</definedName>
    <definedName name="COST.140" hidden="1">#REF!</definedName>
    <definedName name="COST.150" hidden="1">#REF!</definedName>
    <definedName name="COST.210" hidden="1">#REF!</definedName>
    <definedName name="COST.220" hidden="1">#REF!</definedName>
    <definedName name="COST.230" hidden="1">#REF!</definedName>
    <definedName name="COST.240" hidden="1">#REF!</definedName>
    <definedName name="COST.270" hidden="1">#REF!</definedName>
    <definedName name="COST.280" hidden="1">#REF!</definedName>
    <definedName name="COST.300" hidden="1">#REF!</definedName>
    <definedName name="COST.320" hidden="1">#REF!</definedName>
    <definedName name="COST.330" hidden="1">#REF!</definedName>
    <definedName name="COST.350" hidden="1">#REF!</definedName>
    <definedName name="COST.360" hidden="1">#REF!</definedName>
    <definedName name="COST.370" hidden="1">#REF!</definedName>
    <definedName name="COST.380" hidden="1">#REF!</definedName>
    <definedName name="COST.400" hidden="1">#REF!</definedName>
    <definedName name="COST290" hidden="1">#REF!</definedName>
    <definedName name="CPM" hidden="1">{#N/A,#N/A,FALSE,"Chi tiÆt"}</definedName>
    <definedName name="ctbbt" hidden="1">{"'Sheet1'!$L$16"}</definedName>
    <definedName name="CTCT1" hidden="1">{"'Sheet1'!$L$16"}</definedName>
    <definedName name="CTGS" hidden="1">{"'Sheet1'!$L$16"}</definedName>
    <definedName name="ctieu" hidden="1">{"'Sheet1'!$L$16"}</definedName>
    <definedName name="cung" hidden="1">{"'Sheet1'!$L$16"}</definedName>
    <definedName name="data1" hidden="1">#REF!</definedName>
    <definedName name="data2" hidden="1">#REF!</definedName>
    <definedName name="data3" hidden="1">#REF!</definedName>
    <definedName name="dfh" hidden="1">{"'Sheet1'!$L$16"}</definedName>
    <definedName name="DFSDF" hidden="1">{"'Sheet1'!$L$16"}</definedName>
    <definedName name="dfsfsd" hidden="1">{"'Sheet1'!$L$16"}</definedName>
    <definedName name="diengiai" hidden="1">{"'Sheet1'!$L$16"}</definedName>
    <definedName name="direct1" hidden="1">#REF!</definedName>
    <definedName name="Discount" hidden="1">#REF!</definedName>
    <definedName name="display_area_2" hidden="1">#REF!</definedName>
    <definedName name="dj" hidden="1">{"'Sheet1'!$L$16"}</definedName>
    <definedName name="dthft" hidden="1">{"'Sheet1'!$L$16"}</definedName>
    <definedName name="DTTVGM163" hidden="1">{"'Sheet1'!$L$16"}</definedName>
    <definedName name="Du" hidden="1">#REF!</definedName>
    <definedName name="Duongnaco" hidden="1">{"'Sheet1'!$L$16"}</definedName>
    <definedName name="DWPRICE" hidden="1">[2]Quantity!#REF!</definedName>
    <definedName name="Dy" hidden="1">#REF!</definedName>
    <definedName name="e" hidden="1">{"'Sheet1'!$L$16"}</definedName>
    <definedName name="egsf" hidden="1">{"'Sheet1'!$L$16"}</definedName>
    <definedName name="fáaafafaf" hidden="1">{"'Sheet1'!$L$16"}</definedName>
    <definedName name="fasfaga" hidden="1">{"'Sheet1'!$L$16"}</definedName>
    <definedName name="FCode" hidden="1">#REF!</definedName>
    <definedName name="fdfsf" hidden="1">{#N/A,#N/A,FALSE,"Chi tiÆt"}</definedName>
    <definedName name="fdg" hidden="1">{"'Sheet1'!$L$16"}</definedName>
    <definedName name="fdgfg" hidden="1">{"'Sheet1'!$L$16"}</definedName>
    <definedName name="fdsfsdfd" hidden="1">{"'Sheet1'!$L$16"}</definedName>
    <definedName name="ff" hidden="1">{"'Sheet1'!$L$16"}</definedName>
    <definedName name="ffas" hidden="1">{"'Sheet1'!$L$16"}</definedName>
    <definedName name="fffffffffffffff" hidden="1">{"'Sheet1'!$L$16"}</definedName>
    <definedName name="fsdfdsf" hidden="1">{"'Sheet1'!$L$16"}</definedName>
    <definedName name="ft" hidden="1">{"'Sheet1'!$L$16"}</definedName>
    <definedName name="gdfgdfgdf" hidden="1">{"'Sheet1'!$L$16"}</definedName>
    <definedName name="ggg" hidden="1">{"'Sheet1'!$L$16"}</definedName>
    <definedName name="gggg" hidden="1">{"'Sheet1'!$L$16"}</definedName>
    <definedName name="ggsf" hidden="1">#REF!</definedName>
    <definedName name="ghj" hidden="1">{"'Sheet1'!$L$16"}</definedName>
    <definedName name="GTOTAL" hidden="1">{"'Sheet1'!$L$16"}</definedName>
    <definedName name="h" hidden="1">{"'Sheet1'!$L$16"}</definedName>
    <definedName name="haq" hidden="1">{"'Sheet1'!$L$16"}</definedName>
    <definedName name="HCNA" hidden="1">{"'Sheet1'!$L$16"}</definedName>
    <definedName name="hethongthoatnuocngoainha" hidden="1">#REF!</definedName>
    <definedName name="HiddenRows" hidden="1">#REF!</definedName>
    <definedName name="hoa" hidden="1">{"'Sheet1'!$L$16"}</definedName>
    <definedName name="htlm" hidden="1">{"'Sheet1'!$L$16"}</definedName>
    <definedName name="HTML_CodePage" hidden="1">950</definedName>
    <definedName name="HTML_Control"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moi" hidden="1">{"'Sheet1'!$L$16"}</definedName>
    <definedName name="hu" hidden="1">{"'Sheet1'!$L$16"}</definedName>
    <definedName name="hui" hidden="1">{"'Sheet1'!$L$16"}</definedName>
    <definedName name="huy" hidden="1">{"'Sheet1'!$L$16"}</definedName>
    <definedName name="huy1moi" hidden="1">{"'Sheet1'!$L$16"}</definedName>
    <definedName name="huymoi" hidden="1">{"'Sheet1'!$L$16"}</definedName>
    <definedName name="Ìag" hidden="1">{"'Sheet1'!$L$16"}</definedName>
    <definedName name="INDIRECT_COST" hidden="1">#REF!</definedName>
    <definedName name="jkjk" hidden="1">{"'Sheet1'!$L$16"}</definedName>
    <definedName name="k" hidden="1">{"Offgrid",#N/A,FALSE,"OFFGRID";"Region",#N/A,FALSE,"REGION";"Offgrid -2",#N/A,FALSE,"OFFGRID";"WTP",#N/A,FALSE,"WTP";"WTP -2",#N/A,FALSE,"WTP";"Project",#N/A,FALSE,"PROJECT";"Summary -2",#N/A,FALSE,"SUMMARY"}</definedName>
    <definedName name="khongtruotgia" hidden="1">{"'Sheet1'!$L$16"}</definedName>
    <definedName name="kkkk" hidden="1">{"'Sheet1'!$L$16"}</definedName>
    <definedName name="KLduonggiaods" hidden="1">{"'Sheet1'!$L$16"}</definedName>
    <definedName name="ksbn" hidden="1">{"'Sheet1'!$L$16"}</definedName>
    <definedName name="KSDA" hidden="1">{"'Sheet1'!$L$16"}</definedName>
    <definedName name="kshn" hidden="1">{"'Sheet1'!$L$16"}</definedName>
    <definedName name="ksls" hidden="1">{"'Sheet1'!$L$16"}</definedName>
    <definedName name="lam" hidden="1">{"'Sheet1'!$L$16"}</definedName>
    <definedName name="langson" hidden="1">{"'Sheet1'!$L$16"}</definedName>
    <definedName name="mo" hidden="1">{"'Sheet1'!$L$16"}</definedName>
    <definedName name="moi" hidden="1">{"'Sheet1'!$L$16"}</definedName>
    <definedName name="nam" hidden="1">{"'Sheet1'!$L$16"}</definedName>
    <definedName name="Ne" hidden="1">{"'Sheet1'!$L$16"}</definedName>
    <definedName name="ngu" hidden="1">{"'Sheet1'!$L$16"}</definedName>
    <definedName name="nhappppppppp" hidden="1">{"'Sheet1'!$L$16"}</definedName>
    <definedName name="nnn" hidden="1">{"'Sheet1'!$L$16"}</definedName>
    <definedName name="NUOCHKHOAN" hidden="1">{"'Sheet1'!$L$16"}</definedName>
    <definedName name="NUOCHKHOANMOI" hidden="1">{"'Sheet1'!$L$16"}</definedName>
    <definedName name="OrderTable" hidden="1">#REF!</definedName>
    <definedName name="PAIII_" hidden="1">{"'Sheet1'!$L$16"}</definedName>
    <definedName name="phanchia" hidden="1">{#N/A,#N/A,FALSE,"Chi tiÆt"}</definedName>
    <definedName name="phongve12KmTN" hidden="1">{"'Sheet1'!$L$16"}</definedName>
    <definedName name="phongve12KmTN1" hidden="1">{"'Sheet1'!$L$16"}</definedName>
    <definedName name="PlucBcaoTD" hidden="1">{"'Sheet1'!$L$16"}</definedName>
    <definedName name="PMS" hidden="1">{"'Sheet1'!$L$16"}</definedName>
    <definedName name="_xlnm.Print_Area" localSheetId="0">PR!$A$1:$AE$269</definedName>
    <definedName name="_xlnm.Print_Titles" localSheetId="0">PR!$1:$2</definedName>
    <definedName name="ProdForm" hidden="1">#REF!</definedName>
    <definedName name="Product" hidden="1">#REF!</definedName>
    <definedName name="ptvtgiam" hidden="1">{"'Sheet1'!$L$16"}</definedName>
    <definedName name="q" hidden="1">{"'Sheet1'!$L$16"}</definedName>
    <definedName name="quan" hidden="1">{"'Sheet1'!$L$16"}</definedName>
    <definedName name="Ranhxay" hidden="1">{"'Sheet1'!$L$16"}</definedName>
    <definedName name="RCArea" hidden="1">#REF!</definedName>
    <definedName name="Result21" hidden="1">{"'Sheet1'!$L$16"}</definedName>
    <definedName name="rgdf" hidden="1">{"'Sheet1'!$L$16"}</definedName>
    <definedName name="RPLA" hidden="1">{"'Sheet1'!$L$16"}</definedName>
    <definedName name="sas" hidden="1">{"'Sheet1'!$L$16"}</definedName>
    <definedName name="sdcsd" hidden="1">{"'Sheet1'!$L$16"}</definedName>
    <definedName name="sdf" hidden="1">{"'Sheet1'!$L$16"}</definedName>
    <definedName name="sdfsdfsd" hidden="1">{"'Sheet1'!$L$16"}</definedName>
    <definedName name="sdfsf" hidden="1">{"'Sheet1'!$L$16"}</definedName>
    <definedName name="sencount" hidden="1">1</definedName>
    <definedName name="sfsd" hidden="1">{"'Sheet1'!$L$16"}</definedName>
    <definedName name="SITE_EXPENSE" hidden="1">#REF!</definedName>
    <definedName name="Sosanh2" hidden="1">{"'Sheet1'!$L$16"}</definedName>
    <definedName name="SpecialPrice" hidden="1">#REF!</definedName>
    <definedName name="T.3" hidden="1">{"'Sheet1'!$L$16"}</definedName>
    <definedName name="TamdanTB" hidden="1">{"'Sheet1'!$L$16"}</definedName>
    <definedName name="tbao" hidden="1">{"'Sheet1'!$L$16"}</definedName>
    <definedName name="tbl_ProdInfo" hidden="1">#REF!</definedName>
    <definedName name="tem" hidden="1">{"'Sheet1'!$L$16"}</definedName>
    <definedName name="tha" hidden="1">{"'Sheet1'!$L$16"}</definedName>
    <definedName name="Thang1" hidden="1">{"'Sheet1'!$L$16"}</definedName>
    <definedName name="thang10" hidden="1">{"'Sheet1'!$L$16"}</definedName>
    <definedName name="thanh" hidden="1">{"'Sheet1'!$L$16"}</definedName>
    <definedName name="thao" hidden="1">{"'Sheet1'!$L$16"}</definedName>
    <definedName name="THKP7YT" hidden="1">{"'Sheet1'!$L$16"}</definedName>
    <definedName name="thu" hidden="1">{"'Sheet1'!$L$16"}</definedName>
    <definedName name="thuy" hidden="1">{"'Sheet1'!$L$16"}</definedName>
    <definedName name="thvlmoi" hidden="1">{"'Sheet1'!$L$16"}</definedName>
    <definedName name="thvlmoimoi" hidden="1">{"'Sheet1'!$L$16"}</definedName>
    <definedName name="tuyennhanh" hidden="1">{"'Sheet1'!$L$16"}</definedName>
    <definedName name="Ud" hidden="1">#REF!</definedName>
    <definedName name="UNIT" hidden="1">#REF!</definedName>
    <definedName name="Uy" hidden="1">#REF!</definedName>
    <definedName name="VATM" hidden="1">{"'Sheet1'!$L$16"}</definedName>
    <definedName name="vcoto" hidden="1">{"'Sheet1'!$L$16"}</definedName>
    <definedName name="Viet" hidden="1">{"'Sheet1'!$L$16"}</definedName>
    <definedName name="vlct" hidden="1">{"'Sheet1'!$L$16"}</definedName>
    <definedName name="wrn.aaa." hidden="1">{#N/A,#N/A,FALSE,"Sheet1";#N/A,#N/A,FALSE,"Sheet1";#N/A,#N/A,FALSE,"Sheet1"}</definedName>
    <definedName name="wrn.chi._.tiÆt." hidden="1">{#N/A,#N/A,FALSE,"Chi tiÆt"}</definedName>
    <definedName name="wrn.cong." hidden="1">{#N/A,#N/A,FALSE,"Sheet1"}</definedName>
    <definedName name="wrn.Report."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xlttbninh" hidden="1">{"'Sheet1'!$L$16"}</definedName>
    <definedName name="xvxcvxc" hidden="1">{"'Sheet1'!$L$16"}</definedName>
    <definedName name="Yd" hidden="1">#REF!</definedName>
    <definedName name="yttuki" hidden="1">{"'Sheet1'!$L$16"}</definedName>
    <definedName name="Yu" hidden="1">#REF!</definedName>
    <definedName name="Z_B6D82DE0_6701_11DA_9820_00304F1E4471_.wvu.Cols" hidden="1">#REF!</definedName>
    <definedName name="ZXzX" hidden="1">{"'Sheet1'!$L$16"}</definedName>
    <definedName name="ZZ" hidden="1">{"'Sheet1'!$L$16"}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246" i="1" l="1"/>
  <c r="BS246" i="1" s="1"/>
  <c r="BP246" i="1"/>
  <c r="BQ246" i="1" s="1"/>
  <c r="AD246" i="1"/>
  <c r="AC246" i="1"/>
  <c r="R246" i="1"/>
  <c r="H246" i="1"/>
  <c r="BR245" i="1"/>
  <c r="BS245" i="1" s="1"/>
  <c r="BP245" i="1"/>
  <c r="BQ245" i="1" s="1"/>
  <c r="AD245" i="1"/>
  <c r="AD243" i="1" s="1"/>
  <c r="AC245" i="1"/>
  <c r="R245" i="1"/>
  <c r="R243" i="1" s="1"/>
  <c r="G245" i="1"/>
  <c r="H245" i="1" s="1"/>
  <c r="H243" i="1" s="1"/>
  <c r="BR244" i="1"/>
  <c r="BS244" i="1" s="1"/>
  <c r="BP244" i="1"/>
  <c r="BQ244" i="1" s="1"/>
  <c r="AD244" i="1"/>
  <c r="AC244" i="1"/>
  <c r="R244" i="1"/>
  <c r="H244" i="1"/>
  <c r="BR243" i="1"/>
  <c r="BS243" i="1" s="1"/>
  <c r="BP243" i="1"/>
  <c r="BQ243" i="1" s="1"/>
  <c r="BR242" i="1"/>
  <c r="BS242" i="1" s="1"/>
  <c r="BP242" i="1"/>
  <c r="BQ242" i="1" s="1"/>
  <c r="AD242" i="1"/>
  <c r="AC242" i="1"/>
  <c r="BR241" i="1"/>
  <c r="BS241" i="1" s="1"/>
  <c r="BP241" i="1"/>
  <c r="BQ241" i="1" s="1"/>
  <c r="AD241" i="1"/>
  <c r="AC241" i="1"/>
  <c r="BR240" i="1"/>
  <c r="BS240" i="1" s="1"/>
  <c r="BP240" i="1"/>
  <c r="BQ240" i="1" s="1"/>
  <c r="AD240" i="1"/>
  <c r="AC240" i="1"/>
  <c r="BR239" i="1"/>
  <c r="BS239" i="1" s="1"/>
  <c r="BP239" i="1"/>
  <c r="BQ239" i="1" s="1"/>
  <c r="AD239" i="1"/>
  <c r="AC239" i="1"/>
  <c r="BR238" i="1"/>
  <c r="BS238" i="1" s="1"/>
  <c r="BP238" i="1"/>
  <c r="BQ238" i="1" s="1"/>
  <c r="AD238" i="1"/>
  <c r="AC238" i="1"/>
  <c r="BR237" i="1"/>
  <c r="BS237" i="1" s="1"/>
  <c r="BP237" i="1"/>
  <c r="BQ237" i="1" s="1"/>
  <c r="AD237" i="1"/>
  <c r="AC237" i="1"/>
  <c r="BR236" i="1"/>
  <c r="BS236" i="1" s="1"/>
  <c r="BP236" i="1"/>
  <c r="BQ236" i="1" s="1"/>
  <c r="AD236" i="1"/>
  <c r="AC236" i="1"/>
  <c r="BR235" i="1"/>
  <c r="BS235" i="1" s="1"/>
  <c r="BP235" i="1"/>
  <c r="BQ235" i="1" s="1"/>
  <c r="AD235" i="1"/>
  <c r="AC235" i="1"/>
  <c r="BR234" i="1"/>
  <c r="BS234" i="1" s="1"/>
  <c r="BP234" i="1"/>
  <c r="BQ234" i="1" s="1"/>
  <c r="AD234" i="1"/>
  <c r="AC234" i="1"/>
  <c r="G234" i="1"/>
  <c r="BR233" i="1"/>
  <c r="BS233" i="1" s="1"/>
  <c r="BP233" i="1"/>
  <c r="BQ233" i="1" s="1"/>
  <c r="AD233" i="1"/>
  <c r="AC233" i="1"/>
  <c r="BR232" i="1"/>
  <c r="BS232" i="1" s="1"/>
  <c r="BP232" i="1"/>
  <c r="BQ232" i="1" s="1"/>
  <c r="AD232" i="1"/>
  <c r="AC232" i="1"/>
  <c r="BR231" i="1"/>
  <c r="BS231" i="1" s="1"/>
  <c r="BP231" i="1"/>
  <c r="BQ231" i="1" s="1"/>
  <c r="AD231" i="1"/>
  <c r="AC231" i="1"/>
  <c r="BR230" i="1"/>
  <c r="BS230" i="1" s="1"/>
  <c r="BP230" i="1"/>
  <c r="BQ230" i="1" s="1"/>
  <c r="AD230" i="1"/>
  <c r="AC230" i="1"/>
  <c r="BR229" i="1"/>
  <c r="BS229" i="1" s="1"/>
  <c r="BP229" i="1"/>
  <c r="BQ229" i="1" s="1"/>
  <c r="AD229" i="1"/>
  <c r="AC229" i="1"/>
  <c r="BR228" i="1"/>
  <c r="BS228" i="1" s="1"/>
  <c r="BP228" i="1"/>
  <c r="BQ228" i="1" s="1"/>
  <c r="AD228" i="1"/>
  <c r="AC228" i="1"/>
  <c r="BR227" i="1"/>
  <c r="BS227" i="1" s="1"/>
  <c r="BP227" i="1"/>
  <c r="BQ227" i="1" s="1"/>
  <c r="AD227" i="1"/>
  <c r="AC227" i="1"/>
  <c r="G227" i="1"/>
  <c r="BR226" i="1"/>
  <c r="BS226" i="1" s="1"/>
  <c r="BP226" i="1"/>
  <c r="BQ226" i="1" s="1"/>
  <c r="AD226" i="1"/>
  <c r="AC226" i="1"/>
  <c r="BR225" i="1"/>
  <c r="BS225" i="1" s="1"/>
  <c r="BP225" i="1"/>
  <c r="BQ225" i="1" s="1"/>
  <c r="AD225" i="1"/>
  <c r="AC225" i="1"/>
  <c r="BR224" i="1"/>
  <c r="BS224" i="1" s="1"/>
  <c r="BP224" i="1"/>
  <c r="BQ224" i="1" s="1"/>
  <c r="AD224" i="1"/>
  <c r="AC224" i="1"/>
  <c r="G224" i="1"/>
  <c r="BR223" i="1"/>
  <c r="BS223" i="1" s="1"/>
  <c r="BP223" i="1"/>
  <c r="BQ223" i="1" s="1"/>
  <c r="AD223" i="1"/>
  <c r="AC223" i="1"/>
  <c r="G223" i="1"/>
  <c r="BR222" i="1"/>
  <c r="BS222" i="1" s="1"/>
  <c r="BP222" i="1"/>
  <c r="BQ222" i="1" s="1"/>
  <c r="AD222" i="1"/>
  <c r="AC222" i="1"/>
  <c r="BR221" i="1"/>
  <c r="BS221" i="1" s="1"/>
  <c r="BP221" i="1"/>
  <c r="BQ221" i="1" s="1"/>
  <c r="AD221" i="1"/>
  <c r="AC221" i="1"/>
  <c r="BR220" i="1"/>
  <c r="BS220" i="1" s="1"/>
  <c r="BP220" i="1"/>
  <c r="BQ220" i="1" s="1"/>
  <c r="AD220" i="1"/>
  <c r="AC220" i="1"/>
  <c r="G220" i="1"/>
  <c r="BR219" i="1"/>
  <c r="BS219" i="1" s="1"/>
  <c r="BP219" i="1"/>
  <c r="BQ219" i="1" s="1"/>
  <c r="AD219" i="1"/>
  <c r="AC219" i="1"/>
  <c r="G219" i="1"/>
  <c r="BR218" i="1"/>
  <c r="BS218" i="1" s="1"/>
  <c r="BP218" i="1"/>
  <c r="BQ218" i="1" s="1"/>
  <c r="AD218" i="1"/>
  <c r="AC218" i="1"/>
  <c r="G218" i="1"/>
  <c r="BR217" i="1"/>
  <c r="BS217" i="1" s="1"/>
  <c r="BP217" i="1"/>
  <c r="BQ217" i="1" s="1"/>
  <c r="AD217" i="1"/>
  <c r="AC217" i="1"/>
  <c r="G217" i="1"/>
  <c r="BR216" i="1"/>
  <c r="BS216" i="1" s="1"/>
  <c r="BP216" i="1"/>
  <c r="BQ216" i="1" s="1"/>
  <c r="AD216" i="1"/>
  <c r="AC216" i="1"/>
  <c r="BR215" i="1"/>
  <c r="BS215" i="1" s="1"/>
  <c r="BP215" i="1"/>
  <c r="BQ215" i="1" s="1"/>
  <c r="BP214" i="1"/>
  <c r="BQ214" i="1" s="1"/>
  <c r="AD214" i="1"/>
  <c r="AC214" i="1"/>
  <c r="BP213" i="1"/>
  <c r="BQ213" i="1" s="1"/>
  <c r="AD213" i="1"/>
  <c r="AC213" i="1"/>
  <c r="BP212" i="1"/>
  <c r="BQ212" i="1" s="1"/>
  <c r="AD212" i="1"/>
  <c r="AC212" i="1"/>
  <c r="BR211" i="1"/>
  <c r="BS211" i="1" s="1"/>
  <c r="BP211" i="1"/>
  <c r="BQ211" i="1" s="1"/>
  <c r="AD211" i="1"/>
  <c r="AC211" i="1"/>
  <c r="BR210" i="1"/>
  <c r="BS210" i="1" s="1"/>
  <c r="BP210" i="1"/>
  <c r="BQ210" i="1" s="1"/>
  <c r="AD210" i="1"/>
  <c r="AC210" i="1"/>
  <c r="BR209" i="1"/>
  <c r="BS209" i="1" s="1"/>
  <c r="BP209" i="1"/>
  <c r="BQ209" i="1" s="1"/>
  <c r="AD209" i="1"/>
  <c r="AC209" i="1"/>
  <c r="BR208" i="1"/>
  <c r="BS208" i="1" s="1"/>
  <c r="BP208" i="1"/>
  <c r="BQ208" i="1" s="1"/>
  <c r="AD208" i="1"/>
  <c r="AC208" i="1"/>
  <c r="G208" i="1"/>
  <c r="BR207" i="1"/>
  <c r="BS207" i="1" s="1"/>
  <c r="BP207" i="1"/>
  <c r="BQ207" i="1" s="1"/>
  <c r="AD207" i="1"/>
  <c r="AC207" i="1"/>
  <c r="BR206" i="1"/>
  <c r="BS206" i="1" s="1"/>
  <c r="BP206" i="1"/>
  <c r="BQ206" i="1" s="1"/>
  <c r="AD206" i="1"/>
  <c r="AC206" i="1"/>
  <c r="BR205" i="1"/>
  <c r="BS205" i="1" s="1"/>
  <c r="BP205" i="1"/>
  <c r="BQ205" i="1" s="1"/>
  <c r="AD205" i="1"/>
  <c r="AC205" i="1"/>
  <c r="BR204" i="1"/>
  <c r="BS204" i="1" s="1"/>
  <c r="BP204" i="1"/>
  <c r="BQ204" i="1" s="1"/>
  <c r="AD204" i="1"/>
  <c r="AC204" i="1"/>
  <c r="BR203" i="1"/>
  <c r="BS203" i="1" s="1"/>
  <c r="BP203" i="1"/>
  <c r="BQ203" i="1" s="1"/>
  <c r="AD203" i="1"/>
  <c r="AC203" i="1"/>
  <c r="BR202" i="1"/>
  <c r="BS202" i="1" s="1"/>
  <c r="BP202" i="1"/>
  <c r="BQ202" i="1" s="1"/>
  <c r="AD202" i="1"/>
  <c r="AC202" i="1"/>
  <c r="G202" i="1"/>
  <c r="BR201" i="1"/>
  <c r="BS201" i="1" s="1"/>
  <c r="BP201" i="1"/>
  <c r="BQ201" i="1" s="1"/>
  <c r="AD201" i="1"/>
  <c r="AC201" i="1"/>
  <c r="U201" i="1"/>
  <c r="BR200" i="1"/>
  <c r="BS200" i="1" s="1"/>
  <c r="BP200" i="1"/>
  <c r="BQ200" i="1" s="1"/>
  <c r="AD200" i="1"/>
  <c r="AC200" i="1"/>
  <c r="U200" i="1"/>
  <c r="BR199" i="1"/>
  <c r="BS199" i="1" s="1"/>
  <c r="BP199" i="1"/>
  <c r="BQ199" i="1" s="1"/>
  <c r="AD199" i="1"/>
  <c r="AC199" i="1"/>
  <c r="U199" i="1"/>
  <c r="BR198" i="1"/>
  <c r="BS198" i="1" s="1"/>
  <c r="BP198" i="1"/>
  <c r="BQ198" i="1" s="1"/>
  <c r="AD198" i="1"/>
  <c r="AC198" i="1"/>
  <c r="U198" i="1"/>
  <c r="BR197" i="1"/>
  <c r="BS197" i="1" s="1"/>
  <c r="BP197" i="1"/>
  <c r="BQ197" i="1" s="1"/>
  <c r="AD197" i="1"/>
  <c r="AC197" i="1"/>
  <c r="U197" i="1"/>
  <c r="BR196" i="1"/>
  <c r="BS196" i="1" s="1"/>
  <c r="BP196" i="1"/>
  <c r="BQ196" i="1" s="1"/>
  <c r="AD196" i="1"/>
  <c r="AC196" i="1"/>
  <c r="U196" i="1"/>
  <c r="BR195" i="1"/>
  <c r="BS195" i="1" s="1"/>
  <c r="BP195" i="1"/>
  <c r="BQ195" i="1" s="1"/>
  <c r="AD195" i="1"/>
  <c r="AC195" i="1"/>
  <c r="U195" i="1"/>
  <c r="BR194" i="1"/>
  <c r="BS194" i="1" s="1"/>
  <c r="BP194" i="1"/>
  <c r="BQ194" i="1" s="1"/>
  <c r="AD194" i="1"/>
  <c r="AC194" i="1"/>
  <c r="G194" i="1"/>
  <c r="U194" i="1" s="1"/>
  <c r="BR193" i="1"/>
  <c r="BS193" i="1" s="1"/>
  <c r="BP193" i="1"/>
  <c r="BQ193" i="1" s="1"/>
  <c r="AD193" i="1"/>
  <c r="AC193" i="1"/>
  <c r="U193" i="1"/>
  <c r="BR192" i="1"/>
  <c r="BS192" i="1" s="1"/>
  <c r="BP192" i="1"/>
  <c r="BQ192" i="1" s="1"/>
  <c r="AD192" i="1"/>
  <c r="AC192" i="1"/>
  <c r="U192" i="1"/>
  <c r="BR191" i="1"/>
  <c r="BS191" i="1" s="1"/>
  <c r="BP191" i="1"/>
  <c r="BQ191" i="1" s="1"/>
  <c r="AD191" i="1"/>
  <c r="AC191" i="1"/>
  <c r="U191" i="1"/>
  <c r="BR190" i="1"/>
  <c r="BS190" i="1" s="1"/>
  <c r="BP190" i="1"/>
  <c r="BQ190" i="1" s="1"/>
  <c r="AD190" i="1"/>
  <c r="AC190" i="1"/>
  <c r="U190" i="1"/>
  <c r="BR189" i="1"/>
  <c r="BS189" i="1" s="1"/>
  <c r="BP189" i="1"/>
  <c r="BQ189" i="1" s="1"/>
  <c r="AD189" i="1"/>
  <c r="AC189" i="1"/>
  <c r="U189" i="1"/>
  <c r="BR188" i="1"/>
  <c r="BS188" i="1" s="1"/>
  <c r="BP188" i="1"/>
  <c r="BQ188" i="1" s="1"/>
  <c r="AD188" i="1"/>
  <c r="AC188" i="1"/>
  <c r="U188" i="1"/>
  <c r="BR187" i="1"/>
  <c r="BS187" i="1" s="1"/>
  <c r="BP187" i="1"/>
  <c r="BQ187" i="1" s="1"/>
  <c r="AD187" i="1"/>
  <c r="AC187" i="1"/>
  <c r="U187" i="1"/>
  <c r="BR186" i="1"/>
  <c r="BS186" i="1" s="1"/>
  <c r="BP186" i="1"/>
  <c r="BQ186" i="1" s="1"/>
  <c r="AD186" i="1"/>
  <c r="AC186" i="1"/>
  <c r="U186" i="1"/>
  <c r="BR185" i="1"/>
  <c r="BS185" i="1" s="1"/>
  <c r="BP185" i="1"/>
  <c r="BQ185" i="1" s="1"/>
  <c r="AD185" i="1"/>
  <c r="AC185" i="1"/>
  <c r="U185" i="1"/>
  <c r="BR184" i="1"/>
  <c r="BS184" i="1" s="1"/>
  <c r="BP184" i="1"/>
  <c r="BQ184" i="1" s="1"/>
  <c r="AD184" i="1"/>
  <c r="AC184" i="1"/>
  <c r="U184" i="1"/>
  <c r="BR183" i="1"/>
  <c r="BS183" i="1" s="1"/>
  <c r="BP183" i="1"/>
  <c r="BQ183" i="1" s="1"/>
  <c r="AD183" i="1"/>
  <c r="AC183" i="1"/>
  <c r="U183" i="1"/>
  <c r="BR182" i="1"/>
  <c r="BS182" i="1" s="1"/>
  <c r="BP182" i="1"/>
  <c r="BQ182" i="1" s="1"/>
  <c r="AD182" i="1"/>
  <c r="AC182" i="1"/>
  <c r="G182" i="1"/>
  <c r="U182" i="1" s="1"/>
  <c r="BR181" i="1"/>
  <c r="BS181" i="1" s="1"/>
  <c r="BP181" i="1"/>
  <c r="BQ181" i="1" s="1"/>
  <c r="AD181" i="1"/>
  <c r="AC181" i="1"/>
  <c r="U181" i="1"/>
  <c r="BR180" i="1"/>
  <c r="BS180" i="1" s="1"/>
  <c r="BP180" i="1"/>
  <c r="BQ180" i="1" s="1"/>
  <c r="AD180" i="1"/>
  <c r="AC180" i="1"/>
  <c r="U180" i="1"/>
  <c r="BR179" i="1"/>
  <c r="BS179" i="1" s="1"/>
  <c r="BP179" i="1"/>
  <c r="BQ179" i="1" s="1"/>
  <c r="AD179" i="1"/>
  <c r="AC179" i="1"/>
  <c r="G179" i="1"/>
  <c r="U179" i="1" s="1"/>
  <c r="BR178" i="1"/>
  <c r="BS178" i="1" s="1"/>
  <c r="BP178" i="1"/>
  <c r="BQ178" i="1" s="1"/>
  <c r="AD178" i="1"/>
  <c r="AC178" i="1"/>
  <c r="G178" i="1"/>
  <c r="U178" i="1" s="1"/>
  <c r="BR177" i="1"/>
  <c r="BS177" i="1" s="1"/>
  <c r="BP177" i="1"/>
  <c r="BQ177" i="1" s="1"/>
  <c r="AD177" i="1"/>
  <c r="AC177" i="1"/>
  <c r="U177" i="1"/>
  <c r="BR176" i="1"/>
  <c r="BS176" i="1" s="1"/>
  <c r="BP176" i="1"/>
  <c r="BQ176" i="1" s="1"/>
  <c r="AD176" i="1"/>
  <c r="AC176" i="1"/>
  <c r="U176" i="1"/>
  <c r="BR175" i="1"/>
  <c r="BS175" i="1" s="1"/>
  <c r="BP175" i="1"/>
  <c r="BQ175" i="1" s="1"/>
  <c r="AD175" i="1"/>
  <c r="AC175" i="1"/>
  <c r="U175" i="1"/>
  <c r="BR174" i="1"/>
  <c r="BS174" i="1" s="1"/>
  <c r="BP174" i="1"/>
  <c r="BQ174" i="1" s="1"/>
  <c r="AD174" i="1"/>
  <c r="AC174" i="1"/>
  <c r="U174" i="1"/>
  <c r="BR173" i="1"/>
  <c r="BS173" i="1" s="1"/>
  <c r="AF173" i="1"/>
  <c r="BP173" i="1" s="1"/>
  <c r="BQ173" i="1" s="1"/>
  <c r="AD173" i="1"/>
  <c r="AC173" i="1"/>
  <c r="G173" i="1"/>
  <c r="U173" i="1" s="1"/>
  <c r="BS172" i="1"/>
  <c r="BR172" i="1"/>
  <c r="BP172" i="1"/>
  <c r="BQ172" i="1" s="1"/>
  <c r="AD172" i="1"/>
  <c r="AC172" i="1"/>
  <c r="U172" i="1"/>
  <c r="BR171" i="1"/>
  <c r="BS171" i="1" s="1"/>
  <c r="BP171" i="1"/>
  <c r="BQ171" i="1" s="1"/>
  <c r="AD171" i="1"/>
  <c r="AC171" i="1"/>
  <c r="U171" i="1"/>
  <c r="BR170" i="1"/>
  <c r="BS170" i="1" s="1"/>
  <c r="BP170" i="1"/>
  <c r="BQ170" i="1" s="1"/>
  <c r="AD170" i="1"/>
  <c r="AC170" i="1"/>
  <c r="U170" i="1"/>
  <c r="BR169" i="1"/>
  <c r="BS169" i="1" s="1"/>
  <c r="AT169" i="1"/>
  <c r="AJ169" i="1"/>
  <c r="BP169" i="1" s="1"/>
  <c r="BQ169" i="1" s="1"/>
  <c r="AD169" i="1"/>
  <c r="AC169" i="1"/>
  <c r="U169" i="1"/>
  <c r="BR168" i="1"/>
  <c r="BS168" i="1" s="1"/>
  <c r="AF168" i="1"/>
  <c r="BP168" i="1" s="1"/>
  <c r="BQ168" i="1" s="1"/>
  <c r="AD168" i="1"/>
  <c r="AC168" i="1"/>
  <c r="U168" i="1"/>
  <c r="BR167" i="1"/>
  <c r="BS167" i="1" s="1"/>
  <c r="AZ167" i="1"/>
  <c r="AX167" i="1"/>
  <c r="AV167" i="1"/>
  <c r="AH167" i="1"/>
  <c r="AD167" i="1"/>
  <c r="AC167" i="1"/>
  <c r="U167" i="1"/>
  <c r="BR166" i="1"/>
  <c r="BS166" i="1" s="1"/>
  <c r="BP166" i="1"/>
  <c r="BQ166" i="1" s="1"/>
  <c r="AD166" i="1"/>
  <c r="AC166" i="1"/>
  <c r="Y166" i="1"/>
  <c r="V166" i="1"/>
  <c r="BR165" i="1"/>
  <c r="BS165" i="1" s="1"/>
  <c r="AZ165" i="1"/>
  <c r="BP165" i="1" s="1"/>
  <c r="BQ165" i="1" s="1"/>
  <c r="AD165" i="1"/>
  <c r="AC165" i="1"/>
  <c r="Z165" i="1"/>
  <c r="Z162" i="1" s="1"/>
  <c r="V165" i="1"/>
  <c r="BR164" i="1"/>
  <c r="BS164" i="1" s="1"/>
  <c r="BP164" i="1"/>
  <c r="BQ164" i="1" s="1"/>
  <c r="AD164" i="1"/>
  <c r="AC164" i="1"/>
  <c r="V164" i="1"/>
  <c r="BR163" i="1"/>
  <c r="BS163" i="1" s="1"/>
  <c r="BP163" i="1"/>
  <c r="BQ163" i="1" s="1"/>
  <c r="AD163" i="1"/>
  <c r="AC163" i="1"/>
  <c r="V163" i="1"/>
  <c r="BR162" i="1"/>
  <c r="BS162" i="1" s="1"/>
  <c r="BP162" i="1"/>
  <c r="BQ162" i="1" s="1"/>
  <c r="AB162" i="1"/>
  <c r="J162" i="1"/>
  <c r="H162" i="1"/>
  <c r="BR161" i="1"/>
  <c r="BS161" i="1" s="1"/>
  <c r="BP161" i="1"/>
  <c r="BQ161" i="1" s="1"/>
  <c r="AD161" i="1"/>
  <c r="AC161" i="1"/>
  <c r="BR160" i="1"/>
  <c r="BS160" i="1" s="1"/>
  <c r="BP160" i="1"/>
  <c r="BQ160" i="1" s="1"/>
  <c r="AD160" i="1"/>
  <c r="AC160" i="1"/>
  <c r="BR159" i="1"/>
  <c r="BS159" i="1" s="1"/>
  <c r="BP159" i="1"/>
  <c r="BQ159" i="1" s="1"/>
  <c r="AB159" i="1"/>
  <c r="H159" i="1"/>
  <c r="BR158" i="1"/>
  <c r="BS158" i="1" s="1"/>
  <c r="BP158" i="1"/>
  <c r="BQ158" i="1" s="1"/>
  <c r="AC158" i="1"/>
  <c r="F158" i="1"/>
  <c r="AB158" i="1" s="1"/>
  <c r="AD158" i="1" s="1"/>
  <c r="BR157" i="1"/>
  <c r="BS157" i="1" s="1"/>
  <c r="BP157" i="1"/>
  <c r="BQ157" i="1" s="1"/>
  <c r="AC157" i="1"/>
  <c r="AB157" i="1"/>
  <c r="AD157" i="1" s="1"/>
  <c r="BR156" i="1"/>
  <c r="BS156" i="1" s="1"/>
  <c r="BP156" i="1"/>
  <c r="BQ156" i="1" s="1"/>
  <c r="AD156" i="1"/>
  <c r="AC156" i="1"/>
  <c r="Z156" i="1"/>
  <c r="BR155" i="1"/>
  <c r="BS155" i="1" s="1"/>
  <c r="BP155" i="1"/>
  <c r="BQ155" i="1" s="1"/>
  <c r="AD155" i="1"/>
  <c r="AC155" i="1"/>
  <c r="Z155" i="1"/>
  <c r="BR154" i="1"/>
  <c r="BS154" i="1" s="1"/>
  <c r="BP154" i="1"/>
  <c r="BQ154" i="1" s="1"/>
  <c r="AD154" i="1"/>
  <c r="AC154" i="1"/>
  <c r="Z154" i="1"/>
  <c r="BR153" i="1"/>
  <c r="BS153" i="1" s="1"/>
  <c r="BP153" i="1"/>
  <c r="BQ153" i="1" s="1"/>
  <c r="AD153" i="1"/>
  <c r="AC153" i="1"/>
  <c r="Z153" i="1"/>
  <c r="BR152" i="1"/>
  <c r="BS152" i="1" s="1"/>
  <c r="BP152" i="1"/>
  <c r="BQ152" i="1" s="1"/>
  <c r="AD152" i="1"/>
  <c r="AC152" i="1"/>
  <c r="Z152" i="1"/>
  <c r="BR151" i="1"/>
  <c r="BS151" i="1" s="1"/>
  <c r="BP151" i="1"/>
  <c r="BQ151" i="1" s="1"/>
  <c r="AD151" i="1"/>
  <c r="AC151" i="1"/>
  <c r="Z151" i="1"/>
  <c r="BR150" i="1"/>
  <c r="BS150" i="1" s="1"/>
  <c r="BP150" i="1"/>
  <c r="BQ150" i="1" s="1"/>
  <c r="AD150" i="1"/>
  <c r="AC150" i="1"/>
  <c r="Z150" i="1"/>
  <c r="BR149" i="1"/>
  <c r="BS149" i="1" s="1"/>
  <c r="BP149" i="1"/>
  <c r="BQ149" i="1" s="1"/>
  <c r="AC149" i="1"/>
  <c r="AB149" i="1"/>
  <c r="AD149" i="1" s="1"/>
  <c r="Z149" i="1"/>
  <c r="BR148" i="1"/>
  <c r="BS148" i="1" s="1"/>
  <c r="BP148" i="1"/>
  <c r="BQ148" i="1" s="1"/>
  <c r="AD148" i="1"/>
  <c r="AC148" i="1"/>
  <c r="Z148" i="1"/>
  <c r="BR147" i="1"/>
  <c r="BS147" i="1" s="1"/>
  <c r="BP147" i="1"/>
  <c r="BQ147" i="1" s="1"/>
  <c r="AC147" i="1"/>
  <c r="AB147" i="1"/>
  <c r="AD147" i="1" s="1"/>
  <c r="BR146" i="1"/>
  <c r="BS146" i="1" s="1"/>
  <c r="BP146" i="1"/>
  <c r="BQ146" i="1" s="1"/>
  <c r="AC146" i="1"/>
  <c r="AB146" i="1"/>
  <c r="AD146" i="1" s="1"/>
  <c r="Z146" i="1"/>
  <c r="BR145" i="1"/>
  <c r="BS145" i="1" s="1"/>
  <c r="BP145" i="1"/>
  <c r="BQ145" i="1" s="1"/>
  <c r="AC145" i="1"/>
  <c r="AB145" i="1"/>
  <c r="AD145" i="1" s="1"/>
  <c r="Z145" i="1"/>
  <c r="BR144" i="1"/>
  <c r="BS144" i="1" s="1"/>
  <c r="BP144" i="1"/>
  <c r="BQ144" i="1" s="1"/>
  <c r="AD144" i="1"/>
  <c r="AC144" i="1"/>
  <c r="X144" i="1"/>
  <c r="BR143" i="1"/>
  <c r="BS143" i="1" s="1"/>
  <c r="BP143" i="1"/>
  <c r="BQ143" i="1" s="1"/>
  <c r="AD143" i="1"/>
  <c r="AC143" i="1"/>
  <c r="X143" i="1"/>
  <c r="BR142" i="1"/>
  <c r="BS142" i="1" s="1"/>
  <c r="BP142" i="1"/>
  <c r="BQ142" i="1" s="1"/>
  <c r="AC142" i="1"/>
  <c r="W142" i="1"/>
  <c r="F142" i="1"/>
  <c r="AB142" i="1" s="1"/>
  <c r="AD142" i="1" s="1"/>
  <c r="BR141" i="1"/>
  <c r="BS141" i="1" s="1"/>
  <c r="BP141" i="1"/>
  <c r="BQ141" i="1" s="1"/>
  <c r="AD141" i="1"/>
  <c r="AC141" i="1"/>
  <c r="X141" i="1"/>
  <c r="H141" i="1"/>
  <c r="H119" i="1" s="1"/>
  <c r="G141" i="1"/>
  <c r="BR140" i="1"/>
  <c r="BS140" i="1" s="1"/>
  <c r="BP140" i="1"/>
  <c r="BQ140" i="1" s="1"/>
  <c r="AC140" i="1"/>
  <c r="AB140" i="1"/>
  <c r="AD140" i="1" s="1"/>
  <c r="V140" i="1"/>
  <c r="BR139" i="1"/>
  <c r="BS139" i="1" s="1"/>
  <c r="BP139" i="1"/>
  <c r="BQ139" i="1" s="1"/>
  <c r="AD139" i="1"/>
  <c r="AC139" i="1"/>
  <c r="V139" i="1"/>
  <c r="BR138" i="1"/>
  <c r="BS138" i="1" s="1"/>
  <c r="BP138" i="1"/>
  <c r="BQ138" i="1" s="1"/>
  <c r="AD138" i="1"/>
  <c r="AC138" i="1"/>
  <c r="V138" i="1"/>
  <c r="BR137" i="1"/>
  <c r="BS137" i="1" s="1"/>
  <c r="BP137" i="1"/>
  <c r="BQ137" i="1" s="1"/>
  <c r="AD137" i="1"/>
  <c r="AC137" i="1"/>
  <c r="G137" i="1"/>
  <c r="U137" i="1" s="1"/>
  <c r="V137" i="1" s="1"/>
  <c r="BR136" i="1"/>
  <c r="BS136" i="1" s="1"/>
  <c r="BP136" i="1"/>
  <c r="BQ136" i="1" s="1"/>
  <c r="AC136" i="1"/>
  <c r="AB136" i="1"/>
  <c r="AD136" i="1" s="1"/>
  <c r="V136" i="1"/>
  <c r="BR135" i="1"/>
  <c r="BS135" i="1" s="1"/>
  <c r="BP135" i="1"/>
  <c r="BQ135" i="1" s="1"/>
  <c r="AC135" i="1"/>
  <c r="AB135" i="1"/>
  <c r="AD135" i="1" s="1"/>
  <c r="V135" i="1"/>
  <c r="BR134" i="1"/>
  <c r="BS134" i="1" s="1"/>
  <c r="BP134" i="1"/>
  <c r="BQ134" i="1" s="1"/>
  <c r="AC134" i="1"/>
  <c r="AB134" i="1"/>
  <c r="AD134" i="1" s="1"/>
  <c r="U134" i="1"/>
  <c r="V134" i="1" s="1"/>
  <c r="BR133" i="1"/>
  <c r="BS133" i="1" s="1"/>
  <c r="BP133" i="1"/>
  <c r="BQ133" i="1" s="1"/>
  <c r="AC133" i="1"/>
  <c r="AB133" i="1"/>
  <c r="AD133" i="1" s="1"/>
  <c r="U133" i="1"/>
  <c r="V133" i="1" s="1"/>
  <c r="BR132" i="1"/>
  <c r="BS132" i="1" s="1"/>
  <c r="BP132" i="1"/>
  <c r="BQ132" i="1" s="1"/>
  <c r="AC132" i="1"/>
  <c r="AB132" i="1"/>
  <c r="AD132" i="1" s="1"/>
  <c r="Z132" i="1"/>
  <c r="U132" i="1"/>
  <c r="V132" i="1" s="1"/>
  <c r="BR131" i="1"/>
  <c r="BS131" i="1" s="1"/>
  <c r="BP131" i="1"/>
  <c r="BQ131" i="1" s="1"/>
  <c r="AC131" i="1"/>
  <c r="AB131" i="1"/>
  <c r="AD131" i="1" s="1"/>
  <c r="Z131" i="1"/>
  <c r="U131" i="1"/>
  <c r="V131" i="1" s="1"/>
  <c r="BR130" i="1"/>
  <c r="BS130" i="1" s="1"/>
  <c r="BP130" i="1"/>
  <c r="BQ130" i="1" s="1"/>
  <c r="AC130" i="1"/>
  <c r="AB130" i="1"/>
  <c r="AD130" i="1" s="1"/>
  <c r="U130" i="1"/>
  <c r="V130" i="1" s="1"/>
  <c r="BR129" i="1"/>
  <c r="BS129" i="1" s="1"/>
  <c r="BP129" i="1"/>
  <c r="BQ129" i="1" s="1"/>
  <c r="AD129" i="1"/>
  <c r="AC129" i="1"/>
  <c r="G129" i="1"/>
  <c r="U129" i="1" s="1"/>
  <c r="V129" i="1" s="1"/>
  <c r="BR128" i="1"/>
  <c r="BS128" i="1" s="1"/>
  <c r="BP128" i="1"/>
  <c r="BQ128" i="1" s="1"/>
  <c r="AD128" i="1"/>
  <c r="AC128" i="1"/>
  <c r="Z128" i="1"/>
  <c r="V128" i="1"/>
  <c r="BR127" i="1"/>
  <c r="BS127" i="1" s="1"/>
  <c r="BP127" i="1"/>
  <c r="BQ127" i="1" s="1"/>
  <c r="AC127" i="1"/>
  <c r="AB127" i="1"/>
  <c r="AD127" i="1" s="1"/>
  <c r="Z127" i="1"/>
  <c r="U127" i="1"/>
  <c r="V127" i="1" s="1"/>
  <c r="BR126" i="1"/>
  <c r="BS126" i="1" s="1"/>
  <c r="BP126" i="1"/>
  <c r="BQ126" i="1" s="1"/>
  <c r="AC126" i="1"/>
  <c r="AB126" i="1"/>
  <c r="AD126" i="1" s="1"/>
  <c r="U126" i="1"/>
  <c r="V126" i="1" s="1"/>
  <c r="BR125" i="1"/>
  <c r="BS125" i="1" s="1"/>
  <c r="BP125" i="1"/>
  <c r="BQ125" i="1" s="1"/>
  <c r="AD125" i="1"/>
  <c r="AC125" i="1"/>
  <c r="Z125" i="1"/>
  <c r="U125" i="1"/>
  <c r="V125" i="1" s="1"/>
  <c r="BR124" i="1"/>
  <c r="BS124" i="1" s="1"/>
  <c r="BP124" i="1"/>
  <c r="BQ124" i="1" s="1"/>
  <c r="AC124" i="1"/>
  <c r="AB124" i="1"/>
  <c r="AD124" i="1" s="1"/>
  <c r="U124" i="1"/>
  <c r="V124" i="1" s="1"/>
  <c r="BR123" i="1"/>
  <c r="BS123" i="1" s="1"/>
  <c r="BP123" i="1"/>
  <c r="BQ123" i="1" s="1"/>
  <c r="AD123" i="1"/>
  <c r="AC123" i="1"/>
  <c r="Z123" i="1"/>
  <c r="U123" i="1"/>
  <c r="V123" i="1" s="1"/>
  <c r="BR122" i="1"/>
  <c r="BS122" i="1" s="1"/>
  <c r="BP122" i="1"/>
  <c r="BQ122" i="1" s="1"/>
  <c r="AC122" i="1"/>
  <c r="AB122" i="1"/>
  <c r="U122" i="1"/>
  <c r="V122" i="1" s="1"/>
  <c r="BR121" i="1"/>
  <c r="BS121" i="1" s="1"/>
  <c r="BP121" i="1"/>
  <c r="BQ121" i="1" s="1"/>
  <c r="AD121" i="1"/>
  <c r="AC121" i="1"/>
  <c r="U121" i="1"/>
  <c r="V121" i="1" s="1"/>
  <c r="BR120" i="1"/>
  <c r="BS120" i="1" s="1"/>
  <c r="BP120" i="1"/>
  <c r="BQ120" i="1" s="1"/>
  <c r="AD120" i="1"/>
  <c r="AC120" i="1"/>
  <c r="Z120" i="1"/>
  <c r="U120" i="1"/>
  <c r="V120" i="1" s="1"/>
  <c r="BR119" i="1"/>
  <c r="BS119" i="1" s="1"/>
  <c r="BP119" i="1"/>
  <c r="BQ119" i="1" s="1"/>
  <c r="J119" i="1"/>
  <c r="AC118" i="1"/>
  <c r="AB118" i="1"/>
  <c r="AD118" i="1" s="1"/>
  <c r="G118" i="1"/>
  <c r="H118" i="1" s="1"/>
  <c r="BR117" i="1"/>
  <c r="BS117" i="1" s="1"/>
  <c r="BP117" i="1"/>
  <c r="BQ117" i="1" s="1"/>
  <c r="AC117" i="1"/>
  <c r="AB117" i="1"/>
  <c r="AD117" i="1" s="1"/>
  <c r="BR116" i="1"/>
  <c r="BS116" i="1" s="1"/>
  <c r="BP116" i="1"/>
  <c r="BQ116" i="1" s="1"/>
  <c r="AC116" i="1"/>
  <c r="AB116" i="1"/>
  <c r="AD116" i="1" s="1"/>
  <c r="BR115" i="1"/>
  <c r="BS115" i="1" s="1"/>
  <c r="BP115" i="1"/>
  <c r="BQ115" i="1" s="1"/>
  <c r="AC115" i="1"/>
  <c r="AB115" i="1"/>
  <c r="AD115" i="1" s="1"/>
  <c r="BR114" i="1"/>
  <c r="BS114" i="1" s="1"/>
  <c r="BP114" i="1"/>
  <c r="BQ114" i="1" s="1"/>
  <c r="AC114" i="1"/>
  <c r="F114" i="1"/>
  <c r="AB114" i="1" s="1"/>
  <c r="AD114" i="1" s="1"/>
  <c r="BR113" i="1"/>
  <c r="BS113" i="1" s="1"/>
  <c r="BP113" i="1"/>
  <c r="BQ113" i="1" s="1"/>
  <c r="AC113" i="1"/>
  <c r="F113" i="1"/>
  <c r="AB113" i="1" s="1"/>
  <c r="AD113" i="1" s="1"/>
  <c r="BR112" i="1"/>
  <c r="BS112" i="1" s="1"/>
  <c r="BP112" i="1"/>
  <c r="BQ112" i="1" s="1"/>
  <c r="AC112" i="1"/>
  <c r="AB112" i="1"/>
  <c r="AD112" i="1" s="1"/>
  <c r="BR111" i="1"/>
  <c r="BS111" i="1" s="1"/>
  <c r="BP111" i="1"/>
  <c r="BQ111" i="1" s="1"/>
  <c r="AC111" i="1"/>
  <c r="AB111" i="1"/>
  <c r="AD111" i="1" s="1"/>
  <c r="BR110" i="1"/>
  <c r="BS110" i="1" s="1"/>
  <c r="BP110" i="1"/>
  <c r="BQ110" i="1" s="1"/>
  <c r="AA110" i="1"/>
  <c r="AB110" i="1" s="1"/>
  <c r="AD110" i="1" s="1"/>
  <c r="BR109" i="1"/>
  <c r="BS109" i="1" s="1"/>
  <c r="BP109" i="1"/>
  <c r="BQ109" i="1" s="1"/>
  <c r="AC109" i="1"/>
  <c r="AB109" i="1"/>
  <c r="AD109" i="1" s="1"/>
  <c r="BR108" i="1"/>
  <c r="BS108" i="1" s="1"/>
  <c r="BP108" i="1"/>
  <c r="BQ108" i="1" s="1"/>
  <c r="AA108" i="1"/>
  <c r="AC108" i="1" s="1"/>
  <c r="BR107" i="1"/>
  <c r="BS107" i="1" s="1"/>
  <c r="BP107" i="1"/>
  <c r="BQ107" i="1" s="1"/>
  <c r="AA107" i="1"/>
  <c r="AB107" i="1" s="1"/>
  <c r="BR106" i="1"/>
  <c r="BS106" i="1" s="1"/>
  <c r="BP106" i="1"/>
  <c r="BQ106" i="1" s="1"/>
  <c r="AA106" i="1"/>
  <c r="AC106" i="1" s="1"/>
  <c r="BR105" i="1"/>
  <c r="BS105" i="1" s="1"/>
  <c r="BP105" i="1"/>
  <c r="BQ105" i="1" s="1"/>
  <c r="AD105" i="1"/>
  <c r="AC105" i="1"/>
  <c r="Z105" i="1"/>
  <c r="BR104" i="1"/>
  <c r="BS104" i="1" s="1"/>
  <c r="BP104" i="1"/>
  <c r="BQ104" i="1" s="1"/>
  <c r="AD104" i="1"/>
  <c r="AC104" i="1"/>
  <c r="Z104" i="1"/>
  <c r="BR103" i="1"/>
  <c r="BS103" i="1" s="1"/>
  <c r="BP103" i="1"/>
  <c r="BQ103" i="1" s="1"/>
  <c r="AD103" i="1"/>
  <c r="AC103" i="1"/>
  <c r="Z103" i="1"/>
  <c r="BR102" i="1"/>
  <c r="BS102" i="1" s="1"/>
  <c r="BP102" i="1"/>
  <c r="BQ102" i="1" s="1"/>
  <c r="AD102" i="1"/>
  <c r="AC102" i="1"/>
  <c r="Z102" i="1"/>
  <c r="BR101" i="1"/>
  <c r="BS101" i="1" s="1"/>
  <c r="BP101" i="1"/>
  <c r="BQ101" i="1" s="1"/>
  <c r="AD101" i="1"/>
  <c r="AC101" i="1"/>
  <c r="Z101" i="1"/>
  <c r="BR100" i="1"/>
  <c r="BS100" i="1" s="1"/>
  <c r="BP100" i="1"/>
  <c r="BQ100" i="1" s="1"/>
  <c r="AD100" i="1"/>
  <c r="AC100" i="1"/>
  <c r="Z100" i="1"/>
  <c r="BR99" i="1"/>
  <c r="BS99" i="1" s="1"/>
  <c r="BP99" i="1"/>
  <c r="BQ99" i="1" s="1"/>
  <c r="AD99" i="1"/>
  <c r="AC99" i="1"/>
  <c r="Z99" i="1"/>
  <c r="BR98" i="1"/>
  <c r="BS98" i="1" s="1"/>
  <c r="BP98" i="1"/>
  <c r="BQ98" i="1" s="1"/>
  <c r="AC98" i="1"/>
  <c r="AB98" i="1"/>
  <c r="AD98" i="1" s="1"/>
  <c r="Z98" i="1"/>
  <c r="BR97" i="1"/>
  <c r="BS97" i="1" s="1"/>
  <c r="BP97" i="1"/>
  <c r="BQ97" i="1" s="1"/>
  <c r="AC97" i="1"/>
  <c r="AB97" i="1"/>
  <c r="AD97" i="1" s="1"/>
  <c r="Z97" i="1"/>
  <c r="BR96" i="1"/>
  <c r="BS96" i="1" s="1"/>
  <c r="BP96" i="1"/>
  <c r="BQ96" i="1" s="1"/>
  <c r="AD96" i="1"/>
  <c r="AC96" i="1"/>
  <c r="Z96" i="1"/>
  <c r="BR95" i="1"/>
  <c r="BS95" i="1" s="1"/>
  <c r="BP95" i="1"/>
  <c r="BQ95" i="1" s="1"/>
  <c r="AD95" i="1"/>
  <c r="AC95" i="1"/>
  <c r="Z95" i="1"/>
  <c r="BR94" i="1"/>
  <c r="BS94" i="1" s="1"/>
  <c r="BP94" i="1"/>
  <c r="BQ94" i="1" s="1"/>
  <c r="AD94" i="1"/>
  <c r="AC94" i="1"/>
  <c r="Z94" i="1"/>
  <c r="BR93" i="1"/>
  <c r="BS93" i="1" s="1"/>
  <c r="BP93" i="1"/>
  <c r="BQ93" i="1" s="1"/>
  <c r="AD93" i="1"/>
  <c r="AC93" i="1"/>
  <c r="Z93" i="1"/>
  <c r="BR92" i="1"/>
  <c r="BS92" i="1" s="1"/>
  <c r="BP92" i="1"/>
  <c r="BQ92" i="1" s="1"/>
  <c r="AD92" i="1"/>
  <c r="AC92" i="1"/>
  <c r="Z92" i="1"/>
  <c r="BR91" i="1"/>
  <c r="BS91" i="1" s="1"/>
  <c r="BP91" i="1"/>
  <c r="BQ91" i="1" s="1"/>
  <c r="AC91" i="1"/>
  <c r="AB91" i="1"/>
  <c r="AD91" i="1" s="1"/>
  <c r="Z91" i="1"/>
  <c r="BR90" i="1"/>
  <c r="BS90" i="1" s="1"/>
  <c r="BP90" i="1"/>
  <c r="BQ90" i="1" s="1"/>
  <c r="AD90" i="1"/>
  <c r="AC90" i="1"/>
  <c r="Z90" i="1"/>
  <c r="BR89" i="1"/>
  <c r="BS89" i="1" s="1"/>
  <c r="BP89" i="1"/>
  <c r="BQ89" i="1" s="1"/>
  <c r="AC89" i="1"/>
  <c r="AB89" i="1"/>
  <c r="AD89" i="1" s="1"/>
  <c r="Z89" i="1"/>
  <c r="BR88" i="1"/>
  <c r="BS88" i="1" s="1"/>
  <c r="BP88" i="1"/>
  <c r="BQ88" i="1" s="1"/>
  <c r="AC88" i="1"/>
  <c r="AB88" i="1"/>
  <c r="AD88" i="1" s="1"/>
  <c r="Z88" i="1"/>
  <c r="BR87" i="1"/>
  <c r="BS87" i="1" s="1"/>
  <c r="BP87" i="1"/>
  <c r="BQ87" i="1" s="1"/>
  <c r="AC87" i="1"/>
  <c r="AB87" i="1"/>
  <c r="AD87" i="1" s="1"/>
  <c r="Z87" i="1"/>
  <c r="BR86" i="1"/>
  <c r="BS86" i="1" s="1"/>
  <c r="BP86" i="1"/>
  <c r="BQ86" i="1" s="1"/>
  <c r="AD86" i="1"/>
  <c r="AC86" i="1"/>
  <c r="X86" i="1"/>
  <c r="BR85" i="1"/>
  <c r="BS85" i="1" s="1"/>
  <c r="BP85" i="1"/>
  <c r="BQ85" i="1" s="1"/>
  <c r="AC85" i="1"/>
  <c r="AB85" i="1"/>
  <c r="AD85" i="1" s="1"/>
  <c r="Z85" i="1"/>
  <c r="U85" i="1"/>
  <c r="V85" i="1" s="1"/>
  <c r="BR84" i="1"/>
  <c r="BS84" i="1" s="1"/>
  <c r="BP84" i="1"/>
  <c r="BQ84" i="1" s="1"/>
  <c r="AC84" i="1"/>
  <c r="AB84" i="1"/>
  <c r="AD84" i="1" s="1"/>
  <c r="Z84" i="1"/>
  <c r="U84" i="1"/>
  <c r="V84" i="1" s="1"/>
  <c r="BR83" i="1"/>
  <c r="BS83" i="1" s="1"/>
  <c r="BP83" i="1"/>
  <c r="BQ83" i="1" s="1"/>
  <c r="AC83" i="1"/>
  <c r="AB83" i="1"/>
  <c r="AD83" i="1" s="1"/>
  <c r="Z83" i="1"/>
  <c r="U83" i="1"/>
  <c r="V83" i="1" s="1"/>
  <c r="BR82" i="1"/>
  <c r="BS82" i="1" s="1"/>
  <c r="BP82" i="1"/>
  <c r="BQ82" i="1" s="1"/>
  <c r="AD82" i="1"/>
  <c r="AC82" i="1"/>
  <c r="V82" i="1"/>
  <c r="BR81" i="1"/>
  <c r="BS81" i="1" s="1"/>
  <c r="BP81" i="1"/>
  <c r="BQ81" i="1" s="1"/>
  <c r="AD81" i="1"/>
  <c r="AC81" i="1"/>
  <c r="V81" i="1"/>
  <c r="BS80" i="1"/>
  <c r="BR80" i="1"/>
  <c r="BP80" i="1"/>
  <c r="BQ80" i="1" s="1"/>
  <c r="AC80" i="1"/>
  <c r="AB80" i="1"/>
  <c r="AD80" i="1" s="1"/>
  <c r="V80" i="1"/>
  <c r="BR79" i="1"/>
  <c r="BS79" i="1" s="1"/>
  <c r="BP79" i="1"/>
  <c r="BQ79" i="1" s="1"/>
  <c r="AD79" i="1"/>
  <c r="AC79" i="1"/>
  <c r="U79" i="1"/>
  <c r="V79" i="1" s="1"/>
  <c r="BR78" i="1"/>
  <c r="BS78" i="1" s="1"/>
  <c r="BP78" i="1"/>
  <c r="BQ78" i="1" s="1"/>
  <c r="AD78" i="1"/>
  <c r="AC78" i="1"/>
  <c r="V78" i="1"/>
  <c r="BR77" i="1"/>
  <c r="BS77" i="1" s="1"/>
  <c r="BP77" i="1"/>
  <c r="BQ77" i="1" s="1"/>
  <c r="AC77" i="1"/>
  <c r="AB77" i="1"/>
  <c r="AD77" i="1" s="1"/>
  <c r="Z77" i="1"/>
  <c r="U77" i="1"/>
  <c r="V77" i="1" s="1"/>
  <c r="BR76" i="1"/>
  <c r="BS76" i="1" s="1"/>
  <c r="BP76" i="1"/>
  <c r="BQ76" i="1" s="1"/>
  <c r="AD76" i="1"/>
  <c r="AC76" i="1"/>
  <c r="Z76" i="1"/>
  <c r="V76" i="1"/>
  <c r="BR75" i="1"/>
  <c r="BS75" i="1" s="1"/>
  <c r="BP75" i="1"/>
  <c r="BQ75" i="1" s="1"/>
  <c r="AD75" i="1"/>
  <c r="AC75" i="1"/>
  <c r="U75" i="1"/>
  <c r="V75" i="1" s="1"/>
  <c r="BR74" i="1"/>
  <c r="BS74" i="1" s="1"/>
  <c r="BP74" i="1"/>
  <c r="BQ74" i="1" s="1"/>
  <c r="AD74" i="1"/>
  <c r="AC74" i="1"/>
  <c r="V74" i="1"/>
  <c r="BR73" i="1"/>
  <c r="BS73" i="1" s="1"/>
  <c r="BP73" i="1"/>
  <c r="BQ73" i="1" s="1"/>
  <c r="AC73" i="1"/>
  <c r="AB73" i="1"/>
  <c r="AD73" i="1" s="1"/>
  <c r="U73" i="1"/>
  <c r="V73" i="1" s="1"/>
  <c r="BR72" i="1"/>
  <c r="BS72" i="1" s="1"/>
  <c r="BP72" i="1"/>
  <c r="BQ72" i="1" s="1"/>
  <c r="AC72" i="1"/>
  <c r="AB72" i="1"/>
  <c r="AD72" i="1" s="1"/>
  <c r="U72" i="1"/>
  <c r="V72" i="1" s="1"/>
  <c r="BR71" i="1"/>
  <c r="BS71" i="1" s="1"/>
  <c r="BP71" i="1"/>
  <c r="BQ71" i="1" s="1"/>
  <c r="AC71" i="1"/>
  <c r="AB71" i="1"/>
  <c r="AD71" i="1" s="1"/>
  <c r="T71" i="1"/>
  <c r="BR70" i="1"/>
  <c r="BS70" i="1" s="1"/>
  <c r="BP70" i="1"/>
  <c r="BQ70" i="1" s="1"/>
  <c r="AC70" i="1"/>
  <c r="AB70" i="1"/>
  <c r="AD70" i="1" s="1"/>
  <c r="Z70" i="1"/>
  <c r="S70" i="1"/>
  <c r="T70" i="1" s="1"/>
  <c r="BR69" i="1"/>
  <c r="BS69" i="1" s="1"/>
  <c r="BP69" i="1"/>
  <c r="BQ69" i="1" s="1"/>
  <c r="AD69" i="1"/>
  <c r="AC69" i="1"/>
  <c r="X69" i="1"/>
  <c r="S69" i="1"/>
  <c r="T69" i="1" s="1"/>
  <c r="BR68" i="1"/>
  <c r="BS68" i="1" s="1"/>
  <c r="BP68" i="1"/>
  <c r="BQ68" i="1" s="1"/>
  <c r="AD68" i="1"/>
  <c r="AC68" i="1"/>
  <c r="Z68" i="1"/>
  <c r="S68" i="1"/>
  <c r="T68" i="1" s="1"/>
  <c r="BR67" i="1"/>
  <c r="BS67" i="1" s="1"/>
  <c r="BP67" i="1"/>
  <c r="BQ67" i="1" s="1"/>
  <c r="AD67" i="1"/>
  <c r="AC67" i="1"/>
  <c r="S67" i="1"/>
  <c r="T67" i="1" s="1"/>
  <c r="BR66" i="1"/>
  <c r="BS66" i="1" s="1"/>
  <c r="BP66" i="1"/>
  <c r="BQ66" i="1" s="1"/>
  <c r="AD66" i="1"/>
  <c r="AC66" i="1"/>
  <c r="Z66" i="1"/>
  <c r="S66" i="1"/>
  <c r="T66" i="1" s="1"/>
  <c r="BR65" i="1"/>
  <c r="BS65" i="1" s="1"/>
  <c r="BP65" i="1"/>
  <c r="BQ65" i="1" s="1"/>
  <c r="AC65" i="1"/>
  <c r="AB65" i="1"/>
  <c r="AD65" i="1" s="1"/>
  <c r="Z65" i="1"/>
  <c r="V65" i="1"/>
  <c r="T65" i="1"/>
  <c r="BR64" i="1"/>
  <c r="BS64" i="1" s="1"/>
  <c r="BP64" i="1"/>
  <c r="BQ64" i="1" s="1"/>
  <c r="AD64" i="1"/>
  <c r="AC64" i="1"/>
  <c r="T64" i="1"/>
  <c r="BR63" i="1"/>
  <c r="BS63" i="1" s="1"/>
  <c r="BP63" i="1"/>
  <c r="BQ63" i="1" s="1"/>
  <c r="AD63" i="1"/>
  <c r="AC63" i="1"/>
  <c r="Z63" i="1"/>
  <c r="T63" i="1"/>
  <c r="BR62" i="1"/>
  <c r="BS62" i="1" s="1"/>
  <c r="BP62" i="1"/>
  <c r="BQ62" i="1" s="1"/>
  <c r="AD62" i="1"/>
  <c r="AC62" i="1"/>
  <c r="T62" i="1"/>
  <c r="BR61" i="1"/>
  <c r="BS61" i="1" s="1"/>
  <c r="BP61" i="1"/>
  <c r="BQ61" i="1" s="1"/>
  <c r="AD61" i="1"/>
  <c r="AC61" i="1"/>
  <c r="Z61" i="1"/>
  <c r="T61" i="1"/>
  <c r="BR60" i="1"/>
  <c r="BS60" i="1" s="1"/>
  <c r="BP60" i="1"/>
  <c r="BQ60" i="1" s="1"/>
  <c r="AC60" i="1"/>
  <c r="AB60" i="1"/>
  <c r="AD60" i="1" s="1"/>
  <c r="T60" i="1"/>
  <c r="BR59" i="1"/>
  <c r="BS59" i="1" s="1"/>
  <c r="BP59" i="1"/>
  <c r="BQ59" i="1" s="1"/>
  <c r="AC59" i="1"/>
  <c r="AB59" i="1"/>
  <c r="AD59" i="1" s="1"/>
  <c r="T59" i="1"/>
  <c r="BR58" i="1"/>
  <c r="BS58" i="1" s="1"/>
  <c r="BP58" i="1"/>
  <c r="BQ58" i="1" s="1"/>
  <c r="AC58" i="1"/>
  <c r="AB58" i="1"/>
  <c r="AD58" i="1" s="1"/>
  <c r="T58" i="1"/>
  <c r="BR57" i="1"/>
  <c r="BS57" i="1" s="1"/>
  <c r="BP57" i="1"/>
  <c r="BQ57" i="1" s="1"/>
  <c r="AC57" i="1"/>
  <c r="AB57" i="1"/>
  <c r="AD57" i="1" s="1"/>
  <c r="T57" i="1"/>
  <c r="BR56" i="1"/>
  <c r="BS56" i="1" s="1"/>
  <c r="BP56" i="1"/>
  <c r="BQ56" i="1" s="1"/>
  <c r="AC56" i="1"/>
  <c r="AB56" i="1"/>
  <c r="AD56" i="1" s="1"/>
  <c r="Z56" i="1"/>
  <c r="V56" i="1"/>
  <c r="S56" i="1"/>
  <c r="T56" i="1" s="1"/>
  <c r="BR55" i="1"/>
  <c r="BS55" i="1" s="1"/>
  <c r="BP55" i="1"/>
  <c r="BQ55" i="1" s="1"/>
  <c r="AC55" i="1"/>
  <c r="AB55" i="1"/>
  <c r="AD55" i="1" s="1"/>
  <c r="T55" i="1"/>
  <c r="BR54" i="1"/>
  <c r="BS54" i="1" s="1"/>
  <c r="BP54" i="1"/>
  <c r="BQ54" i="1" s="1"/>
  <c r="AD54" i="1"/>
  <c r="AC54" i="1"/>
  <c r="Q54" i="1"/>
  <c r="R54" i="1" s="1"/>
  <c r="BR53" i="1"/>
  <c r="BS53" i="1" s="1"/>
  <c r="BP53" i="1"/>
  <c r="BQ53" i="1" s="1"/>
  <c r="AD53" i="1"/>
  <c r="AC53" i="1"/>
  <c r="Q53" i="1"/>
  <c r="R53" i="1" s="1"/>
  <c r="BR52" i="1"/>
  <c r="BS52" i="1" s="1"/>
  <c r="BP52" i="1"/>
  <c r="BQ52" i="1" s="1"/>
  <c r="AC52" i="1"/>
  <c r="AB52" i="1"/>
  <c r="AD52" i="1" s="1"/>
  <c r="Z52" i="1"/>
  <c r="Q52" i="1"/>
  <c r="R52" i="1" s="1"/>
  <c r="BR51" i="1"/>
  <c r="BS51" i="1" s="1"/>
  <c r="BP51" i="1"/>
  <c r="BQ51" i="1" s="1"/>
  <c r="AC51" i="1"/>
  <c r="AB51" i="1"/>
  <c r="AD51" i="1" s="1"/>
  <c r="Q51" i="1"/>
  <c r="R51" i="1" s="1"/>
  <c r="BR50" i="1"/>
  <c r="BS50" i="1" s="1"/>
  <c r="BP50" i="1"/>
  <c r="BQ50" i="1" s="1"/>
  <c r="AD50" i="1"/>
  <c r="AC50" i="1"/>
  <c r="Q50" i="1"/>
  <c r="R50" i="1" s="1"/>
  <c r="BR49" i="1"/>
  <c r="BS49" i="1" s="1"/>
  <c r="BP49" i="1"/>
  <c r="BQ49" i="1" s="1"/>
  <c r="AD49" i="1"/>
  <c r="AC49" i="1"/>
  <c r="Q49" i="1"/>
  <c r="R49" i="1" s="1"/>
  <c r="BR48" i="1"/>
  <c r="BS48" i="1" s="1"/>
  <c r="BP48" i="1"/>
  <c r="BQ48" i="1" s="1"/>
  <c r="AD48" i="1"/>
  <c r="AC48" i="1"/>
  <c r="Q48" i="1"/>
  <c r="R48" i="1" s="1"/>
  <c r="BR47" i="1"/>
  <c r="BS47" i="1" s="1"/>
  <c r="BP47" i="1"/>
  <c r="BQ47" i="1" s="1"/>
  <c r="AD47" i="1"/>
  <c r="AC47" i="1"/>
  <c r="Q47" i="1"/>
  <c r="R47" i="1" s="1"/>
  <c r="BR46" i="1"/>
  <c r="BS46" i="1" s="1"/>
  <c r="BP46" i="1"/>
  <c r="BQ46" i="1" s="1"/>
  <c r="AD46" i="1"/>
  <c r="AC46" i="1"/>
  <c r="Q46" i="1"/>
  <c r="R46" i="1" s="1"/>
  <c r="BR45" i="1"/>
  <c r="BS45" i="1" s="1"/>
  <c r="BP45" i="1"/>
  <c r="BQ45" i="1" s="1"/>
  <c r="AD45" i="1"/>
  <c r="AC45" i="1"/>
  <c r="Q45" i="1"/>
  <c r="R45" i="1" s="1"/>
  <c r="G45" i="1"/>
  <c r="BR44" i="1"/>
  <c r="BS44" i="1" s="1"/>
  <c r="BP44" i="1"/>
  <c r="BQ44" i="1" s="1"/>
  <c r="AD44" i="1"/>
  <c r="AC44" i="1"/>
  <c r="Q44" i="1"/>
  <c r="R44" i="1" s="1"/>
  <c r="BR43" i="1"/>
  <c r="BS43" i="1" s="1"/>
  <c r="BP43" i="1"/>
  <c r="BQ43" i="1" s="1"/>
  <c r="AD43" i="1"/>
  <c r="AC43" i="1"/>
  <c r="Q43" i="1"/>
  <c r="R43" i="1" s="1"/>
  <c r="BR42" i="1"/>
  <c r="BS42" i="1" s="1"/>
  <c r="BP42" i="1"/>
  <c r="BQ42" i="1" s="1"/>
  <c r="AD42" i="1"/>
  <c r="AC42" i="1"/>
  <c r="Q42" i="1"/>
  <c r="R42" i="1" s="1"/>
  <c r="BR41" i="1"/>
  <c r="BS41" i="1" s="1"/>
  <c r="BP41" i="1"/>
  <c r="BQ41" i="1" s="1"/>
  <c r="AD41" i="1"/>
  <c r="AC41" i="1"/>
  <c r="Q41" i="1"/>
  <c r="R41" i="1" s="1"/>
  <c r="BR40" i="1"/>
  <c r="BS40" i="1" s="1"/>
  <c r="BP40" i="1"/>
  <c r="BQ40" i="1" s="1"/>
  <c r="AC40" i="1"/>
  <c r="AB40" i="1"/>
  <c r="AD40" i="1" s="1"/>
  <c r="Q40" i="1"/>
  <c r="R40" i="1" s="1"/>
  <c r="BR39" i="1"/>
  <c r="BS39" i="1" s="1"/>
  <c r="BP39" i="1"/>
  <c r="BQ39" i="1" s="1"/>
  <c r="AD39" i="1"/>
  <c r="AC39" i="1"/>
  <c r="Q39" i="1"/>
  <c r="R39" i="1" s="1"/>
  <c r="BR38" i="1"/>
  <c r="BS38" i="1" s="1"/>
  <c r="BP38" i="1"/>
  <c r="BQ38" i="1" s="1"/>
  <c r="AC38" i="1"/>
  <c r="AB38" i="1"/>
  <c r="AD38" i="1" s="1"/>
  <c r="Z38" i="1"/>
  <c r="T38" i="1"/>
  <c r="S38" i="1"/>
  <c r="Q38" i="1"/>
  <c r="R38" i="1" s="1"/>
  <c r="BR37" i="1"/>
  <c r="BS37" i="1" s="1"/>
  <c r="BP37" i="1"/>
  <c r="BQ37" i="1" s="1"/>
  <c r="AC37" i="1"/>
  <c r="AB37" i="1"/>
  <c r="AD37" i="1" s="1"/>
  <c r="R37" i="1"/>
  <c r="BR36" i="1"/>
  <c r="BS36" i="1" s="1"/>
  <c r="BP36" i="1"/>
  <c r="BQ36" i="1" s="1"/>
  <c r="AD36" i="1"/>
  <c r="AC36" i="1"/>
  <c r="Q36" i="1"/>
  <c r="R36" i="1" s="1"/>
  <c r="BR35" i="1"/>
  <c r="BS35" i="1" s="1"/>
  <c r="BP35" i="1"/>
  <c r="BQ35" i="1" s="1"/>
  <c r="AC35" i="1"/>
  <c r="AB35" i="1"/>
  <c r="AD35" i="1" s="1"/>
  <c r="Z35" i="1"/>
  <c r="Q35" i="1"/>
  <c r="R35" i="1" s="1"/>
  <c r="BR34" i="1"/>
  <c r="BS34" i="1" s="1"/>
  <c r="BP34" i="1"/>
  <c r="BQ34" i="1" s="1"/>
  <c r="AC34" i="1"/>
  <c r="AB34" i="1"/>
  <c r="AD34" i="1" s="1"/>
  <c r="Z34" i="1"/>
  <c r="P34" i="1"/>
  <c r="BR33" i="1"/>
  <c r="BS33" i="1" s="1"/>
  <c r="BP33" i="1"/>
  <c r="BQ33" i="1" s="1"/>
  <c r="AC33" i="1"/>
  <c r="AB33" i="1"/>
  <c r="AD33" i="1" s="1"/>
  <c r="P33" i="1"/>
  <c r="BR32" i="1"/>
  <c r="BS32" i="1" s="1"/>
  <c r="BP32" i="1"/>
  <c r="BQ32" i="1" s="1"/>
  <c r="AD32" i="1"/>
  <c r="AC32" i="1"/>
  <c r="Z32" i="1"/>
  <c r="P32" i="1"/>
  <c r="BR31" i="1"/>
  <c r="BS31" i="1" s="1"/>
  <c r="BP31" i="1"/>
  <c r="BQ31" i="1" s="1"/>
  <c r="AD31" i="1"/>
  <c r="AC31" i="1"/>
  <c r="S31" i="1"/>
  <c r="T31" i="1" s="1"/>
  <c r="P31" i="1"/>
  <c r="BR30" i="1"/>
  <c r="BS30" i="1" s="1"/>
  <c r="BP30" i="1"/>
  <c r="BQ30" i="1" s="1"/>
  <c r="AD30" i="1"/>
  <c r="AC30" i="1"/>
  <c r="P30" i="1"/>
  <c r="BR29" i="1"/>
  <c r="BS29" i="1" s="1"/>
  <c r="BP29" i="1"/>
  <c r="BQ29" i="1" s="1"/>
  <c r="AC29" i="1"/>
  <c r="AB29" i="1"/>
  <c r="AD29" i="1" s="1"/>
  <c r="Z29" i="1"/>
  <c r="P29" i="1"/>
  <c r="BR28" i="1"/>
  <c r="BS28" i="1" s="1"/>
  <c r="BP28" i="1"/>
  <c r="BQ28" i="1" s="1"/>
  <c r="AC28" i="1"/>
  <c r="AB28" i="1"/>
  <c r="AD28" i="1" s="1"/>
  <c r="P28" i="1"/>
  <c r="BR27" i="1"/>
  <c r="BS27" i="1" s="1"/>
  <c r="BP27" i="1"/>
  <c r="BQ27" i="1" s="1"/>
  <c r="AD27" i="1"/>
  <c r="AC27" i="1"/>
  <c r="P27" i="1"/>
  <c r="BR26" i="1"/>
  <c r="BS26" i="1" s="1"/>
  <c r="BP26" i="1"/>
  <c r="BQ26" i="1" s="1"/>
  <c r="AC26" i="1"/>
  <c r="AB26" i="1"/>
  <c r="AD26" i="1" s="1"/>
  <c r="Z26" i="1"/>
  <c r="S26" i="1"/>
  <c r="T26" i="1" s="1"/>
  <c r="P26" i="1"/>
  <c r="BR25" i="1"/>
  <c r="BS25" i="1" s="1"/>
  <c r="BP25" i="1"/>
  <c r="BQ25" i="1" s="1"/>
  <c r="AC25" i="1"/>
  <c r="AB25" i="1"/>
  <c r="AD25" i="1" s="1"/>
  <c r="T25" i="1"/>
  <c r="P25" i="1"/>
  <c r="BR24" i="1"/>
  <c r="BS24" i="1" s="1"/>
  <c r="BP24" i="1"/>
  <c r="BQ24" i="1" s="1"/>
  <c r="AC24" i="1"/>
  <c r="AB24" i="1"/>
  <c r="AD24" i="1" s="1"/>
  <c r="P24" i="1"/>
  <c r="BR23" i="1"/>
  <c r="BS23" i="1" s="1"/>
  <c r="BP23" i="1"/>
  <c r="BQ23" i="1" s="1"/>
  <c r="AD23" i="1"/>
  <c r="AC23" i="1"/>
  <c r="O23" i="1"/>
  <c r="P23" i="1" s="1"/>
  <c r="BR22" i="1"/>
  <c r="BS22" i="1" s="1"/>
  <c r="BP22" i="1"/>
  <c r="BQ22" i="1" s="1"/>
  <c r="AC22" i="1"/>
  <c r="AB22" i="1"/>
  <c r="AD22" i="1" s="1"/>
  <c r="P22" i="1"/>
  <c r="BR21" i="1"/>
  <c r="BS21" i="1" s="1"/>
  <c r="BP21" i="1"/>
  <c r="BQ21" i="1" s="1"/>
  <c r="AC21" i="1"/>
  <c r="AB21" i="1"/>
  <c r="AD21" i="1" s="1"/>
  <c r="O21" i="1"/>
  <c r="P21" i="1" s="1"/>
  <c r="BR20" i="1"/>
  <c r="BS20" i="1" s="1"/>
  <c r="BP20" i="1"/>
  <c r="BQ20" i="1" s="1"/>
  <c r="AD20" i="1"/>
  <c r="AC20" i="1"/>
  <c r="O20" i="1"/>
  <c r="P20" i="1" s="1"/>
  <c r="BR19" i="1"/>
  <c r="BS19" i="1" s="1"/>
  <c r="BP19" i="1"/>
  <c r="BQ19" i="1" s="1"/>
  <c r="AD19" i="1"/>
  <c r="AC19" i="1"/>
  <c r="P19" i="1"/>
  <c r="BR18" i="1"/>
  <c r="BS18" i="1" s="1"/>
  <c r="BP18" i="1"/>
  <c r="BQ18" i="1" s="1"/>
  <c r="AD18" i="1"/>
  <c r="AC18" i="1"/>
  <c r="O18" i="1"/>
  <c r="F18" i="1"/>
  <c r="BR17" i="1"/>
  <c r="BS17" i="1" s="1"/>
  <c r="BP17" i="1"/>
  <c r="BQ17" i="1" s="1"/>
  <c r="AD17" i="1"/>
  <c r="AC17" i="1"/>
  <c r="O17" i="1"/>
  <c r="P17" i="1" s="1"/>
  <c r="BR16" i="1"/>
  <c r="BS16" i="1" s="1"/>
  <c r="BP16" i="1"/>
  <c r="BQ16" i="1" s="1"/>
  <c r="AD16" i="1"/>
  <c r="AC16" i="1"/>
  <c r="P16" i="1"/>
  <c r="BR15" i="1"/>
  <c r="BS15" i="1" s="1"/>
  <c r="BP15" i="1"/>
  <c r="BQ15" i="1" s="1"/>
  <c r="AD15" i="1"/>
  <c r="AC15" i="1"/>
  <c r="P15" i="1"/>
  <c r="BR14" i="1"/>
  <c r="BS14" i="1" s="1"/>
  <c r="BP14" i="1"/>
  <c r="BQ14" i="1" s="1"/>
  <c r="AC14" i="1"/>
  <c r="AB14" i="1"/>
  <c r="AD14" i="1" s="1"/>
  <c r="P14" i="1"/>
  <c r="BR13" i="1"/>
  <c r="BS13" i="1" s="1"/>
  <c r="BP13" i="1"/>
  <c r="BQ13" i="1" s="1"/>
  <c r="AC13" i="1"/>
  <c r="AB13" i="1"/>
  <c r="AD13" i="1" s="1"/>
  <c r="O13" i="1"/>
  <c r="P13" i="1" s="1"/>
  <c r="BR12" i="1"/>
  <c r="BS12" i="1" s="1"/>
  <c r="BP12" i="1"/>
  <c r="BQ12" i="1" s="1"/>
  <c r="AC12" i="1"/>
  <c r="AB12" i="1"/>
  <c r="AD12" i="1" s="1"/>
  <c r="Z12" i="1"/>
  <c r="T12" i="1"/>
  <c r="O12" i="1"/>
  <c r="P12" i="1" s="1"/>
  <c r="BR11" i="1"/>
  <c r="BS11" i="1" s="1"/>
  <c r="BP11" i="1"/>
  <c r="BQ11" i="1" s="1"/>
  <c r="AC11" i="1"/>
  <c r="AB11" i="1"/>
  <c r="AD11" i="1" s="1"/>
  <c r="O11" i="1"/>
  <c r="P11" i="1" s="1"/>
  <c r="BR10" i="1"/>
  <c r="BS10" i="1" s="1"/>
  <c r="BP10" i="1"/>
  <c r="BQ10" i="1" s="1"/>
  <c r="AC10" i="1"/>
  <c r="AB10" i="1"/>
  <c r="AD10" i="1" s="1"/>
  <c r="M10" i="1"/>
  <c r="N10" i="1" s="1"/>
  <c r="BP9" i="1"/>
  <c r="BQ9" i="1" s="1"/>
  <c r="AM9" i="1"/>
  <c r="BR9" i="1" s="1"/>
  <c r="BS9" i="1" s="1"/>
  <c r="AD9" i="1"/>
  <c r="AC9" i="1"/>
  <c r="M9" i="1"/>
  <c r="N9" i="1" s="1"/>
  <c r="BR8" i="1"/>
  <c r="BS8" i="1" s="1"/>
  <c r="BP8" i="1"/>
  <c r="BQ8" i="1" s="1"/>
  <c r="AC8" i="1"/>
  <c r="AB8" i="1"/>
  <c r="AD8" i="1" s="1"/>
  <c r="O8" i="1"/>
  <c r="P8" i="1" s="1"/>
  <c r="N8" i="1"/>
  <c r="BR7" i="1"/>
  <c r="BS7" i="1" s="1"/>
  <c r="BP7" i="1"/>
  <c r="BQ7" i="1" s="1"/>
  <c r="AD7" i="1"/>
  <c r="AC7" i="1"/>
  <c r="R7" i="1"/>
  <c r="N7" i="1"/>
  <c r="BR6" i="1"/>
  <c r="BS6" i="1" s="1"/>
  <c r="BP6" i="1"/>
  <c r="BQ6" i="1" s="1"/>
  <c r="AD6" i="1"/>
  <c r="AC6" i="1"/>
  <c r="R6" i="1"/>
  <c r="M6" i="1"/>
  <c r="N6" i="1" s="1"/>
  <c r="AM5" i="1"/>
  <c r="AL5" i="1" s="1"/>
  <c r="BP5" i="1" s="1"/>
  <c r="BQ5" i="1" s="1"/>
  <c r="AC5" i="1"/>
  <c r="AB5" i="1"/>
  <c r="AD5" i="1" s="1"/>
  <c r="Z5" i="1"/>
  <c r="T5" i="1"/>
  <c r="Q5" i="1"/>
  <c r="R5" i="1" s="1"/>
  <c r="L5" i="1"/>
  <c r="L4" i="1" s="1"/>
  <c r="J4" i="1"/>
  <c r="H4" i="1"/>
  <c r="BO3" i="1"/>
  <c r="BM3" i="1"/>
  <c r="BK3" i="1"/>
  <c r="BI3" i="1"/>
  <c r="BG3" i="1"/>
  <c r="BE3" i="1"/>
  <c r="BC3" i="1"/>
  <c r="BA3" i="1"/>
  <c r="AY3" i="1"/>
  <c r="AW3" i="1"/>
  <c r="AU3" i="1"/>
  <c r="AS3" i="1"/>
  <c r="AQ3" i="1"/>
  <c r="AO3" i="1"/>
  <c r="AK3" i="1"/>
  <c r="AI3" i="1"/>
  <c r="AG3" i="1"/>
  <c r="AD162" i="1" l="1"/>
  <c r="BR5" i="1"/>
  <c r="BS5" i="1" s="1"/>
  <c r="AB106" i="1"/>
  <c r="AD106" i="1" s="1"/>
  <c r="AD159" i="1"/>
  <c r="V4" i="1"/>
  <c r="BP167" i="1"/>
  <c r="BQ167" i="1" s="1"/>
  <c r="Z4" i="1"/>
  <c r="Z119" i="1"/>
  <c r="AB119" i="1"/>
  <c r="V162" i="1"/>
  <c r="AC107" i="1"/>
  <c r="AC110" i="1"/>
  <c r="P18" i="1"/>
  <c r="P4" i="1" s="1"/>
  <c r="N4" i="1"/>
  <c r="T4" i="1"/>
  <c r="V119" i="1"/>
  <c r="R4" i="1"/>
  <c r="AD107" i="1"/>
  <c r="AD122" i="1"/>
  <c r="AD119" i="1" s="1"/>
  <c r="G119" i="1" s="1"/>
  <c r="AB108" i="1"/>
  <c r="AD108" i="1" s="1"/>
  <c r="AM3" i="1"/>
  <c r="X142" i="1"/>
  <c r="X119" i="1" s="1"/>
  <c r="AD4" i="1" l="1"/>
  <c r="G4" i="1" s="1"/>
  <c r="AB4" i="1"/>
</calcChain>
</file>

<file path=xl/sharedStrings.xml><?xml version="1.0" encoding="utf-8"?>
<sst xmlns="http://schemas.openxmlformats.org/spreadsheetml/2006/main" count="1572" uniqueCount="664">
  <si>
    <t>Item/ 
STT</t>
  </si>
  <si>
    <t>Description/ 
Chi tiết</t>
  </si>
  <si>
    <t>Profile/ Vật tư</t>
  </si>
  <si>
    <t>Grade/ Mác vật liệu</t>
  </si>
  <si>
    <t>Unit/ Đơn vị</t>
  </si>
  <si>
    <t>U.Weight/ Đ.Trọng (Kg/m2,m,pcs)</t>
  </si>
  <si>
    <t>Net Quantity/
Số lượng tinh</t>
  </si>
  <si>
    <t>Previous Ordered/
Đã dự trù</t>
  </si>
  <si>
    <t>Current Ordered/
Dự trù lần 0</t>
  </si>
  <si>
    <t>Current Ordered/
Dự trù lần 1</t>
  </si>
  <si>
    <t>Current Ordered/
Dự trù lần 2</t>
  </si>
  <si>
    <t>Current Ordered/
Dự trù lần 3</t>
  </si>
  <si>
    <t>Current Ordered/
Dự trù lần 4</t>
  </si>
  <si>
    <t>Current Ordered/
Dự trù lần 5</t>
  </si>
  <si>
    <t>Current Ordered/
Dự trù lần 6</t>
  </si>
  <si>
    <t>Current Ordered/
Dự trù lần 7</t>
  </si>
  <si>
    <t>Current Ordered/
Dự trù lần 8</t>
  </si>
  <si>
    <t>Total Ordered/
Tổng dự trù</t>
  </si>
  <si>
    <t>Remarks/ Ghi chú</t>
  </si>
  <si>
    <t>VẬT TƯ INLET U1</t>
  </si>
  <si>
    <t>VẬT TƯ SCR-U1</t>
  </si>
  <si>
    <t>VẬT TƯ BURNER-U1</t>
  </si>
  <si>
    <t>VẬT TƯ BASE PLATE+STACK TEMPLATE-U1</t>
  </si>
  <si>
    <t>VẬT TƯ OUTLET DUCT-U1</t>
  </si>
  <si>
    <t>VẬT TƯ TOP BEAM-U1</t>
  </si>
  <si>
    <t>VẬT TƯ BOX 1-U1</t>
  </si>
  <si>
    <t>VẬT TƯ BOX 2-U1</t>
  </si>
  <si>
    <t>VẬT TƯ BOX 3-U1</t>
  </si>
  <si>
    <t>VẬT TƯ BOX 4-U1</t>
  </si>
  <si>
    <t>VẬT TƯ BOX5-U1</t>
  </si>
  <si>
    <t>VẬT TƯ BOX6-U1</t>
  </si>
  <si>
    <t>VẬT TƯ STACK-U1</t>
  </si>
  <si>
    <t>VẬT TƯ STAIR TOWER-U1</t>
  </si>
  <si>
    <t>VẬT TƯ BUMPER-U1</t>
  </si>
  <si>
    <t>VẬT TƯ SCR BAFER-FRAME-U1</t>
  </si>
  <si>
    <t>VẬT TƯ ATTIC-BASEMENT PANEL-U1</t>
  </si>
  <si>
    <t>FIELD INSTALLED TOP SPOOL-U1</t>
  </si>
  <si>
    <t>QTY/1U</t>
  </si>
  <si>
    <t>QTY/2U</t>
  </si>
  <si>
    <t>WEIGHT/1U</t>
  </si>
  <si>
    <t>WEIGHT/2U</t>
  </si>
  <si>
    <t>Q.Ty/
Số lượng</t>
  </si>
  <si>
    <t>Weight/
Khối lượng (Kg)</t>
  </si>
  <si>
    <t>Q.Ty/ 
Số lượng</t>
  </si>
  <si>
    <t>Q.Ty/Số lượng</t>
  </si>
  <si>
    <t>Weight/Khối lượng (Kg)</t>
  </si>
  <si>
    <t>Q.Ty/
Số lượng(cái,m,m2)</t>
  </si>
  <si>
    <t>VTC01</t>
  </si>
  <si>
    <t>Main-Material /  Vật tư chính thép đen</t>
  </si>
  <si>
    <t>I95-VTC01-001</t>
  </si>
  <si>
    <t>Tôn tấm</t>
  </si>
  <si>
    <t>PL10x2000X12000</t>
  </si>
  <si>
    <t>SS400</t>
  </si>
  <si>
    <t>m2</t>
  </si>
  <si>
    <t>REV8-IBS REV</t>
  </si>
  <si>
    <t>I95-VTC01-002</t>
  </si>
  <si>
    <t>PL1.5x1250X2500</t>
  </si>
  <si>
    <t>A572-GR50</t>
  </si>
  <si>
    <t>REV3-KHÁCH HÀNG REV</t>
  </si>
  <si>
    <t>I95-VTC01-003</t>
  </si>
  <si>
    <t>PL3X1500X6000</t>
  </si>
  <si>
    <t>I95-VTC01-004</t>
  </si>
  <si>
    <t>PL25x2000x12000</t>
  </si>
  <si>
    <t>I95-VTC01-005</t>
  </si>
  <si>
    <t>PL42x2000x7500</t>
  </si>
  <si>
    <t>REV1-IBS REV</t>
  </si>
  <si>
    <t>I95-VTC01-006</t>
  </si>
  <si>
    <t>PL55x2000x12000</t>
  </si>
  <si>
    <t>I95-VTC01-007</t>
  </si>
  <si>
    <t>PL6X2000X CUỘN</t>
  </si>
  <si>
    <t>I95-VTC01-008</t>
  </si>
  <si>
    <t>PL12X2000X12000</t>
  </si>
  <si>
    <t>I95-VTC01-009</t>
  </si>
  <si>
    <t>PL16X2000X12000</t>
  </si>
  <si>
    <t>I95-VTC01-010</t>
  </si>
  <si>
    <t>PL20X2000X12000</t>
  </si>
  <si>
    <t>I95-VTC01-011</t>
  </si>
  <si>
    <t>PL28X2000X6000</t>
  </si>
  <si>
    <t>REV2-IBS REV</t>
  </si>
  <si>
    <t>I95-VTC01-012</t>
  </si>
  <si>
    <t>PL50X2000X9000</t>
  </si>
  <si>
    <t>I95-VTC01-013</t>
  </si>
  <si>
    <t>I95-VTC01-014</t>
  </si>
  <si>
    <r>
      <t>PL</t>
    </r>
    <r>
      <rPr>
        <sz val="12"/>
        <color rgb="FFFF0000"/>
        <rFont val="Calibri"/>
        <family val="2"/>
        <scheme val="minor"/>
      </rPr>
      <t>20</t>
    </r>
    <r>
      <rPr>
        <sz val="12"/>
        <color theme="1"/>
        <rFont val="Calibri"/>
        <family val="2"/>
        <scheme val="minor"/>
      </rPr>
      <t>X2000X12000</t>
    </r>
  </si>
  <si>
    <t>I95-VTC01-015</t>
  </si>
  <si>
    <t>I95-VTC01-016</t>
  </si>
  <si>
    <t>PL32X2000X12000</t>
  </si>
  <si>
    <t>I95-VTC01-017</t>
  </si>
  <si>
    <t>PL38X2000X12000</t>
  </si>
  <si>
    <t>I95-VTC01-018</t>
  </si>
  <si>
    <t>PL50X2000X3000</t>
  </si>
  <si>
    <t>I95-VTC01-019</t>
  </si>
  <si>
    <t>PL60X2000X12000</t>
  </si>
  <si>
    <t>I95-VTC01-020</t>
  </si>
  <si>
    <t>PL65X2000X6000</t>
  </si>
  <si>
    <t>I95-VTC01-021</t>
  </si>
  <si>
    <t>Thép hình C</t>
  </si>
  <si>
    <t>C150X75X6.5X10-12000L</t>
  </si>
  <si>
    <t>m</t>
  </si>
  <si>
    <t>I95-VTC01-022</t>
  </si>
  <si>
    <t>C200X80X7.5X11-12000L</t>
  </si>
  <si>
    <t>I95-VTC01-023</t>
  </si>
  <si>
    <t>Thép hình H</t>
  </si>
  <si>
    <t>H200X200X8X12-12000L</t>
  </si>
  <si>
    <t>I95-VTC01-024</t>
  </si>
  <si>
    <t>H294X200X8X12-12000L</t>
  </si>
  <si>
    <t>I95-VTC01-025</t>
  </si>
  <si>
    <t>H300X150X6.5X9-12000L</t>
  </si>
  <si>
    <t>I95-VTC01-026</t>
  </si>
  <si>
    <t>H340X250X9X14-12000L</t>
  </si>
  <si>
    <t>I95-VTC01-027</t>
  </si>
  <si>
    <t>H600X200X11X17-12000L</t>
  </si>
  <si>
    <t>REV4-IBS REV</t>
  </si>
  <si>
    <t>I95-VTC01-028</t>
  </si>
  <si>
    <t>Thép hình L</t>
  </si>
  <si>
    <t>L100X100X7-12000L</t>
  </si>
  <si>
    <t>REV7-IBSREV</t>
  </si>
  <si>
    <t>I95-VTC01-029</t>
  </si>
  <si>
    <t>L120X120X8-12000L</t>
  </si>
  <si>
    <t>I95-VTC01-030</t>
  </si>
  <si>
    <t>L90X90X6-12000L</t>
  </si>
  <si>
    <t>I95-VTC01-031</t>
  </si>
  <si>
    <t>L150X150X12-12000L</t>
  </si>
  <si>
    <t>I95-VTC01-032</t>
  </si>
  <si>
    <t>L100X100X12-12000L</t>
  </si>
  <si>
    <t>REV3-IBS REV</t>
  </si>
  <si>
    <t>I95-VTC01-033</t>
  </si>
  <si>
    <t>L200X200X25-12000L</t>
  </si>
  <si>
    <t>I95-VTC01-034</t>
  </si>
  <si>
    <t>C200X90X8X13.5-12000L</t>
  </si>
  <si>
    <t>I95-VTC01-035</t>
  </si>
  <si>
    <t>Tôn tấm cắt bước-stack</t>
  </si>
  <si>
    <t>PL6X2000X11450</t>
  </si>
  <si>
    <t>REV3-IBS REV( 44 tờ PL6X2000X11450)</t>
  </si>
  <si>
    <t>I95-VTC01-036</t>
  </si>
  <si>
    <t>Tôn tấm-cửa stack</t>
  </si>
  <si>
    <t>PL6X2000X12000</t>
  </si>
  <si>
    <t>I95-VTC01-037</t>
  </si>
  <si>
    <t>PL8X2000X11450</t>
  </si>
  <si>
    <t>REV3-IBS REV( 25 tờ PL8X2000X11450)</t>
  </si>
  <si>
    <t>I95-VTC01-038</t>
  </si>
  <si>
    <t>Tôn tấm cắt bước-đáy stack</t>
  </si>
  <si>
    <t>PL8X2000X7400</t>
  </si>
  <si>
    <t>REV3-IBS REV( 4 tờ PL8X2000X7400)</t>
  </si>
  <si>
    <t>I95-VTC01-039</t>
  </si>
  <si>
    <t>PL8X2000X10400</t>
  </si>
  <si>
    <t>REV3-IBS REV( 2 tờ PL8X2000X10400)</t>
  </si>
  <si>
    <t>I95-VTC01-040</t>
  </si>
  <si>
    <t>PL10X2000X11450</t>
  </si>
  <si>
    <t>REV3-IBS REV( 25 tờ PL10X2000X11450)</t>
  </si>
  <si>
    <t>I95-VTC01-041</t>
  </si>
  <si>
    <t>PL12X2000X11450</t>
  </si>
  <si>
    <t>REV3-IBS REV( 04 tờ PL12X2000X11450)</t>
  </si>
  <si>
    <t>I95-VTC01-042</t>
  </si>
  <si>
    <t>PL12X2000X9820</t>
  </si>
  <si>
    <t>REV3-IBS REV( 11 tờ PL12X2000X9820)</t>
  </si>
  <si>
    <t>I95-VTC01-043</t>
  </si>
  <si>
    <t>PL12X2000X7820</t>
  </si>
  <si>
    <t>REV3-IBS REV( 10 tờ PL12X2000X7820)</t>
  </si>
  <si>
    <t>I95-VTC01-044</t>
  </si>
  <si>
    <t>PL16X2000X11450</t>
  </si>
  <si>
    <t>REV3-IBS REV( 12 tờ PL16X2000X11450)</t>
  </si>
  <si>
    <t>I95-VTC01-045</t>
  </si>
  <si>
    <t>PL16X2000X9820</t>
  </si>
  <si>
    <t>REV3-IBS REV( 13 tờ PL16X2000X9820)</t>
  </si>
  <si>
    <t>I95-VTC01-046</t>
  </si>
  <si>
    <t>PL16X2000X7820</t>
  </si>
  <si>
    <t>REV3-IBS REV( 12 tờ PL16X2000X7820)</t>
  </si>
  <si>
    <t>I95-VTC01-047</t>
  </si>
  <si>
    <t>Tôn tấm-stack</t>
  </si>
  <si>
    <t>I95-VTC01-048</t>
  </si>
  <si>
    <t>PL38x2000x12000</t>
  </si>
  <si>
    <t>I95-VTC01-049</t>
  </si>
  <si>
    <t>Tôn tấm-bích đáy stack</t>
  </si>
  <si>
    <t>I95-VTC01-050</t>
  </si>
  <si>
    <t>Tôn tấm-inlet</t>
  </si>
  <si>
    <t>PL10XCUỘN</t>
  </si>
  <si>
    <t>REV3-IBS REV-KHỔ TÔN CẮT SAU</t>
  </si>
  <si>
    <t>I95-VTC01-051</t>
  </si>
  <si>
    <t>L50X50X6-6000L</t>
  </si>
  <si>
    <t>I95-VTC01-052</t>
  </si>
  <si>
    <t>L100X100X10-12000L</t>
  </si>
  <si>
    <t>I95-VTC01-053</t>
  </si>
  <si>
    <t>PL5X1500X6000</t>
  </si>
  <si>
    <t>I95-VTC01-054</t>
  </si>
  <si>
    <t>PL12X2000X1000</t>
  </si>
  <si>
    <t>SM490</t>
  </si>
  <si>
    <t>I95-VTC01-055</t>
  </si>
  <si>
    <t>PL25X2000X2000</t>
  </si>
  <si>
    <t>I95-VTC01-056</t>
  </si>
  <si>
    <t>PL38X2000X3000</t>
  </si>
  <si>
    <t>I95-VTC01-057</t>
  </si>
  <si>
    <t>PL14X2000X12000</t>
  </si>
  <si>
    <t>I95-VTC01-058</t>
  </si>
  <si>
    <t>PL42X2000x4500</t>
  </si>
  <si>
    <t>I95-VTC01-059</t>
  </si>
  <si>
    <t>PL30X2000X6000</t>
  </si>
  <si>
    <t>I95-VTC01-060</t>
  </si>
  <si>
    <t>PL6X1500X2000</t>
  </si>
  <si>
    <t>I95-VTC01-061</t>
  </si>
  <si>
    <t>L75x75x6-12000L</t>
  </si>
  <si>
    <t>I95-VTC01-062</t>
  </si>
  <si>
    <t>L90x90x10-12000L</t>
  </si>
  <si>
    <t>I95-VTC01-063</t>
  </si>
  <si>
    <t>H250X125X6X9-12000L</t>
  </si>
  <si>
    <t>I95-VTC01-064</t>
  </si>
  <si>
    <t>H400X200X8X13-12000L</t>
  </si>
  <si>
    <t>I95-VTC01-065</t>
  </si>
  <si>
    <t>H500X200X10X16-12000L</t>
  </si>
  <si>
    <t>REV6-IBS REV</t>
  </si>
  <si>
    <t>I95-VTC01-066</t>
  </si>
  <si>
    <t>C300X90X9X13-12000L</t>
  </si>
  <si>
    <t>I95-VTC01-067</t>
  </si>
  <si>
    <t>Thép ống</t>
  </si>
  <si>
    <t>CHS88.9X5.49-6000L</t>
  </si>
  <si>
    <t>A106-GRB</t>
  </si>
  <si>
    <t>I95-VTC01-068</t>
  </si>
  <si>
    <t>CHS114.3x6-6000L</t>
  </si>
  <si>
    <t>I95-VTC01-069</t>
  </si>
  <si>
    <t>CHS114.3x8.6-6000L</t>
  </si>
  <si>
    <t>I95-VTC01-070</t>
  </si>
  <si>
    <t>CHS168.3X7.1-6000L</t>
  </si>
  <si>
    <t>REV5-IBS REV</t>
  </si>
  <si>
    <t>I95-VTC01-071</t>
  </si>
  <si>
    <t>H150X150X7X10-12000L</t>
  </si>
  <si>
    <t>I95-VTC01-072</t>
  </si>
  <si>
    <t>I95-VTC01-073</t>
  </si>
  <si>
    <t>H200X200X8X12-6000L</t>
  </si>
  <si>
    <t>I95-VTC01-074</t>
  </si>
  <si>
    <t>L50x50x10-3000L</t>
  </si>
  <si>
    <t>I95-VTC01-075</t>
  </si>
  <si>
    <t>L65X65X8-6000L</t>
  </si>
  <si>
    <t>I95-VTC01-076</t>
  </si>
  <si>
    <t>thép tấm</t>
  </si>
  <si>
    <t>I95-VTC01-077</t>
  </si>
  <si>
    <t>PL8X1500X2000</t>
  </si>
  <si>
    <t>I95-VTC01-078</t>
  </si>
  <si>
    <t>thép tròn</t>
  </si>
  <si>
    <t>RB12-2000L</t>
  </si>
  <si>
    <t>I95-VTC01-079</t>
  </si>
  <si>
    <t>RB13-6000L</t>
  </si>
  <si>
    <t>I95-VTC01-080</t>
  </si>
  <si>
    <t>RB19-6000L</t>
  </si>
  <si>
    <t>I95-VTC01-081</t>
  </si>
  <si>
    <t>RB38-6000L</t>
  </si>
  <si>
    <t>I95-VTC01-082</t>
  </si>
  <si>
    <t>PL10X1500X2000</t>
  </si>
  <si>
    <t>I95-VTC01-083</t>
  </si>
  <si>
    <t>C250X90X9X13-12000L</t>
  </si>
  <si>
    <t>I95-VTC01-084</t>
  </si>
  <si>
    <t>H194X150X6X9-12000L</t>
  </si>
  <si>
    <t>I95-VTC01-085</t>
  </si>
  <si>
    <t>H244X175X7X11-12000L</t>
  </si>
  <si>
    <t>I95-VTC01-086</t>
  </si>
  <si>
    <t>H488X300X11X18-12000L</t>
  </si>
  <si>
    <t>I95-VTC01-087</t>
  </si>
  <si>
    <t>PL35X1000X1000</t>
  </si>
  <si>
    <t>I95-VTC01-088</t>
  </si>
  <si>
    <t>C100X50X5X7.5-12000L</t>
  </si>
  <si>
    <t>I95-VTC01-089</t>
  </si>
  <si>
    <t>CHS168.3X21.9-6000L</t>
  </si>
  <si>
    <t>A53-GRB</t>
  </si>
  <si>
    <t>I95-VTC01-090</t>
  </si>
  <si>
    <t>CHS60.3X3.9-6000L</t>
  </si>
  <si>
    <t>A335_P11</t>
  </si>
  <si>
    <t>I95-VTC01-091</t>
  </si>
  <si>
    <t>CHS88.9X5.5-6000L</t>
  </si>
  <si>
    <t>I95-VTC01-092</t>
  </si>
  <si>
    <t>H350X175X7X11-12000L</t>
  </si>
  <si>
    <t>I95-VTC01-093</t>
  </si>
  <si>
    <t>I95-VTC01-094</t>
  </si>
  <si>
    <t>PL8X2000X6000</t>
  </si>
  <si>
    <t>I95-VTC01-095</t>
  </si>
  <si>
    <t>RB44-6000L</t>
  </si>
  <si>
    <t>I95-VTC01-096</t>
  </si>
  <si>
    <t>thép tấm mục SCR</t>
  </si>
  <si>
    <t>A387_GR11_CL2</t>
  </si>
  <si>
    <t>I95-VTC01-097</t>
  </si>
  <si>
    <t>PL12X2000X3000</t>
  </si>
  <si>
    <t>I95-VTC01-098</t>
  </si>
  <si>
    <t>PL19X2000X3000</t>
  </si>
  <si>
    <t>I95-VTC01-099</t>
  </si>
  <si>
    <t>PL25X2000X3000</t>
  </si>
  <si>
    <t>I95-VTC01-100</t>
  </si>
  <si>
    <t>PL6X1500X1000</t>
  </si>
  <si>
    <t>I95-VTC01-101</t>
  </si>
  <si>
    <t>PL8X1500X1000</t>
  </si>
  <si>
    <t>I95-VTC01-102</t>
  </si>
  <si>
    <t>LƯỚI DẬP GIÃN DÀY 1.2, 
MẮT LƯỚI 17X34-mạ kẽm- MUA THEO LIST</t>
  </si>
  <si>
    <t>EXPANDED_METAL_3/4"_#16_FLATTENED</t>
  </si>
  <si>
    <t>SS400-MẠ KẼM</t>
  </si>
  <si>
    <t>I95-VTC01-103</t>
  </si>
  <si>
    <t>CHS48.3X3.6-6000L</t>
  </si>
  <si>
    <t>I95-VTC01-104</t>
  </si>
  <si>
    <t>CHS48.3X5.1-6000L</t>
  </si>
  <si>
    <t>I95-VTC01-105</t>
  </si>
  <si>
    <t>TÔN NHÁM</t>
  </si>
  <si>
    <t>CPL6X1500X6000</t>
  </si>
  <si>
    <t>I95-VTC01-106</t>
  </si>
  <si>
    <t>H400x400x13x21-12000L</t>
  </si>
  <si>
    <t>I95-VTC01-107</t>
  </si>
  <si>
    <t>Thép tấm-SCR BAFER FRAME</t>
  </si>
  <si>
    <t>PL10X2000X12000</t>
  </si>
  <si>
    <t>I95-VTC01-108</t>
  </si>
  <si>
    <t>I95-VTC01-109</t>
  </si>
  <si>
    <t>PL6X1500X6000</t>
  </si>
  <si>
    <t>I95-VTC01-110</t>
  </si>
  <si>
    <t>PL8X2000X12000</t>
  </si>
  <si>
    <t>Thép hình L-SCR FRAME</t>
  </si>
  <si>
    <t>I95-VTC01-111</t>
  </si>
  <si>
    <t>C380x100x13x20</t>
  </si>
  <si>
    <t>I95-VTC01-112</t>
  </si>
  <si>
    <t>H150x75x5x7-12000L</t>
  </si>
  <si>
    <t>I95-VTC01-113</t>
  </si>
  <si>
    <t>DÂY THÉP MẠ KẼM</t>
  </si>
  <si>
    <t>RB3</t>
  </si>
  <si>
    <t>STEEL-GALV</t>
  </si>
  <si>
    <t>VTC02</t>
  </si>
  <si>
    <t>Main-Material /  Vật tư chính thép trắng</t>
  </si>
  <si>
    <t>I95-VTC02-001</t>
  </si>
  <si>
    <t>thép ống( %C min 0.04%)</t>
  </si>
  <si>
    <t>A312-TP304</t>
  </si>
  <si>
    <t>I95-VTC02-002</t>
  </si>
  <si>
    <t>I95-VTC02-003</t>
  </si>
  <si>
    <t>CHS21.3X3.7-6000L</t>
  </si>
  <si>
    <t>I95-VTC02-004</t>
  </si>
  <si>
    <t>I95-VTC02-005</t>
  </si>
  <si>
    <t>CHS60.3X5.5-6000L</t>
  </si>
  <si>
    <t>I95-VTC02-006</t>
  </si>
  <si>
    <t>I95-VTC02-007</t>
  </si>
  <si>
    <t>thép tấm (% C min 0.04%)</t>
  </si>
  <si>
    <t>PL1.5X1220X2440</t>
  </si>
  <si>
    <t>JIS.G4304_SUS304</t>
  </si>
  <si>
    <t>I95-VTC02-008</t>
  </si>
  <si>
    <t>JIS.G4312_SUH409</t>
  </si>
  <si>
    <t>I95-VTC02-009</t>
  </si>
  <si>
    <t>PL10X1500X1000</t>
  </si>
  <si>
    <t>I95-VTC02-010</t>
  </si>
  <si>
    <t>PL12X1500X6000</t>
  </si>
  <si>
    <t>I95-VTC02-011</t>
  </si>
  <si>
    <t>PL2.6X1220X2440</t>
  </si>
  <si>
    <t>I95-VTC02-012</t>
  </si>
  <si>
    <t>I95-VTC02-013</t>
  </si>
  <si>
    <t>SUS309S</t>
  </si>
  <si>
    <t>I95-VTC02-014</t>
  </si>
  <si>
    <t>PL2(14Ga)X1220X2440</t>
  </si>
  <si>
    <t>I95-VTC02-015</t>
  </si>
  <si>
    <t>PL2X1220X2440</t>
  </si>
  <si>
    <t>I95-VTC02-016</t>
  </si>
  <si>
    <t>I95-VTC02-017</t>
  </si>
  <si>
    <t>I95-VTC02-018</t>
  </si>
  <si>
    <t>SUS310S</t>
  </si>
  <si>
    <t>I95-VTC02-019</t>
  </si>
  <si>
    <t>PL6X500X1000</t>
  </si>
  <si>
    <t>ASTM-A240-TP304</t>
  </si>
  <si>
    <t>I95-VTC02-020</t>
  </si>
  <si>
    <t>I95-VTC02-021</t>
  </si>
  <si>
    <t>thép tấm-ATTIC PANEL</t>
  </si>
  <si>
    <t>I95-VTC02-022</t>
  </si>
  <si>
    <t>I95-VTC02-022A</t>
  </si>
  <si>
    <t>thép tấm-BOX2</t>
  </si>
  <si>
    <t>PL12X1500X4700</t>
  </si>
  <si>
    <t>I95-VTC02-023</t>
  </si>
  <si>
    <t>SUS301S</t>
  </si>
  <si>
    <t>I95-VTC02-024</t>
  </si>
  <si>
    <t>PL6X1500X3000</t>
  </si>
  <si>
    <t>I95-VTC02-025</t>
  </si>
  <si>
    <t>CHS273.1X9.3-6000L</t>
  </si>
  <si>
    <t>I95-VTC02-026</t>
  </si>
  <si>
    <t>JIS.G4304_SUS309S</t>
  </si>
  <si>
    <t>I95-VTC02-027</t>
  </si>
  <si>
    <t>PL10x1000x1000</t>
  </si>
  <si>
    <t>I95-VTC02-028</t>
  </si>
  <si>
    <t>PL14X1500X2000</t>
  </si>
  <si>
    <t>I95-VTC02-029</t>
  </si>
  <si>
    <t>PL6X2000X6000</t>
  </si>
  <si>
    <t>I95-VTC02-030</t>
  </si>
  <si>
    <t>Thép tròn</t>
  </si>
  <si>
    <t>RB12-3000L</t>
  </si>
  <si>
    <t>I95-VTC02-031</t>
  </si>
  <si>
    <t>RB1</t>
  </si>
  <si>
    <t>I95-VTC02-032</t>
  </si>
  <si>
    <t>SUS304</t>
  </si>
  <si>
    <t>I95-VTC02-033</t>
  </si>
  <si>
    <t>CHS219X8.2-6000L</t>
  </si>
  <si>
    <t>I95-VTC02-034</t>
  </si>
  <si>
    <t>CHS26.7X3.9-6000L</t>
  </si>
  <si>
    <t>A-312 TP304</t>
  </si>
  <si>
    <t>I95-VTC02-035</t>
  </si>
  <si>
    <t>CHS323.8X9.5-6000L</t>
  </si>
  <si>
    <t>I95-VTC02-036</t>
  </si>
  <si>
    <t>CHS73X5.2-6000L</t>
  </si>
  <si>
    <t>I95-VTC02-037</t>
  </si>
  <si>
    <t xml:space="preserve">LƯỚI INOX </t>
  </si>
  <si>
    <t>40 MESH( ROD 0.254mmx 0.381x0.381)</t>
  </si>
  <si>
    <t>I95-VTC02-038</t>
  </si>
  <si>
    <t>VTC03</t>
  </si>
  <si>
    <t>Gratting-Material /  Vật tư gratting</t>
  </si>
  <si>
    <t>I95-VTC03-001</t>
  </si>
  <si>
    <t>GRATING 32X5-MẠ KẼM NÓNG-MUA THEO BẢN VẼ</t>
  </si>
  <si>
    <t>GRATING 32X5-MẠ KẼM NÓNG</t>
  </si>
  <si>
    <t>SS400-HDG</t>
  </si>
  <si>
    <t>KG</t>
  </si>
  <si>
    <t>I95-VTC03-002</t>
  </si>
  <si>
    <t>GRATING 44X5-MẠ KẼM NÓNG-MUA THEO BẢN VẼ</t>
  </si>
  <si>
    <t>GRATING 44X5-MẠ KẼM NÓNG</t>
  </si>
  <si>
    <t>VTC04</t>
  </si>
  <si>
    <t>Insulation-Material /  Vật tư bảo ôn</t>
  </si>
  <si>
    <t>I95-VTC04-001</t>
  </si>
  <si>
    <t>BÔNG BẢO ÔN</t>
  </si>
  <si>
    <t>BÔNG 3MM</t>
  </si>
  <si>
    <t>SUPPERWOOL PLUS PAPER</t>
  </si>
  <si>
    <t>I95-VTC04-002</t>
  </si>
  <si>
    <t>BÔNG 13MM</t>
  </si>
  <si>
    <t>SUPPERWOOL PLUS 128kg/m3</t>
  </si>
  <si>
    <t>m3</t>
  </si>
  <si>
    <t>I95-VTC04-003</t>
  </si>
  <si>
    <t>BÔNG 25MM</t>
  </si>
  <si>
    <t>I95-VTC04-004</t>
  </si>
  <si>
    <t>BÔNG 50MM</t>
  </si>
  <si>
    <t>I95-VTC04-005</t>
  </si>
  <si>
    <t>NUT (%C min 0.04%)-phải lắp vào được stud M10</t>
  </si>
  <si>
    <t>NUT M10-ISO4032-SUS304</t>
  </si>
  <si>
    <t>JIS G4303-SUS304</t>
  </si>
  <si>
    <t>cái</t>
  </si>
  <si>
    <t>I95-VTC04-006</t>
  </si>
  <si>
    <t>NUT (%C min 0.04%)-phải lắp vào được stud M12</t>
  </si>
  <si>
    <t>NUT M12-ISO4032-SUS304</t>
  </si>
  <si>
    <t>I95-VTC04-007</t>
  </si>
  <si>
    <t>NUT-phải lắp vào được stud M12</t>
  </si>
  <si>
    <t>NUT M12-ISO4032-SUS309S</t>
  </si>
  <si>
    <t>JIS G4303-SUS309S</t>
  </si>
  <si>
    <t>I95-VTC04-008</t>
  </si>
  <si>
    <t>WASHER TRÒN</t>
  </si>
  <si>
    <t>ROUND WASHER OD76XID11X2mm-SUH409</t>
  </si>
  <si>
    <t>JIS G4312-SUH409</t>
  </si>
  <si>
    <t>I95-VTC04-009</t>
  </si>
  <si>
    <t>WASHER TRÒN( % C min 0.04%)</t>
  </si>
  <si>
    <t>ROUND WASHER OD76XID14X2.6mm-SUS304</t>
  </si>
  <si>
    <t>I95-VTC04-010</t>
  </si>
  <si>
    <t>ROUND WASHER OD76XID14X2.6mm-SUS309S</t>
  </si>
  <si>
    <t>I95-VTC04-011</t>
  </si>
  <si>
    <t>WASHER VUÔNG( % C min 0.04%)</t>
  </si>
  <si>
    <t>SQUARE WASHER 76X76XID14X2.6mm-SUS304</t>
  </si>
  <si>
    <t>I95-VTC04-012</t>
  </si>
  <si>
    <t>ĐINH HÀN( % C min 0.04%)</t>
  </si>
  <si>
    <t>STUD-RB10X108-REN M10X1.5- 32mm-SUS304</t>
  </si>
  <si>
    <t>I95-VTC04-013</t>
  </si>
  <si>
    <t>STUD-RB10X111-REN M10X1.5- 32mm-SUS304</t>
  </si>
  <si>
    <t>I95-VTC04-014</t>
  </si>
  <si>
    <t>STUD-RB10X114-REN M10X1.5- 35mm-SUS304</t>
  </si>
  <si>
    <t>I95-VTC04-015</t>
  </si>
  <si>
    <t>STUD-RB10X117-REN M10X1.5- 32mm-SUS304</t>
  </si>
  <si>
    <t>I95-VTC04-016</t>
  </si>
  <si>
    <t>STUD-RB10X133-REN M10X1.5- 32mm-SUS304</t>
  </si>
  <si>
    <t>I95-VTC04-017</t>
  </si>
  <si>
    <t>STUD-RB10X137-REN M10X1.5- 35mm-SUS304</t>
  </si>
  <si>
    <t>I95-VTC04-018</t>
  </si>
  <si>
    <t>STUD-RB10X139-REN M10X1.5- 32mm-SUS304</t>
  </si>
  <si>
    <t>I95-VTC04-019</t>
  </si>
  <si>
    <t>STUD-RB10X140-REN M10X1.5- 32mm-SUS304</t>
  </si>
  <si>
    <t>I95-VTC04-020</t>
  </si>
  <si>
    <t>STUD-RB10X152-REN M10X1.5- 32mm-SUS304</t>
  </si>
  <si>
    <t>I95-VTC04-021</t>
  </si>
  <si>
    <t>STUD-RB10X171-REN M10X1.5- 32mm-SUS304</t>
  </si>
  <si>
    <t>I95-VTC04-022</t>
  </si>
  <si>
    <t>STUD-RB10X54-REN M10X1.5- 32mm-SUS304</t>
  </si>
  <si>
    <t>I95-VTC04-023</t>
  </si>
  <si>
    <t>STUD-RB10X57-REN M10X1.5- 35mm-SUS304</t>
  </si>
  <si>
    <t>I95-VTC04-024</t>
  </si>
  <si>
    <t>STUD-RB10X60-REN M10X1.5- 32mm-SUS304</t>
  </si>
  <si>
    <t>I95-VTC04-025</t>
  </si>
  <si>
    <t>STUD-RB10X64-REN M10X1.5- 32mm-SUS304</t>
  </si>
  <si>
    <t>I95-VTC04-026</t>
  </si>
  <si>
    <t>STUD-RB10X67-REN M10X1.5- 32mm-SUS304</t>
  </si>
  <si>
    <t>I95-VTC04-027</t>
  </si>
  <si>
    <t>STUD-RB10X73-REN M10X1.5- 32mm-SUS304</t>
  </si>
  <si>
    <t>I95-VTC04-028</t>
  </si>
  <si>
    <t>đinh hàn</t>
  </si>
  <si>
    <t>STUD-RB12X140-REN M12X1.75- 41mm-SUS309S</t>
  </si>
  <si>
    <t>I95-VTC04-029</t>
  </si>
  <si>
    <t>STUD-RB12X1487-REN M12X1.75- 44mm-SUS304</t>
  </si>
  <si>
    <t>I95-VTC04-030</t>
  </si>
  <si>
    <t>STUD-RB12X318-REN M12X1.75- 41mm-SUS304</t>
  </si>
  <si>
    <t>I95-VTC04-031</t>
  </si>
  <si>
    <t>STUD-RB12X321-REN M12X1.75- 41mm-SUS304</t>
  </si>
  <si>
    <t>I95-VTC04-032</t>
  </si>
  <si>
    <t>STUD-RB12X321-REN M12X1.75- 44mm-SUS304</t>
  </si>
  <si>
    <t>I95-VTC04-033</t>
  </si>
  <si>
    <t>STUD-RB12X324-REN M12X1.75- 41mm-SUS304</t>
  </si>
  <si>
    <t>I95-VTC04-034</t>
  </si>
  <si>
    <t>STUD-RB12X473-REN M12X1.75- 41mm-SUS304</t>
  </si>
  <si>
    <t>I95-VTC04-035</t>
  </si>
  <si>
    <t>STUD-RB12X473-REN M12X1.75- 41mm-SUS309S</t>
  </si>
  <si>
    <t>I95-VTC04-036</t>
  </si>
  <si>
    <t>STUD-RB12X479-REN M12X1.75- 41mm-SUS309S</t>
  </si>
  <si>
    <t>I95-VTC04-037</t>
  </si>
  <si>
    <t>STUD-RB12X551-REN M12X1.75- 44mm-SUS304</t>
  </si>
  <si>
    <t>I95-VTC04-038</t>
  </si>
  <si>
    <t>STUD-RB12X555-REN M12X1.75- 44mm-SUS304</t>
  </si>
  <si>
    <t>I95-VTC04-039</t>
  </si>
  <si>
    <r>
      <t>STUD-RB12X</t>
    </r>
    <r>
      <rPr>
        <sz val="12"/>
        <color rgb="FFFF0000"/>
        <rFont val="Calibri"/>
        <family val="2"/>
        <scheme val="minor"/>
      </rPr>
      <t>769</t>
    </r>
    <r>
      <rPr>
        <sz val="12"/>
        <rFont val="Calibri"/>
        <family val="2"/>
        <scheme val="minor"/>
      </rPr>
      <t>-REN M12X1.75- 44mm-SUS304</t>
    </r>
  </si>
  <si>
    <t>I95-VTC04-040</t>
  </si>
  <si>
    <t>STUD-RB10X152-REN M10X1.5- 32mm-SUS309S</t>
  </si>
  <si>
    <t>JIS.G4303_SUS309S</t>
  </si>
  <si>
    <t>I95-VTC04-041</t>
  </si>
  <si>
    <t>STUD-RB10X241-REN M10X1.5- 32mm-SUS309S</t>
  </si>
  <si>
    <t>I95-VTC04-042</t>
  </si>
  <si>
    <t>ROUND WASHER OD76XID11X2mm-SUS309S</t>
  </si>
  <si>
    <t>I95-VTC04-043</t>
  </si>
  <si>
    <t>NUT-phải lắp vào được stud M10</t>
  </si>
  <si>
    <t>NUT M10-ISO4032-SUS309S</t>
  </si>
  <si>
    <t>I95-VTC04-044</t>
  </si>
  <si>
    <t>STUD-RB12X706-REN M12X1.75- 41mm-SUS309S</t>
  </si>
  <si>
    <t>I95-VTC04-045</t>
  </si>
  <si>
    <t>STUD-RB12X731-REN M12X1.75- 41mm-SUS309S</t>
  </si>
  <si>
    <t>I95-VTC04-046</t>
  </si>
  <si>
    <t>STUD-RB10X70-REN M10X1.5- 35mm-SUS304</t>
  </si>
  <si>
    <t>I95-VTC04-047</t>
  </si>
  <si>
    <r>
      <t>STUD-RB10X28</t>
    </r>
    <r>
      <rPr>
        <sz val="12"/>
        <color rgb="FFFF0000"/>
        <rFont val="Calibri"/>
        <family val="2"/>
        <scheme val="minor"/>
      </rPr>
      <t>6</t>
    </r>
    <r>
      <rPr>
        <sz val="12"/>
        <rFont val="Calibri"/>
        <family val="2"/>
        <scheme val="minor"/>
      </rPr>
      <t>-REN M10X1.5- 32mm-SUS304</t>
    </r>
  </si>
  <si>
    <t>I95-VTC04-048</t>
  </si>
  <si>
    <t>STUD-RB10X372-REN M10X1.5- 32mm-SUS304</t>
  </si>
  <si>
    <t>I95-VTC04-049</t>
  </si>
  <si>
    <t>STUD-RB10X374-REN M10X1.5- 32mm-SUS304</t>
  </si>
  <si>
    <t>I95-VTC04-050</t>
  </si>
  <si>
    <t>ĐINH HÀN-SCR BAFER( % C min 0.04%)</t>
  </si>
  <si>
    <t>STUD-3/8"DIA x 4"LENGTH-THREAD 2 1/4"-A479TP304</t>
  </si>
  <si>
    <t>A479-TP304</t>
  </si>
  <si>
    <t>REV8-IBSREV</t>
  </si>
  <si>
    <t>I95-VTC04-051</t>
  </si>
  <si>
    <t>NUT-SCR BAFER( % C min 0.04%)</t>
  </si>
  <si>
    <t>NUT-3/8"-A194-GR8</t>
  </si>
  <si>
    <t>A194-GR8</t>
  </si>
  <si>
    <t>I95-VTC04-052</t>
  </si>
  <si>
    <t>WASHER-SCR BAFER( % C min 0.04%)</t>
  </si>
  <si>
    <t>3/8" WASHER-1 1/2 "ODx1/8" THK-TP304</t>
  </si>
  <si>
    <t>TP304</t>
  </si>
  <si>
    <t>VPK</t>
  </si>
  <si>
    <t>Bolt-Material /  Vật tư bulong, phụ kiện</t>
  </si>
  <si>
    <t>I95-VPK-001</t>
  </si>
  <si>
    <t>gasket</t>
  </si>
  <si>
    <t>GASKET-PL2-MUA THEO BẢN VẼ</t>
  </si>
  <si>
    <t>GARLOCK-GYLON 3510</t>
  </si>
  <si>
    <t>I95-VPK-002</t>
  </si>
  <si>
    <t>COUPLING</t>
  </si>
  <si>
    <t>2"_3000#_THREADED_COUPLING-ASME B16.11</t>
  </si>
  <si>
    <t>ASTM-A105</t>
  </si>
  <si>
    <t>I95-VPK-003</t>
  </si>
  <si>
    <t>BÍCH MÙ</t>
  </si>
  <si>
    <t>3"_BLIND_FLANGE_#150_RF-ASME B16.5</t>
  </si>
  <si>
    <t>I95-VPK-004</t>
  </si>
  <si>
    <t>BÍCH</t>
  </si>
  <si>
    <t>3"_FLANGE_#150_SORF-ASME B16.5</t>
  </si>
  <si>
    <t>I95-VPK-005</t>
  </si>
  <si>
    <t>BÍCH( % C min 0.04%)</t>
  </si>
  <si>
    <t>ASTM-A182-F304</t>
  </si>
  <si>
    <t>I95-VPK-006</t>
  </si>
  <si>
    <t>BỊT ĐẦU ỐNG</t>
  </si>
  <si>
    <t>3"-3000# THREADED PIPE CAP-ASME B16.11</t>
  </si>
  <si>
    <t>I95-VPK-007</t>
  </si>
  <si>
    <t>COUPLING( % C min 0.04%)</t>
  </si>
  <si>
    <t>3/4"X1/2"-3000#REDUCING_COUPING_SW</t>
  </si>
  <si>
    <t>I95-VPK-008</t>
  </si>
  <si>
    <t>4"_BLIND_FLANGE_#150_RF-ASME B16.5</t>
  </si>
  <si>
    <t>I95-VPK-009</t>
  </si>
  <si>
    <t>4"_FLANGE_#150_SORF-ASME B16.5</t>
  </si>
  <si>
    <t>I95-VPK-010</t>
  </si>
  <si>
    <t>6"_BLIND_FLANGE_#150_RF-ASME B16.5</t>
  </si>
  <si>
    <t>I95-VPK-011</t>
  </si>
  <si>
    <t>6"_FLANGE_#150_SORF-ASME B16.5</t>
  </si>
  <si>
    <t>I95-VPK-012</t>
  </si>
  <si>
    <t>NÚT BỊT</t>
  </si>
  <si>
    <t>SQUARE_HEAD_PLUG_2"_3000#</t>
  </si>
  <si>
    <t>I95-VPK-013</t>
  </si>
  <si>
    <t>CHỐT-MUA THEO BV</t>
  </si>
  <si>
    <t>CLEVIS PIN Ø12x52-DIN 1444-MẠ ĐIỆN PHÂN</t>
  </si>
  <si>
    <t>JIS G3101-SS400-MG</t>
  </si>
  <si>
    <t>I95-VPK-014</t>
  </si>
  <si>
    <t>GIỮ CHỐT-MUA THEO BV</t>
  </si>
  <si>
    <t>COTTER PIN Ø3.2x25L-DIN 94- MẠ ĐIỆN PHÂN</t>
  </si>
  <si>
    <t>I95-VPK-015</t>
  </si>
  <si>
    <t>eye bolt-MẠ XEM BV</t>
  </si>
  <si>
    <t>EYE BOLT M14+2NUT+1WASHER-xEM BẢN VẼ</t>
  </si>
  <si>
    <t>I95-VPK-016</t>
  </si>
  <si>
    <t>EYE BOLT M16x137(1 EYE BOLT+01 WASHER+
01 HANDLE NUT)
-xEM BẢN VẼ</t>
  </si>
  <si>
    <t>I95-VPK-017</t>
  </si>
  <si>
    <t>ĐỆM</t>
  </si>
  <si>
    <t>WASHER-M12-ISO7089-8-HDG</t>
  </si>
  <si>
    <t>ZINC</t>
  </si>
  <si>
    <t>I95-VPK-018</t>
  </si>
  <si>
    <t>CÚT 90 ĐỘ( %C MIN 0.04%)</t>
  </si>
  <si>
    <t>ELBOW90-CHS88.9X5.5-BW</t>
  </si>
  <si>
    <t>SA403-WP304</t>
  </si>
  <si>
    <t>I95-VPK-019</t>
  </si>
  <si>
    <t>NUT-KHÔNG MẠ</t>
  </si>
  <si>
    <t>NUT-3/4"-A563-BLACK</t>
  </si>
  <si>
    <t>A-563 HEX NUT</t>
  </si>
  <si>
    <t>I95-VPK-020</t>
  </si>
  <si>
    <t>bolt+nut</t>
  </si>
  <si>
    <t>BOLT 1/2"x1 1/2"Lg( 1B+1N)-A307-MG</t>
  </si>
  <si>
    <t>A307</t>
  </si>
  <si>
    <t>Bộ</t>
  </si>
  <si>
    <t>I95-VPK-021</t>
  </si>
  <si>
    <t>2_1/2"_BLIND_FLANGE_#150_RF</t>
  </si>
  <si>
    <t>A105</t>
  </si>
  <si>
    <t>I95-VPK-022</t>
  </si>
  <si>
    <t>2_1/2"_FLANGE_#150_SORF</t>
  </si>
  <si>
    <t>I95-VPK-023</t>
  </si>
  <si>
    <t>3/4"_3000#_THREADED_COUPLING</t>
  </si>
  <si>
    <t>I95-VPK-024</t>
  </si>
  <si>
    <t>8"_BLIND_FLANGE_#150_RF</t>
  </si>
  <si>
    <t>I95-VPK-025</t>
  </si>
  <si>
    <t>8"_FLANGE_#150_SORF</t>
  </si>
  <si>
    <t>I95-VPK-026</t>
  </si>
  <si>
    <t>NUT BỊT</t>
  </si>
  <si>
    <t>SQUARE_HEAD_PLUG_3/4"_3000#</t>
  </si>
  <si>
    <t>I95-VPK-027</t>
  </si>
  <si>
    <t>KEO DÁN GIOĂNG</t>
  </si>
  <si>
    <t>HIGH TEMPERATURE ADHESIVE RED SILICONE</t>
  </si>
  <si>
    <t>SILICA W/ INCONEL</t>
  </si>
  <si>
    <t>VDK</t>
  </si>
  <si>
    <t>Packing-Material /  Vật tư đóng kiện</t>
  </si>
  <si>
    <t>I95-VDK-001</t>
  </si>
  <si>
    <t>I95-VDK-002</t>
  </si>
  <si>
    <t>L75X75X6</t>
  </si>
  <si>
    <t>I95-VDK-003</t>
  </si>
  <si>
    <t xml:space="preserve">thép tròn </t>
  </si>
  <si>
    <t>RB10</t>
  </si>
  <si>
    <t>PRIORITY/  THỜI GIAN CẤP:</t>
  </si>
  <si>
    <t xml:space="preserve">              CRITICAL (within 3 days) / NGAY LẬP TỨC (Dưới 3 ngày)                         </t>
  </si>
  <si>
    <t>URGENT / KHẨN CẤP</t>
  </si>
  <si>
    <t xml:space="preserve">    1 WEEK/ 1 TUẦN</t>
  </si>
  <si>
    <t>AS DELIVERY (Date: ……………)/ CẦN VÀO NGÀY :……………</t>
  </si>
  <si>
    <r>
      <rPr>
        <b/>
        <u/>
        <sz val="10"/>
        <rFont val="Cambria"/>
        <family val="1"/>
        <scheme val="major"/>
      </rPr>
      <t xml:space="preserve">REMARKS /  CHÚ Ý </t>
    </r>
    <r>
      <rPr>
        <b/>
        <sz val="10"/>
        <rFont val="Cambria"/>
        <family val="1"/>
        <scheme val="major"/>
      </rPr>
      <t>:</t>
    </r>
  </si>
  <si>
    <r>
      <t xml:space="preserve">Các vật liệu mác  SS400, A106 chỉ số CE lớn nhất cho phép là 0.45%, vật liệu type 304 % cacbon nhỏ nhất yêu cầu là 0.04%, </t>
    </r>
    <r>
      <rPr>
        <b/>
        <i/>
        <strike/>
        <sz val="16"/>
        <rFont val="Cambria"/>
        <family val="1"/>
        <scheme val="major"/>
      </rPr>
      <t>vật liệu thép ống không được có nguồn gốc từ trung quốc và ấn độ.</t>
    </r>
    <r>
      <rPr>
        <b/>
        <i/>
        <sz val="16"/>
        <rFont val="Cambria"/>
        <family val="1"/>
        <scheme val="major"/>
      </rPr>
      <t xml:space="preserve">
Nếu vật tư trong danh sách này không thể đặt mua, hoặc tồn kho không đáp ứng yêu cầu hoặc cần chuyển đổi, đề nghị đơn vị phụ trách thông báo lại,
- Vật tư từ mục I95-VTC01-031 đến I95-VTC01-049 vật liệu yêu cầu có báo cáo test va chạm không nhỏ hơn 27J tại  10 độ F (-12 độ C)</t>
    </r>
  </si>
  <si>
    <t>ASSIGN COST TO/ NGUỒN CHI PHÍ:</t>
  </si>
  <si>
    <t xml:space="preserve">               PROJECT BUDGET/ NGÂN SÁCH DỰ ÁN</t>
  </si>
  <si>
    <t>PROJECT within IBS / DỰ ÁN NỘI BỘ</t>
  </si>
  <si>
    <t>TRADING &amp; SUPPLY / MMUA VÀ CUNG CẤP</t>
  </si>
  <si>
    <t>PRODUCTION,MAINTENANCE/ SẢN XUẤT,BẢO DƯỠNG</t>
  </si>
  <si>
    <t>OTHER/ Khác</t>
  </si>
  <si>
    <r>
      <rPr>
        <b/>
        <u/>
        <sz val="10"/>
        <rFont val="Cambria"/>
        <family val="1"/>
        <scheme val="major"/>
      </rPr>
      <t>REMARKS/  CHÚ Ý</t>
    </r>
    <r>
      <rPr>
        <b/>
        <sz val="10"/>
        <rFont val="Cambria"/>
        <family val="1"/>
        <scheme val="major"/>
      </rPr>
      <t>:</t>
    </r>
  </si>
  <si>
    <t>PURPOSE / MỤC DÍCH:</t>
  </si>
  <si>
    <t>FOR IN-HOUSE/ CHO SỬ DỤNG</t>
  </si>
  <si>
    <t>FOR PROJECT/ DỰ ÁN</t>
  </si>
  <si>
    <t xml:space="preserve">         Lost/Damaged/ Mất mát, hỏng hóc</t>
  </si>
  <si>
    <t xml:space="preserve">    Other/ Khác:</t>
  </si>
  <si>
    <t xml:space="preserve">         Shortage from previous ordered/Cấp thêm cho lần trước</t>
  </si>
  <si>
    <t xml:space="preserve">    Lost,Damaged/Mất mát,hỏng hóc</t>
  </si>
  <si>
    <t xml:space="preserve">          Req'd as Spares,Stock/ Dự phòng</t>
  </si>
  <si>
    <t xml:space="preserve">        Balance from previous ordered/ Phần còn lại chưa cấp</t>
  </si>
  <si>
    <t xml:space="preserve">    Req'd as Spares/ Dự phòng</t>
  </si>
  <si>
    <t xml:space="preserve">          Consumables/ Vật tư tiêu hao</t>
  </si>
  <si>
    <t xml:space="preserve">         Replace wrong part/ Thay thế chi tiết sai</t>
  </si>
  <si>
    <t xml:space="preserve">    Consumables/Vật tư tiêu hao</t>
  </si>
  <si>
    <t>Requested by/ Yêu cầu:</t>
  </si>
  <si>
    <t>Reviewed by/ Kiểm tra:</t>
  </si>
  <si>
    <t>Project Manager/ Giám đốc dự án</t>
  </si>
  <si>
    <t>Approved by/ Phê duyệt</t>
  </si>
  <si>
    <t>Name/ Tên:</t>
  </si>
  <si>
    <t>Position/ Vị trí:</t>
  </si>
  <si>
    <t>Signature/ Chữ ký:</t>
  </si>
  <si>
    <t>Date/ Ngày:</t>
  </si>
  <si>
    <t>REF. DOC. NO.: ILS-PRC-F06A Rev. 0 (For Engineering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</si>
</sst>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_);_(* \(#,##0.0\);_(* &quot;-&quot;??_);_(@_)"/>
    <numFmt numFmtId="165" formatCode="_-* #,##0\ _₫_-;\-* #,##0\ _₫_-;_-* &quot;-&quot;??\ _₫_-;_-@_-"/>
    <numFmt numFmtId="166" formatCode="_(* #,##0_);_(* \(#,##0\);_(* &quot;-&quot;??_);_(@_)"/>
    <numFmt numFmtId="167" formatCode="_-* #,##0.00\ _₫_-;\-* #,##0.00\ _₫_-;_-* &quot;-&quot;??\ _₫_-;_-@_-"/>
    <numFmt numFmtId="168" formatCode="_(* #,##0.000_);_(* \(#,##0.000\);_(* &quot;-&quot;??_);_(@_)"/>
    <numFmt numFmtId="169" formatCode="[$-409]d\-mmm\-yy;@"/>
  </numFmts>
  <fonts count="27" x14ac:knownFonts="1">
    <font>
      <sz val="10"/>
      <name val="Arial"/>
      <family val="2"/>
    </font>
    <font>
      <sz val="10"/>
      <name val="Arial"/>
      <family val="2"/>
    </font>
    <font>
      <sz val="10"/>
      <name val="Cambria"/>
      <family val="1"/>
      <scheme val="major"/>
    </font>
    <font>
      <b/>
      <sz val="11"/>
      <name val="Cambria"/>
      <family val="1"/>
      <scheme val="major"/>
    </font>
    <font>
      <b/>
      <sz val="11"/>
      <color theme="1"/>
      <name val="Cambria"/>
      <family val="1"/>
      <scheme val="major"/>
    </font>
    <font>
      <sz val="11"/>
      <name val="Cambria"/>
      <family val="1"/>
      <scheme val="major"/>
    </font>
    <font>
      <b/>
      <sz val="12"/>
      <name val="Cambria"/>
      <family val="1"/>
      <scheme val="major"/>
    </font>
    <font>
      <b/>
      <sz val="14"/>
      <color theme="1"/>
      <name val="Calibri"/>
      <family val="2"/>
      <scheme val="minor"/>
    </font>
    <font>
      <b/>
      <sz val="12"/>
      <color theme="1"/>
      <name val="Cambria"/>
      <family val="1"/>
      <scheme val="major"/>
    </font>
    <font>
      <sz val="12"/>
      <name val="Calibri"/>
      <family val="2"/>
      <scheme val="minor"/>
    </font>
    <font>
      <sz val="12"/>
      <color theme="1"/>
      <name val="Calibri"/>
      <family val="2"/>
      <scheme val="minor"/>
    </font>
    <font>
      <sz val="13"/>
      <name val="Calibri"/>
      <family val="2"/>
      <scheme val="minor"/>
    </font>
    <font>
      <sz val="12"/>
      <color rgb="FFFF0000"/>
      <name val="Calibri"/>
      <family val="2"/>
      <scheme val="minor"/>
    </font>
    <font>
      <sz val="10"/>
      <color theme="1"/>
      <name val="Times New Roman"/>
      <family val="2"/>
    </font>
    <font>
      <b/>
      <sz val="12"/>
      <color theme="1"/>
      <name val="Calibri"/>
      <family val="2"/>
      <scheme val="minor"/>
    </font>
    <font>
      <b/>
      <sz val="12"/>
      <name val="Calibri"/>
      <family val="2"/>
      <scheme val="minor"/>
    </font>
    <font>
      <b/>
      <sz val="12"/>
      <color rgb="FFFF0000"/>
      <name val="Cambria"/>
      <family val="1"/>
      <scheme val="major"/>
    </font>
    <font>
      <sz val="12"/>
      <name val="Cambria"/>
      <family val="1"/>
      <scheme val="major"/>
    </font>
    <font>
      <sz val="10"/>
      <color theme="1"/>
      <name val="Cambria"/>
      <family val="1"/>
      <scheme val="major"/>
    </font>
    <font>
      <b/>
      <sz val="10"/>
      <name val="Cambria"/>
      <family val="1"/>
      <scheme val="major"/>
    </font>
    <font>
      <b/>
      <u/>
      <sz val="10"/>
      <name val="Cambria"/>
      <family val="1"/>
      <scheme val="major"/>
    </font>
    <font>
      <b/>
      <i/>
      <sz val="16"/>
      <name val="Cambria"/>
      <family val="1"/>
      <scheme val="major"/>
    </font>
    <font>
      <b/>
      <i/>
      <strike/>
      <sz val="16"/>
      <name val="Cambria"/>
      <family val="1"/>
      <scheme val="major"/>
    </font>
    <font>
      <b/>
      <u/>
      <sz val="12"/>
      <name val="Cambria"/>
      <family val="1"/>
      <scheme val="major"/>
    </font>
    <font>
      <b/>
      <u/>
      <sz val="12"/>
      <color theme="1"/>
      <name val="Cambria"/>
      <family val="1"/>
      <scheme val="major"/>
    </font>
    <font>
      <sz val="11"/>
      <color theme="1"/>
      <name val="Cambria"/>
      <family val="1"/>
      <scheme val="major"/>
    </font>
    <font>
      <sz val="8"/>
      <name val="Cambria"/>
      <family val="1"/>
      <scheme val="major"/>
    </font>
  </fonts>
  <fills count="8">
    <fill>
      <patternFill patternType="none"/>
    </fill>
    <fill>
      <patternFill patternType="gray125"/>
    </fill>
    <fill>
      <patternFill patternType="solid">
        <fgColor theme="0" tint="-0.149998474074526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59999389629810485"/>
        <bgColor indexed="64"/>
      </patternFill>
    </fill>
  </fills>
  <borders count="40">
    <border>
      <left/>
      <right/>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52">
    <xf numFmtId="0" fontId="0" fillId="0" borderId="0" xfId="0"/>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vertical="center"/>
    </xf>
    <xf numFmtId="43" fontId="2" fillId="0" borderId="0" xfId="1" applyFont="1" applyAlignment="1">
      <alignment vertical="center"/>
    </xf>
    <xf numFmtId="0" fontId="2" fillId="0" borderId="2" xfId="0" applyFont="1" applyBorder="1" applyAlignment="1">
      <alignment vertical="center"/>
    </xf>
    <xf numFmtId="0" fontId="3" fillId="0" borderId="0" xfId="0" applyFont="1" applyAlignment="1">
      <alignment horizontal="left" vertical="center"/>
    </xf>
    <xf numFmtId="0" fontId="5" fillId="0" borderId="0" xfId="0" applyFont="1" applyAlignment="1">
      <alignment horizontal="right" vertical="center"/>
    </xf>
    <xf numFmtId="0" fontId="5" fillId="0" borderId="0" xfId="0" applyFont="1" applyAlignment="1">
      <alignment horizontal="center" vertical="center"/>
    </xf>
    <xf numFmtId="0" fontId="5" fillId="0" borderId="0" xfId="0" applyFont="1" applyAlignment="1">
      <alignment vertical="center"/>
    </xf>
    <xf numFmtId="43" fontId="5" fillId="0" borderId="0" xfId="1" applyFont="1" applyAlignment="1">
      <alignment vertical="center"/>
    </xf>
    <xf numFmtId="0" fontId="3" fillId="0" borderId="0" xfId="0" applyFont="1" applyAlignment="1">
      <alignment horizontal="center" vertical="center"/>
    </xf>
    <xf numFmtId="0" fontId="3" fillId="0" borderId="24" xfId="0" applyFont="1" applyBorder="1" applyAlignment="1">
      <alignment horizontal="center" vertical="center"/>
    </xf>
    <xf numFmtId="43" fontId="3" fillId="0" borderId="24" xfId="1" applyFont="1" applyBorder="1" applyAlignment="1">
      <alignment horizontal="center" vertical="center"/>
    </xf>
    <xf numFmtId="0" fontId="3" fillId="0" borderId="24" xfId="0" applyFont="1" applyBorder="1" applyAlignment="1">
      <alignment vertical="center"/>
    </xf>
    <xf numFmtId="0" fontId="4" fillId="2" borderId="27" xfId="0" applyFont="1" applyFill="1" applyBorder="1" applyAlignment="1">
      <alignment horizontal="center" vertical="center" wrapText="1"/>
    </xf>
    <xf numFmtId="0" fontId="4" fillId="0" borderId="24" xfId="0" applyFont="1" applyBorder="1" applyAlignment="1">
      <alignment horizontal="right" vertical="center" wrapText="1"/>
    </xf>
    <xf numFmtId="0" fontId="4" fillId="0" borderId="27" xfId="0" applyFont="1" applyBorder="1" applyAlignment="1">
      <alignment horizontal="center" vertical="center" wrapText="1"/>
    </xf>
    <xf numFmtId="0" fontId="4" fillId="0" borderId="29" xfId="0" applyFont="1" applyBorder="1" applyAlignment="1">
      <alignment horizontal="center" vertical="center" wrapText="1"/>
    </xf>
    <xf numFmtId="43" fontId="5" fillId="0" borderId="0" xfId="1" applyFont="1" applyAlignment="1">
      <alignment horizontal="center" vertical="center"/>
    </xf>
    <xf numFmtId="0" fontId="6" fillId="2" borderId="30" xfId="0" applyFont="1" applyFill="1" applyBorder="1" applyAlignment="1">
      <alignment horizontal="center" vertical="center"/>
    </xf>
    <xf numFmtId="0" fontId="6" fillId="2" borderId="0" xfId="0" applyFont="1" applyFill="1" applyAlignment="1">
      <alignment horizontal="center" vertical="center"/>
    </xf>
    <xf numFmtId="43" fontId="3" fillId="0" borderId="24" xfId="1" applyFont="1" applyFill="1" applyBorder="1" applyAlignment="1">
      <alignment horizontal="center" vertical="center"/>
    </xf>
    <xf numFmtId="43" fontId="3" fillId="0" borderId="0" xfId="1" applyFont="1" applyFill="1" applyBorder="1" applyAlignment="1">
      <alignment horizontal="center" vertical="center"/>
    </xf>
    <xf numFmtId="0" fontId="7" fillId="5" borderId="24" xfId="0" applyFont="1" applyFill="1" applyBorder="1" applyAlignment="1">
      <alignment horizontal="left" vertical="center"/>
    </xf>
    <xf numFmtId="0" fontId="6" fillId="5" borderId="24" xfId="0" applyFont="1" applyFill="1" applyBorder="1" applyAlignment="1">
      <alignment horizontal="center" vertical="center"/>
    </xf>
    <xf numFmtId="0" fontId="8" fillId="5" borderId="24" xfId="0" applyFont="1" applyFill="1" applyBorder="1" applyAlignment="1">
      <alignment horizontal="center" vertical="center"/>
    </xf>
    <xf numFmtId="164" fontId="8" fillId="5" borderId="24" xfId="1" applyNumberFormat="1" applyFont="1" applyFill="1" applyBorder="1" applyAlignment="1">
      <alignment horizontal="center" vertical="center"/>
    </xf>
    <xf numFmtId="9" fontId="8" fillId="5" borderId="24" xfId="2" applyFont="1" applyFill="1" applyBorder="1" applyAlignment="1">
      <alignment horizontal="center" vertical="center"/>
    </xf>
    <xf numFmtId="9" fontId="8" fillId="5" borderId="24" xfId="2" applyFont="1" applyFill="1" applyBorder="1" applyAlignment="1">
      <alignment horizontal="right" vertical="center"/>
    </xf>
    <xf numFmtId="165" fontId="8" fillId="5" borderId="24" xfId="0" applyNumberFormat="1" applyFont="1" applyFill="1" applyBorder="1" applyAlignment="1">
      <alignment horizontal="center" vertical="center"/>
    </xf>
    <xf numFmtId="165" fontId="6" fillId="5" borderId="24" xfId="1" applyNumberFormat="1" applyFont="1" applyFill="1" applyBorder="1" applyAlignment="1">
      <alignment horizontal="right" vertical="center"/>
    </xf>
    <xf numFmtId="43" fontId="3" fillId="0" borderId="24" xfId="1" applyFont="1" applyBorder="1" applyAlignment="1">
      <alignment vertical="center"/>
    </xf>
    <xf numFmtId="0" fontId="3" fillId="0" borderId="0" xfId="0" applyFont="1" applyAlignment="1">
      <alignment vertical="center"/>
    </xf>
    <xf numFmtId="0" fontId="9" fillId="0" borderId="24" xfId="0" applyFont="1" applyBorder="1" applyAlignment="1">
      <alignment horizontal="left" vertical="center"/>
    </xf>
    <xf numFmtId="0" fontId="10" fillId="0" borderId="24" xfId="0" applyFont="1" applyBorder="1" applyAlignment="1">
      <alignment horizontal="left" vertical="center"/>
    </xf>
    <xf numFmtId="0" fontId="10" fillId="0" borderId="24" xfId="0" applyFont="1" applyBorder="1" applyAlignment="1">
      <alignment horizontal="center" vertical="center"/>
    </xf>
    <xf numFmtId="0" fontId="9" fillId="0" borderId="24" xfId="0" applyFont="1" applyBorder="1" applyAlignment="1">
      <alignment horizontal="center" vertical="center"/>
    </xf>
    <xf numFmtId="43" fontId="10" fillId="0" borderId="24" xfId="1" applyFont="1" applyFill="1" applyBorder="1" applyAlignment="1">
      <alignment horizontal="center" vertical="center"/>
    </xf>
    <xf numFmtId="164" fontId="10" fillId="0" borderId="24" xfId="1" applyNumberFormat="1" applyFont="1" applyFill="1" applyBorder="1" applyAlignment="1">
      <alignment horizontal="left" vertical="center"/>
    </xf>
    <xf numFmtId="166" fontId="10" fillId="0" borderId="24" xfId="1" applyNumberFormat="1" applyFont="1" applyFill="1" applyBorder="1" applyAlignment="1">
      <alignment horizontal="left" vertical="center"/>
    </xf>
    <xf numFmtId="2" fontId="9" fillId="0" borderId="24" xfId="0" applyNumberFormat="1" applyFont="1" applyBorder="1" applyAlignment="1">
      <alignment horizontal="center" vertical="center"/>
    </xf>
    <xf numFmtId="2" fontId="9" fillId="0" borderId="24" xfId="0" applyNumberFormat="1" applyFont="1" applyBorder="1" applyAlignment="1">
      <alignment horizontal="right" vertical="center"/>
    </xf>
    <xf numFmtId="2" fontId="9" fillId="0" borderId="24" xfId="0" applyNumberFormat="1" applyFont="1" applyBorder="1" applyAlignment="1">
      <alignment vertical="center"/>
    </xf>
    <xf numFmtId="167" fontId="9" fillId="0" borderId="24" xfId="1" applyNumberFormat="1" applyFont="1" applyFill="1" applyBorder="1" applyAlignment="1">
      <alignment horizontal="right" vertical="center"/>
    </xf>
    <xf numFmtId="166" fontId="9" fillId="0" borderId="24" xfId="0" applyNumberFormat="1" applyFont="1" applyBorder="1" applyAlignment="1">
      <alignment horizontal="left" vertical="center" wrapText="1"/>
    </xf>
    <xf numFmtId="43" fontId="5" fillId="0" borderId="24" xfId="1" applyFont="1" applyFill="1" applyBorder="1" applyAlignment="1">
      <alignment horizontal="right" vertical="center"/>
    </xf>
    <xf numFmtId="166" fontId="11" fillId="0" borderId="24" xfId="0" applyNumberFormat="1" applyFont="1" applyBorder="1" applyAlignment="1">
      <alignment horizontal="left" vertical="center" wrapText="1"/>
    </xf>
    <xf numFmtId="43" fontId="5" fillId="0" borderId="24" xfId="0" applyNumberFormat="1" applyFont="1" applyBorder="1" applyAlignment="1">
      <alignment vertical="center"/>
    </xf>
    <xf numFmtId="43" fontId="5" fillId="0" borderId="24" xfId="1" applyFont="1" applyBorder="1" applyAlignment="1">
      <alignment vertical="center"/>
    </xf>
    <xf numFmtId="166" fontId="5" fillId="0" borderId="24" xfId="0" applyNumberFormat="1" applyFont="1" applyBorder="1" applyAlignment="1">
      <alignment vertical="center"/>
    </xf>
    <xf numFmtId="166" fontId="9" fillId="0" borderId="24" xfId="1" applyNumberFormat="1" applyFont="1" applyFill="1" applyBorder="1" applyAlignment="1">
      <alignment horizontal="right" vertical="center"/>
    </xf>
    <xf numFmtId="166" fontId="9" fillId="0" borderId="24" xfId="1" applyNumberFormat="1" applyFont="1" applyFill="1" applyBorder="1" applyAlignment="1">
      <alignment vertical="center"/>
    </xf>
    <xf numFmtId="43" fontId="9" fillId="0" borderId="24" xfId="1" applyFont="1" applyFill="1" applyBorder="1" applyAlignment="1">
      <alignment horizontal="right" vertical="center"/>
    </xf>
    <xf numFmtId="43" fontId="9" fillId="0" borderId="24" xfId="1" applyFont="1" applyFill="1" applyBorder="1" applyAlignment="1">
      <alignment vertical="center"/>
    </xf>
    <xf numFmtId="164" fontId="9" fillId="0" borderId="24" xfId="0" applyNumberFormat="1" applyFont="1" applyBorder="1" applyAlignment="1">
      <alignment horizontal="left" vertical="center" wrapText="1"/>
    </xf>
    <xf numFmtId="43" fontId="9" fillId="0" borderId="24" xfId="1" applyFont="1" applyBorder="1" applyAlignment="1">
      <alignment horizontal="left" vertical="center" wrapText="1"/>
    </xf>
    <xf numFmtId="43" fontId="11" fillId="0" borderId="24" xfId="0" applyNumberFormat="1" applyFont="1" applyBorder="1" applyAlignment="1">
      <alignment horizontal="left" vertical="center" wrapText="1"/>
    </xf>
    <xf numFmtId="164" fontId="11" fillId="0" borderId="24" xfId="0" applyNumberFormat="1" applyFont="1" applyBorder="1" applyAlignment="1">
      <alignment horizontal="left" vertical="center" wrapText="1"/>
    </xf>
    <xf numFmtId="43" fontId="9" fillId="0" borderId="24" xfId="0" applyNumberFormat="1" applyFont="1" applyBorder="1" applyAlignment="1">
      <alignment horizontal="left" vertical="center" wrapText="1"/>
    </xf>
    <xf numFmtId="166" fontId="11" fillId="0" borderId="29" xfId="0" applyNumberFormat="1" applyFont="1" applyBorder="1" applyAlignment="1">
      <alignment horizontal="left" vertical="center" wrapText="1"/>
    </xf>
    <xf numFmtId="0" fontId="13" fillId="0" borderId="29" xfId="0" applyFont="1" applyBorder="1" applyAlignment="1">
      <alignment horizontal="center" vertical="center"/>
    </xf>
    <xf numFmtId="166" fontId="11" fillId="0" borderId="31" xfId="0" applyNumberFormat="1" applyFont="1" applyBorder="1" applyAlignment="1">
      <alignment horizontal="left" vertical="center" wrapText="1"/>
    </xf>
    <xf numFmtId="0" fontId="13" fillId="0" borderId="31" xfId="0" applyFont="1" applyBorder="1" applyAlignment="1">
      <alignment horizontal="center" vertical="center"/>
    </xf>
    <xf numFmtId="166" fontId="11" fillId="0" borderId="32" xfId="0" applyNumberFormat="1" applyFont="1" applyBorder="1" applyAlignment="1">
      <alignment horizontal="left" vertical="center" wrapText="1"/>
    </xf>
    <xf numFmtId="0" fontId="13" fillId="0" borderId="32" xfId="0" applyFont="1" applyBorder="1" applyAlignment="1">
      <alignment horizontal="center" vertical="center"/>
    </xf>
    <xf numFmtId="43" fontId="9" fillId="0" borderId="24" xfId="0" applyNumberFormat="1" applyFont="1" applyBorder="1" applyAlignment="1">
      <alignment vertical="center"/>
    </xf>
    <xf numFmtId="43" fontId="9" fillId="0" borderId="24" xfId="1" applyFont="1" applyFill="1" applyBorder="1"/>
    <xf numFmtId="43" fontId="13" fillId="0" borderId="24" xfId="1" applyFont="1" applyBorder="1" applyAlignment="1">
      <alignment horizontal="center" vertical="center"/>
    </xf>
    <xf numFmtId="0" fontId="10" fillId="0" borderId="14" xfId="0" applyFont="1" applyBorder="1" applyAlignment="1">
      <alignment horizontal="left" vertical="center"/>
    </xf>
    <xf numFmtId="0" fontId="13" fillId="0" borderId="24" xfId="0" applyFont="1" applyBorder="1" applyAlignment="1">
      <alignment horizontal="right" vertical="center"/>
    </xf>
    <xf numFmtId="0" fontId="9" fillId="0" borderId="24" xfId="0" applyFont="1" applyBorder="1" applyAlignment="1">
      <alignment vertical="center" wrapText="1"/>
    </xf>
    <xf numFmtId="164" fontId="10" fillId="0" borderId="24" xfId="1" applyNumberFormat="1" applyFont="1" applyFill="1" applyBorder="1" applyAlignment="1">
      <alignment horizontal="center" vertical="center"/>
    </xf>
    <xf numFmtId="168" fontId="10" fillId="0" borderId="24" xfId="1" applyNumberFormat="1" applyFont="1" applyFill="1" applyBorder="1" applyAlignment="1">
      <alignment horizontal="center" vertical="center"/>
    </xf>
    <xf numFmtId="0" fontId="14" fillId="5" borderId="24" xfId="0" applyFont="1" applyFill="1" applyBorder="1" applyAlignment="1">
      <alignment horizontal="left" vertical="center"/>
    </xf>
    <xf numFmtId="0" fontId="10" fillId="5" borderId="24" xfId="0" applyFont="1" applyFill="1" applyBorder="1" applyAlignment="1">
      <alignment horizontal="left" vertical="center"/>
    </xf>
    <xf numFmtId="0" fontId="9" fillId="5" borderId="24" xfId="0" applyFont="1" applyFill="1" applyBorder="1" applyAlignment="1">
      <alignment horizontal="center" vertical="center"/>
    </xf>
    <xf numFmtId="43" fontId="10" fillId="5" borderId="24" xfId="1" applyFont="1" applyFill="1" applyBorder="1" applyAlignment="1">
      <alignment horizontal="center" vertical="center"/>
    </xf>
    <xf numFmtId="9" fontId="14" fillId="5" borderId="24" xfId="2" applyFont="1" applyFill="1" applyBorder="1" applyAlignment="1">
      <alignment horizontal="center" vertical="center"/>
    </xf>
    <xf numFmtId="43" fontId="14" fillId="5" borderId="24" xfId="1" applyFont="1" applyFill="1" applyBorder="1" applyAlignment="1">
      <alignment horizontal="center" vertical="center"/>
    </xf>
    <xf numFmtId="164" fontId="10" fillId="5" borderId="24" xfId="1" applyNumberFormat="1" applyFont="1" applyFill="1" applyBorder="1" applyAlignment="1">
      <alignment horizontal="left" vertical="center"/>
    </xf>
    <xf numFmtId="2" fontId="9" fillId="5" borderId="24" xfId="0" applyNumberFormat="1" applyFont="1" applyFill="1" applyBorder="1" applyAlignment="1">
      <alignment horizontal="center" vertical="center"/>
    </xf>
    <xf numFmtId="2" fontId="9" fillId="5" borderId="24" xfId="0" applyNumberFormat="1" applyFont="1" applyFill="1" applyBorder="1" applyAlignment="1">
      <alignment vertical="center"/>
    </xf>
    <xf numFmtId="167" fontId="9" fillId="5" borderId="24" xfId="1" applyNumberFormat="1" applyFont="1" applyFill="1" applyBorder="1" applyAlignment="1">
      <alignment horizontal="right" vertical="center"/>
    </xf>
    <xf numFmtId="166" fontId="9" fillId="5" borderId="24" xfId="0" applyNumberFormat="1" applyFont="1" applyFill="1" applyBorder="1" applyAlignment="1">
      <alignment horizontal="left" vertical="center" wrapText="1"/>
    </xf>
    <xf numFmtId="0" fontId="5" fillId="0" borderId="24" xfId="0" applyFont="1" applyBorder="1" applyAlignment="1">
      <alignment horizontal="right" vertical="center"/>
    </xf>
    <xf numFmtId="43" fontId="9" fillId="0" borderId="24" xfId="1" applyFont="1" applyFill="1" applyBorder="1" applyAlignment="1">
      <alignment horizontal="center" vertical="center"/>
    </xf>
    <xf numFmtId="43" fontId="5" fillId="0" borderId="24" xfId="1" applyFont="1" applyBorder="1" applyAlignment="1">
      <alignment horizontal="right" vertical="center"/>
    </xf>
    <xf numFmtId="43" fontId="11" fillId="0" borderId="24" xfId="1" applyFont="1" applyBorder="1" applyAlignment="1">
      <alignment horizontal="left" vertical="center" wrapText="1"/>
    </xf>
    <xf numFmtId="0" fontId="10" fillId="0" borderId="13" xfId="0" applyFont="1" applyBorder="1" applyAlignment="1">
      <alignment horizontal="left" vertical="center"/>
    </xf>
    <xf numFmtId="0" fontId="10" fillId="5" borderId="24" xfId="0" applyFont="1" applyFill="1" applyBorder="1" applyAlignment="1">
      <alignment horizontal="center" vertical="center"/>
    </xf>
    <xf numFmtId="166" fontId="10" fillId="5" borderId="24" xfId="1" applyNumberFormat="1" applyFont="1" applyFill="1" applyBorder="1" applyAlignment="1">
      <alignment horizontal="left" vertical="center"/>
    </xf>
    <xf numFmtId="43" fontId="5" fillId="0" borderId="24" xfId="0" applyNumberFormat="1" applyFont="1" applyBorder="1" applyAlignment="1">
      <alignment horizontal="right" vertical="center"/>
    </xf>
    <xf numFmtId="0" fontId="9" fillId="0" borderId="24" xfId="0" applyFont="1" applyBorder="1"/>
    <xf numFmtId="43" fontId="10" fillId="0" borderId="24" xfId="1" applyFont="1" applyFill="1" applyBorder="1" applyAlignment="1">
      <alignment horizontal="right" vertical="center"/>
    </xf>
    <xf numFmtId="1" fontId="9" fillId="0" borderId="24" xfId="0" applyNumberFormat="1" applyFont="1" applyBorder="1" applyAlignment="1">
      <alignment vertical="center"/>
    </xf>
    <xf numFmtId="0" fontId="10" fillId="0" borderId="24" xfId="1" applyNumberFormat="1" applyFont="1" applyFill="1" applyBorder="1" applyAlignment="1">
      <alignment horizontal="right" vertical="center"/>
    </xf>
    <xf numFmtId="0" fontId="15" fillId="5" borderId="24" xfId="0" applyFont="1" applyFill="1" applyBorder="1" applyAlignment="1">
      <alignment horizontal="left" vertical="center"/>
    </xf>
    <xf numFmtId="43" fontId="10" fillId="0" borderId="24" xfId="1" applyFont="1" applyFill="1" applyBorder="1" applyAlignment="1">
      <alignment horizontal="left" vertical="center"/>
    </xf>
    <xf numFmtId="43" fontId="10" fillId="0" borderId="24" xfId="1" applyFont="1" applyBorder="1" applyAlignment="1">
      <alignment horizontal="center" vertical="center"/>
    </xf>
    <xf numFmtId="43" fontId="10" fillId="0" borderId="24" xfId="1" applyFont="1" applyFill="1" applyBorder="1" applyAlignment="1">
      <alignment vertical="center"/>
    </xf>
    <xf numFmtId="43" fontId="10" fillId="0" borderId="24" xfId="1" applyFont="1" applyFill="1" applyBorder="1" applyAlignment="1">
      <alignment horizontal="left" vertical="center" wrapText="1"/>
    </xf>
    <xf numFmtId="43" fontId="9" fillId="0" borderId="24" xfId="1" applyFont="1" applyFill="1" applyBorder="1" applyAlignment="1">
      <alignment horizontal="left" vertical="center"/>
    </xf>
    <xf numFmtId="0" fontId="9" fillId="0" borderId="24" xfId="0" applyFont="1" applyBorder="1" applyAlignment="1">
      <alignment vertical="center"/>
    </xf>
    <xf numFmtId="164" fontId="14" fillId="5" borderId="24" xfId="1" applyNumberFormat="1" applyFont="1" applyFill="1" applyBorder="1" applyAlignment="1">
      <alignment horizontal="left" vertical="center"/>
    </xf>
    <xf numFmtId="166" fontId="14" fillId="5" borderId="24" xfId="1" applyNumberFormat="1" applyFont="1" applyFill="1" applyBorder="1" applyAlignment="1">
      <alignment horizontal="left" vertical="center"/>
    </xf>
    <xf numFmtId="2" fontId="15" fillId="5" borderId="24" xfId="0" applyNumberFormat="1" applyFont="1" applyFill="1" applyBorder="1" applyAlignment="1">
      <alignment horizontal="center" vertical="center"/>
    </xf>
    <xf numFmtId="167" fontId="15" fillId="5" borderId="24" xfId="1" applyNumberFormat="1" applyFont="1" applyFill="1" applyBorder="1" applyAlignment="1">
      <alignment horizontal="right" vertical="center"/>
    </xf>
    <xf numFmtId="0" fontId="16" fillId="4" borderId="0" xfId="0" quotePrefix="1" applyFont="1" applyFill="1" applyAlignment="1">
      <alignment horizontal="left" vertical="center" wrapText="1"/>
    </xf>
    <xf numFmtId="0" fontId="17" fillId="0" borderId="0" xfId="0" applyFont="1" applyAlignment="1">
      <alignment horizontal="right" vertical="center"/>
    </xf>
    <xf numFmtId="0" fontId="17" fillId="0" borderId="0" xfId="0" applyFont="1" applyAlignment="1">
      <alignment horizontal="center" vertical="center"/>
    </xf>
    <xf numFmtId="0" fontId="17" fillId="0" borderId="0" xfId="0" applyFont="1" applyAlignment="1">
      <alignment vertical="center"/>
    </xf>
    <xf numFmtId="43" fontId="17" fillId="0" borderId="0" xfId="1" applyFont="1" applyAlignment="1">
      <alignment vertical="center"/>
    </xf>
    <xf numFmtId="0" fontId="2" fillId="0" borderId="2" xfId="0" applyFont="1" applyBorder="1"/>
    <xf numFmtId="0" fontId="2" fillId="0" borderId="0" xfId="0" applyFont="1"/>
    <xf numFmtId="0" fontId="18" fillId="0" borderId="0" xfId="0" applyFont="1" applyAlignment="1">
      <alignment horizontal="center"/>
    </xf>
    <xf numFmtId="0" fontId="18" fillId="0" borderId="0" xfId="0" applyFont="1" applyAlignment="1">
      <alignment horizontal="left"/>
    </xf>
    <xf numFmtId="0" fontId="2" fillId="0" borderId="0" xfId="0" applyFont="1" applyAlignment="1">
      <alignment horizontal="left"/>
    </xf>
    <xf numFmtId="0" fontId="2" fillId="0" borderId="0" xfId="0" applyFont="1" applyAlignment="1">
      <alignment horizontal="center"/>
    </xf>
    <xf numFmtId="0" fontId="2" fillId="0" borderId="3" xfId="0" applyFont="1" applyBorder="1" applyAlignment="1">
      <alignment horizontal="left" vertical="center"/>
    </xf>
    <xf numFmtId="0" fontId="2" fillId="0" borderId="0" xfId="0" applyFont="1" applyAlignment="1">
      <alignment horizontal="left" vertical="center"/>
    </xf>
    <xf numFmtId="0" fontId="19" fillId="0" borderId="2" xfId="0" applyFont="1" applyBorder="1" applyAlignment="1">
      <alignment horizontal="left" vertical="center"/>
    </xf>
    <xf numFmtId="0" fontId="19"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vertical="center"/>
    </xf>
    <xf numFmtId="0" fontId="21" fillId="0" borderId="0" xfId="0" applyFont="1" applyAlignment="1">
      <alignment horizontal="left" vertical="center" wrapText="1"/>
    </xf>
    <xf numFmtId="0" fontId="18" fillId="0" borderId="0" xfId="0" applyFont="1" applyAlignment="1">
      <alignment horizontal="left" vertical="center"/>
    </xf>
    <xf numFmtId="0" fontId="2" fillId="0" borderId="3" xfId="0" applyFont="1" applyBorder="1" applyAlignment="1">
      <alignment horizontal="center" vertical="center"/>
    </xf>
    <xf numFmtId="0" fontId="19" fillId="0" borderId="0" xfId="0" applyFont="1" applyAlignment="1">
      <alignment horizontal="center" vertical="center"/>
    </xf>
    <xf numFmtId="0" fontId="5" fillId="0" borderId="0" xfId="0" applyFont="1" applyAlignment="1">
      <alignment horizontal="left" vertical="center"/>
    </xf>
    <xf numFmtId="0" fontId="18" fillId="0" borderId="0" xfId="0" applyFont="1" applyAlignment="1">
      <alignment horizontal="right" vertical="center"/>
    </xf>
    <xf numFmtId="0" fontId="2" fillId="0" borderId="33" xfId="0" applyFont="1" applyBorder="1" applyAlignment="1">
      <alignment horizontal="right" vertical="center"/>
    </xf>
    <xf numFmtId="0" fontId="2" fillId="0" borderId="34" xfId="0" applyFont="1" applyBorder="1" applyAlignment="1">
      <alignment horizontal="right" vertical="center"/>
    </xf>
    <xf numFmtId="0" fontId="5" fillId="0" borderId="34" xfId="0" applyFont="1" applyBorder="1" applyAlignment="1">
      <alignment horizontal="left" vertical="center"/>
    </xf>
    <xf numFmtId="0" fontId="18" fillId="0" borderId="34" xfId="0" applyFont="1" applyBorder="1" applyAlignment="1">
      <alignment horizontal="right" vertical="center"/>
    </xf>
    <xf numFmtId="0" fontId="18" fillId="0" borderId="34" xfId="0" applyFont="1" applyBorder="1" applyAlignment="1">
      <alignment horizontal="left" vertical="center"/>
    </xf>
    <xf numFmtId="0" fontId="2" fillId="0" borderId="34" xfId="0" applyFont="1" applyBorder="1" applyAlignment="1">
      <alignment horizontal="left" vertical="center"/>
    </xf>
    <xf numFmtId="0" fontId="2" fillId="0" borderId="35" xfId="0" applyFont="1" applyBorder="1" applyAlignment="1">
      <alignment horizontal="center" vertical="center"/>
    </xf>
    <xf numFmtId="0" fontId="16" fillId="4" borderId="0" xfId="0" applyFont="1" applyFill="1" applyAlignment="1">
      <alignment horizontal="left" vertical="center"/>
    </xf>
    <xf numFmtId="0" fontId="6" fillId="6" borderId="2" xfId="0" applyFont="1" applyFill="1" applyBorder="1" applyAlignment="1">
      <alignment horizontal="left" vertical="center"/>
    </xf>
    <xf numFmtId="0" fontId="6" fillId="6" borderId="0" xfId="0" applyFont="1" applyFill="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vertical="center"/>
    </xf>
    <xf numFmtId="0" fontId="8" fillId="7" borderId="38" xfId="0" applyFont="1" applyFill="1" applyBorder="1" applyAlignment="1">
      <alignment horizontal="left" vertical="center"/>
    </xf>
    <xf numFmtId="0" fontId="23" fillId="7" borderId="20" xfId="0" applyFont="1" applyFill="1" applyBorder="1" applyAlignment="1">
      <alignment horizontal="center" vertical="center"/>
    </xf>
    <xf numFmtId="0" fontId="23" fillId="7" borderId="37" xfId="0" applyFont="1" applyFill="1" applyBorder="1" applyAlignment="1">
      <alignment horizontal="center" vertical="center"/>
    </xf>
    <xf numFmtId="0" fontId="23" fillId="7" borderId="0" xfId="0" applyFont="1" applyFill="1" applyAlignment="1">
      <alignment horizontal="center" vertical="center"/>
    </xf>
    <xf numFmtId="0" fontId="6" fillId="0" borderId="0" xfId="0" applyFont="1" applyAlignment="1">
      <alignment horizontal="right" vertical="center"/>
    </xf>
    <xf numFmtId="0" fontId="6" fillId="0" borderId="0" xfId="0" applyFont="1" applyAlignment="1">
      <alignment horizontal="center" vertical="center"/>
    </xf>
    <xf numFmtId="0" fontId="6" fillId="0" borderId="0" xfId="0" applyFont="1" applyAlignment="1">
      <alignment vertical="center"/>
    </xf>
    <xf numFmtId="43" fontId="6" fillId="0" borderId="0" xfId="1" applyFont="1" applyAlignment="1">
      <alignment vertical="center"/>
    </xf>
    <xf numFmtId="0" fontId="25" fillId="0" borderId="0" xfId="0" quotePrefix="1" applyFont="1" applyAlignment="1">
      <alignment horizontal="left" vertical="center"/>
    </xf>
    <xf numFmtId="0" fontId="25" fillId="0" borderId="0" xfId="0" applyFont="1" applyAlignment="1">
      <alignment vertical="center"/>
    </xf>
    <xf numFmtId="0" fontId="25" fillId="0" borderId="39" xfId="0" quotePrefix="1" applyFont="1" applyBorder="1" applyAlignment="1">
      <alignment vertical="center"/>
    </xf>
    <xf numFmtId="0" fontId="5" fillId="0" borderId="0" xfId="0" quotePrefix="1" applyFont="1" applyAlignment="1">
      <alignment vertical="center" wrapText="1"/>
    </xf>
    <xf numFmtId="0" fontId="5" fillId="0" borderId="3" xfId="0" quotePrefix="1" applyFont="1" applyBorder="1" applyAlignment="1">
      <alignment horizontal="center" vertical="center"/>
    </xf>
    <xf numFmtId="0" fontId="5" fillId="0" borderId="0" xfId="0" quotePrefix="1" applyFont="1" applyAlignment="1">
      <alignment horizontal="center" vertical="center"/>
    </xf>
    <xf numFmtId="0" fontId="25" fillId="0" borderId="0" xfId="0" applyFont="1"/>
    <xf numFmtId="0" fontId="25" fillId="0" borderId="0" xfId="0" quotePrefix="1" applyFont="1" applyAlignment="1">
      <alignment vertical="center" wrapText="1"/>
    </xf>
    <xf numFmtId="0" fontId="25" fillId="0" borderId="39" xfId="0" applyFont="1" applyBorder="1" applyAlignment="1">
      <alignment vertical="center"/>
    </xf>
    <xf numFmtId="0" fontId="5" fillId="0" borderId="0" xfId="0" quotePrefix="1" applyFont="1" applyAlignment="1">
      <alignment vertical="center"/>
    </xf>
    <xf numFmtId="0" fontId="5" fillId="0" borderId="3" xfId="0" quotePrefix="1" applyFont="1" applyBorder="1" applyAlignment="1">
      <alignment horizontal="left" wrapText="1"/>
    </xf>
    <xf numFmtId="0" fontId="5" fillId="0" borderId="0" xfId="0" quotePrefix="1" applyFont="1" applyAlignment="1">
      <alignment horizontal="left" wrapText="1"/>
    </xf>
    <xf numFmtId="0" fontId="5" fillId="0" borderId="0" xfId="0" quotePrefix="1" applyFont="1" applyAlignment="1">
      <alignment horizontal="left" vertical="center" wrapText="1"/>
    </xf>
    <xf numFmtId="0" fontId="5" fillId="0" borderId="4" xfId="0" applyFont="1" applyBorder="1" applyAlignment="1">
      <alignment horizontal="left" vertical="center"/>
    </xf>
    <xf numFmtId="0" fontId="5" fillId="0" borderId="5" xfId="0" applyFont="1" applyBorder="1" applyAlignment="1">
      <alignment horizontal="left" vertical="center"/>
    </xf>
    <xf numFmtId="0" fontId="25" fillId="0" borderId="5" xfId="0" applyFont="1" applyBorder="1" applyAlignment="1">
      <alignment vertical="center"/>
    </xf>
    <xf numFmtId="0" fontId="25" fillId="0" borderId="5" xfId="0" quotePrefix="1" applyFont="1" applyBorder="1" applyAlignment="1">
      <alignment vertical="center" wrapText="1"/>
    </xf>
    <xf numFmtId="0" fontId="25" fillId="0" borderId="28" xfId="0" quotePrefix="1" applyFont="1" applyBorder="1" applyAlignment="1">
      <alignment vertical="center" wrapText="1"/>
    </xf>
    <xf numFmtId="0" fontId="5" fillId="0" borderId="5" xfId="0" quotePrefix="1" applyFont="1" applyBorder="1" applyAlignment="1">
      <alignment vertical="center" wrapText="1"/>
    </xf>
    <xf numFmtId="0" fontId="5" fillId="0" borderId="5" xfId="0" quotePrefix="1" applyFont="1" applyBorder="1" applyAlignment="1">
      <alignment horizontal="left" vertical="center" wrapText="1"/>
    </xf>
    <xf numFmtId="0" fontId="5" fillId="0" borderId="6" xfId="0" quotePrefix="1" applyFont="1" applyBorder="1" applyAlignment="1">
      <alignment horizontal="left" vertical="center" wrapText="1"/>
    </xf>
    <xf numFmtId="0" fontId="23" fillId="0" borderId="2" xfId="0" applyFont="1" applyBorder="1" applyAlignment="1">
      <alignment vertical="center"/>
    </xf>
    <xf numFmtId="0" fontId="23" fillId="0" borderId="0" xfId="0" applyFont="1" applyAlignment="1">
      <alignment vertical="center"/>
    </xf>
    <xf numFmtId="0" fontId="8" fillId="0" borderId="0" xfId="0" applyFont="1" applyAlignment="1">
      <alignment horizontal="center" vertical="center"/>
    </xf>
    <xf numFmtId="0" fontId="8" fillId="0" borderId="0" xfId="0" applyFont="1" applyAlignment="1">
      <alignment vertical="center"/>
    </xf>
    <xf numFmtId="0" fontId="6" fillId="0" borderId="0" xfId="0" applyFont="1" applyAlignment="1">
      <alignment horizontal="left" vertical="center"/>
    </xf>
    <xf numFmtId="0" fontId="6" fillId="0" borderId="3" xfId="0" applyFont="1" applyBorder="1" applyAlignment="1">
      <alignment horizontal="left" vertical="center"/>
    </xf>
    <xf numFmtId="0" fontId="3" fillId="2" borderId="14" xfId="0" applyFont="1" applyFill="1" applyBorder="1" applyAlignment="1">
      <alignment horizontal="center" vertical="center"/>
    </xf>
    <xf numFmtId="0" fontId="3" fillId="2" borderId="0" xfId="0" applyFont="1" applyFill="1" applyAlignment="1">
      <alignment horizontal="center" vertical="center"/>
    </xf>
    <xf numFmtId="0" fontId="3" fillId="0" borderId="34" xfId="0" applyFont="1" applyBorder="1" applyAlignment="1">
      <alignment horizontal="center" vertical="center"/>
    </xf>
    <xf numFmtId="0" fontId="3" fillId="0" borderId="14"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4" fillId="0" borderId="12" xfId="0" applyFont="1" applyBorder="1" applyAlignment="1">
      <alignment horizontal="center" vertical="center"/>
    </xf>
    <xf numFmtId="0" fontId="3" fillId="0" borderId="19" xfId="0" applyFont="1" applyBorder="1" applyAlignment="1">
      <alignment horizontal="center" vertical="center"/>
    </xf>
    <xf numFmtId="0" fontId="3" fillId="0" borderId="17" xfId="0" applyFont="1" applyBorder="1" applyAlignment="1">
      <alignment horizontal="center" vertical="center"/>
    </xf>
    <xf numFmtId="0" fontId="3" fillId="0" borderId="1" xfId="0" applyFont="1" applyBorder="1" applyAlignment="1">
      <alignment horizontal="left" vertical="center"/>
    </xf>
    <xf numFmtId="169" fontId="3" fillId="0" borderId="0" xfId="0" applyNumberFormat="1" applyFont="1" applyAlignment="1">
      <alignment horizontal="center" vertical="center"/>
    </xf>
    <xf numFmtId="0" fontId="4" fillId="0" borderId="0" xfId="0" applyFont="1" applyAlignment="1">
      <alignment horizontal="left" vertical="center"/>
    </xf>
    <xf numFmtId="169" fontId="4" fillId="0" borderId="0" xfId="0" applyNumberFormat="1" applyFont="1" applyAlignment="1">
      <alignment horizontal="center" vertical="center"/>
    </xf>
    <xf numFmtId="0" fontId="3" fillId="0" borderId="1" xfId="0" applyFont="1" applyBorder="1" applyAlignment="1">
      <alignment vertical="center"/>
    </xf>
    <xf numFmtId="169" fontId="3" fillId="0" borderId="1" xfId="0" applyNumberFormat="1" applyFont="1" applyBorder="1" applyAlignment="1">
      <alignment horizontal="left" vertical="center"/>
    </xf>
    <xf numFmtId="169" fontId="3" fillId="0" borderId="0" xfId="0" applyNumberFormat="1" applyFont="1" applyAlignment="1">
      <alignment horizontal="left" vertical="center"/>
    </xf>
    <xf numFmtId="0" fontId="26" fillId="0" borderId="0" xfId="0" applyFont="1" applyAlignment="1">
      <alignment horizontal="right" vertical="center"/>
    </xf>
    <xf numFmtId="0" fontId="3" fillId="2" borderId="16" xfId="0" applyFont="1" applyFill="1" applyBorder="1" applyAlignment="1">
      <alignment horizontal="left" vertical="center"/>
    </xf>
    <xf numFmtId="0" fontId="3" fillId="2" borderId="17" xfId="0" applyFont="1" applyFill="1" applyBorder="1" applyAlignment="1">
      <alignment horizontal="left" vertical="center"/>
    </xf>
    <xf numFmtId="0" fontId="3" fillId="0" borderId="19"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2" borderId="11" xfId="0" applyFont="1" applyFill="1" applyBorder="1" applyAlignment="1">
      <alignment horizontal="left" vertical="center"/>
    </xf>
    <xf numFmtId="0" fontId="3" fillId="2" borderId="12" xfId="0" applyFont="1" applyFill="1" applyBorder="1" applyAlignment="1">
      <alignment horizontal="left" vertical="center"/>
    </xf>
    <xf numFmtId="0" fontId="3" fillId="0" borderId="24" xfId="0" applyFont="1" applyBorder="1" applyAlignment="1">
      <alignment horizontal="center" vertical="center"/>
    </xf>
    <xf numFmtId="0" fontId="16" fillId="4" borderId="11" xfId="0" applyFont="1" applyFill="1" applyBorder="1" applyAlignment="1">
      <alignment horizontal="left" vertical="center"/>
    </xf>
    <xf numFmtId="0" fontId="16" fillId="4" borderId="12" xfId="0" applyFont="1" applyFill="1" applyBorder="1" applyAlignment="1">
      <alignment horizontal="left" vertical="center"/>
    </xf>
    <xf numFmtId="0" fontId="16" fillId="4" borderId="15" xfId="0" applyFont="1" applyFill="1" applyBorder="1" applyAlignment="1">
      <alignment horizontal="left" vertical="center"/>
    </xf>
    <xf numFmtId="0" fontId="5" fillId="0" borderId="2" xfId="0" applyFont="1" applyBorder="1" applyAlignment="1">
      <alignment horizontal="left" vertical="center"/>
    </xf>
    <xf numFmtId="0" fontId="5" fillId="0" borderId="0" xfId="0" applyFont="1" applyAlignment="1">
      <alignment horizontal="left"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14" fillId="5" borderId="14" xfId="0" applyFont="1" applyFill="1" applyBorder="1" applyAlignment="1">
      <alignment horizontal="left" vertical="center"/>
    </xf>
    <xf numFmtId="0" fontId="14" fillId="5" borderId="13" xfId="0" applyFont="1" applyFill="1" applyBorder="1" applyAlignment="1">
      <alignment horizontal="left" vertical="center"/>
    </xf>
    <xf numFmtId="0" fontId="16" fillId="4" borderId="2" xfId="0" quotePrefix="1" applyFont="1" applyFill="1" applyBorder="1" applyAlignment="1">
      <alignment horizontal="left" vertical="center" wrapText="1"/>
    </xf>
    <xf numFmtId="0" fontId="16" fillId="4" borderId="0" xfId="0" quotePrefix="1" applyFont="1" applyFill="1" applyAlignment="1">
      <alignment horizontal="left" vertical="center" wrapText="1"/>
    </xf>
    <xf numFmtId="0" fontId="16" fillId="4" borderId="3" xfId="0" quotePrefix="1" applyFont="1" applyFill="1" applyBorder="1" applyAlignment="1">
      <alignment horizontal="left" vertical="center" wrapText="1"/>
    </xf>
    <xf numFmtId="0" fontId="21" fillId="0" borderId="33" xfId="0" applyFont="1" applyBorder="1" applyAlignment="1">
      <alignment horizontal="left" vertical="center" wrapText="1"/>
    </xf>
    <xf numFmtId="0" fontId="21" fillId="0" borderId="34" xfId="0" applyFont="1" applyBorder="1" applyAlignment="1">
      <alignment horizontal="left" vertical="center" wrapText="1"/>
    </xf>
    <xf numFmtId="0" fontId="21" fillId="0" borderId="35" xfId="0" applyFont="1" applyBorder="1" applyAlignment="1">
      <alignment horizontal="left" vertical="center" wrapText="1"/>
    </xf>
    <xf numFmtId="0" fontId="16" fillId="4" borderId="36" xfId="0" quotePrefix="1" applyFont="1" applyFill="1" applyBorder="1" applyAlignment="1">
      <alignment horizontal="left" vertical="center" wrapText="1"/>
    </xf>
    <xf numFmtId="0" fontId="16" fillId="4" borderId="20" xfId="0" quotePrefix="1" applyFont="1" applyFill="1" applyBorder="1" applyAlignment="1">
      <alignment horizontal="left" vertical="center" wrapText="1"/>
    </xf>
    <xf numFmtId="0" fontId="16" fillId="4" borderId="37" xfId="0" quotePrefix="1" applyFont="1" applyFill="1" applyBorder="1" applyAlignment="1">
      <alignment horizontal="left" vertical="center" wrapText="1"/>
    </xf>
    <xf numFmtId="43" fontId="10" fillId="0" borderId="29" xfId="1" applyFont="1" applyFill="1" applyBorder="1" applyAlignment="1">
      <alignment horizontal="center" vertical="center"/>
    </xf>
    <xf numFmtId="43" fontId="10" fillId="0" borderId="32" xfId="1" applyFont="1" applyFill="1" applyBorder="1" applyAlignment="1">
      <alignment horizontal="center" vertical="center"/>
    </xf>
    <xf numFmtId="43" fontId="10" fillId="0" borderId="31" xfId="1" applyFont="1" applyFill="1" applyBorder="1" applyAlignment="1">
      <alignment horizontal="center" vertical="center"/>
    </xf>
    <xf numFmtId="43" fontId="13" fillId="0" borderId="29" xfId="1" applyFont="1" applyBorder="1" applyAlignment="1">
      <alignment horizontal="center" vertical="center"/>
    </xf>
    <xf numFmtId="43" fontId="13" fillId="0" borderId="32" xfId="1" applyFont="1" applyBorder="1" applyAlignment="1">
      <alignment horizontal="center" vertical="center"/>
    </xf>
    <xf numFmtId="43" fontId="13" fillId="0" borderId="31" xfId="1" applyFont="1" applyBorder="1" applyAlignment="1">
      <alignment horizontal="center" vertical="center"/>
    </xf>
    <xf numFmtId="0" fontId="13" fillId="0" borderId="29" xfId="0" applyFont="1" applyBorder="1" applyAlignment="1">
      <alignment horizontal="center" vertical="center"/>
    </xf>
    <xf numFmtId="0" fontId="13" fillId="0" borderId="32" xfId="0" applyFont="1" applyBorder="1" applyAlignment="1">
      <alignment horizontal="center" vertical="center"/>
    </xf>
    <xf numFmtId="0" fontId="13" fillId="0" borderId="31" xfId="0" applyFont="1" applyBorder="1" applyAlignment="1">
      <alignment horizontal="center" vertical="center"/>
    </xf>
    <xf numFmtId="0" fontId="7" fillId="5" borderId="14" xfId="0" applyFont="1" applyFill="1" applyBorder="1" applyAlignment="1">
      <alignment horizontal="left" vertical="center"/>
    </xf>
    <xf numFmtId="0" fontId="7" fillId="5" borderId="13" xfId="0" applyFont="1" applyFill="1" applyBorder="1" applyAlignment="1">
      <alignment horizontal="left" vertical="center"/>
    </xf>
    <xf numFmtId="0" fontId="3" fillId="3" borderId="14" xfId="0" applyFont="1" applyFill="1" applyBorder="1" applyAlignment="1">
      <alignment horizontal="center" vertical="center"/>
    </xf>
    <xf numFmtId="0" fontId="3" fillId="3" borderId="13" xfId="0" applyFont="1" applyFill="1" applyBorder="1" applyAlignment="1">
      <alignment horizontal="center" vertical="center"/>
    </xf>
    <xf numFmtId="0" fontId="3" fillId="4" borderId="14" xfId="0" applyFont="1" applyFill="1" applyBorder="1" applyAlignment="1">
      <alignment horizontal="center" vertical="center"/>
    </xf>
    <xf numFmtId="0" fontId="3" fillId="4" borderId="13" xfId="0" applyFont="1" applyFill="1" applyBorder="1" applyAlignment="1">
      <alignment horizontal="center" vertical="center"/>
    </xf>
    <xf numFmtId="0" fontId="3" fillId="3" borderId="24" xfId="0" applyFont="1" applyFill="1" applyBorder="1" applyAlignment="1">
      <alignment horizontal="center" vertical="center"/>
    </xf>
    <xf numFmtId="0" fontId="4" fillId="2" borderId="2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3" fillId="2" borderId="23" xfId="0" applyFont="1" applyFill="1" applyBorder="1" applyAlignment="1">
      <alignment horizontal="center" vertical="center"/>
    </xf>
    <xf numFmtId="0" fontId="3" fillId="2" borderId="28" xfId="0" applyFont="1" applyFill="1" applyBorder="1" applyAlignment="1">
      <alignment horizontal="center" vertical="center"/>
    </xf>
    <xf numFmtId="0" fontId="3" fillId="2" borderId="21" xfId="0" applyFont="1" applyFill="1" applyBorder="1" applyAlignment="1">
      <alignment horizontal="center" vertical="center" wrapText="1"/>
    </xf>
    <xf numFmtId="0" fontId="3" fillId="2" borderId="25" xfId="0" applyFont="1" applyFill="1" applyBorder="1" applyAlignment="1">
      <alignment horizontal="center" vertical="center"/>
    </xf>
    <xf numFmtId="0" fontId="3" fillId="2" borderId="22"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2" xfId="0" applyFont="1" applyFill="1" applyBorder="1" applyAlignment="1">
      <alignment horizontal="center" vertical="center"/>
    </xf>
    <xf numFmtId="0" fontId="3" fillId="2" borderId="26" xfId="0" applyFont="1" applyFill="1" applyBorder="1" applyAlignment="1">
      <alignment horizontal="center" vertic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10</xdr:col>
      <xdr:colOff>0</xdr:colOff>
      <xdr:row>0</xdr:row>
      <xdr:rowOff>0</xdr:rowOff>
    </xdr:to>
    <xdr:sp macro="" textlink="">
      <xdr:nvSpPr>
        <xdr:cNvPr id="2" name="Rectangle 3">
          <a:extLst>
            <a:ext uri="{FF2B5EF4-FFF2-40B4-BE49-F238E27FC236}">
              <a16:creationId xmlns:a16="http://schemas.microsoft.com/office/drawing/2014/main" id="{1B7CF668-11C2-2A44-9724-3970E684DBB8}"/>
            </a:ext>
          </a:extLst>
        </xdr:cNvPr>
        <xdr:cNvSpPr>
          <a:spLocks noChangeArrowheads="1"/>
        </xdr:cNvSpPr>
      </xdr:nvSpPr>
      <xdr:spPr bwMode="auto">
        <a:xfrm>
          <a:off x="16662400" y="0"/>
          <a:ext cx="2374900" cy="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2837488</xdr:colOff>
      <xdr:row>251</xdr:row>
      <xdr:rowOff>44420</xdr:rowOff>
    </xdr:from>
    <xdr:to>
      <xdr:col>2</xdr:col>
      <xdr:colOff>3106428</xdr:colOff>
      <xdr:row>251</xdr:row>
      <xdr:rowOff>210509</xdr:rowOff>
    </xdr:to>
    <xdr:sp macro="" textlink="">
      <xdr:nvSpPr>
        <xdr:cNvPr id="3" name="Text Box 4">
          <a:extLst>
            <a:ext uri="{FF2B5EF4-FFF2-40B4-BE49-F238E27FC236}">
              <a16:creationId xmlns:a16="http://schemas.microsoft.com/office/drawing/2014/main" id="{4372E1BD-3FFF-5742-B5BC-DC34026236E9}"/>
            </a:ext>
          </a:extLst>
        </xdr:cNvPr>
        <xdr:cNvSpPr txBox="1">
          <a:spLocks noChangeArrowheads="1"/>
        </xdr:cNvSpPr>
      </xdr:nvSpPr>
      <xdr:spPr bwMode="auto">
        <a:xfrm flipH="1">
          <a:off x="8501688" y="22047200"/>
          <a:ext cx="268940" cy="0"/>
        </a:xfrm>
        <a:prstGeom prst="rect">
          <a:avLst/>
        </a:prstGeom>
        <a:solidFill>
          <a:srgbClr val="FFFFFF"/>
        </a:solidFill>
        <a:ln w="9525">
          <a:solidFill>
            <a:srgbClr val="FF0000"/>
          </a:solidFill>
          <a:miter lim="800000"/>
          <a:headEnd/>
          <a:tailEnd/>
        </a:ln>
      </xdr:spPr>
    </xdr:sp>
    <xdr:clientData/>
  </xdr:twoCellAnchor>
  <xdr:twoCellAnchor>
    <xdr:from>
      <xdr:col>5</xdr:col>
      <xdr:colOff>838200</xdr:colOff>
      <xdr:row>247</xdr:row>
      <xdr:rowOff>66148</xdr:rowOff>
    </xdr:from>
    <xdr:to>
      <xdr:col>6</xdr:col>
      <xdr:colOff>42241</xdr:colOff>
      <xdr:row>248</xdr:row>
      <xdr:rowOff>0</xdr:rowOff>
    </xdr:to>
    <xdr:sp macro="" textlink="">
      <xdr:nvSpPr>
        <xdr:cNvPr id="4" name="Text Box 4">
          <a:extLst>
            <a:ext uri="{FF2B5EF4-FFF2-40B4-BE49-F238E27FC236}">
              <a16:creationId xmlns:a16="http://schemas.microsoft.com/office/drawing/2014/main" id="{F8250B7C-5E97-0443-9F6B-EC883DC11EA1}"/>
            </a:ext>
          </a:extLst>
        </xdr:cNvPr>
        <xdr:cNvSpPr txBox="1">
          <a:spLocks noChangeArrowheads="1"/>
        </xdr:cNvSpPr>
      </xdr:nvSpPr>
      <xdr:spPr bwMode="auto">
        <a:xfrm>
          <a:off x="13843000" y="22047200"/>
          <a:ext cx="448641" cy="0"/>
        </a:xfrm>
        <a:prstGeom prst="rect">
          <a:avLst/>
        </a:prstGeom>
        <a:solidFill>
          <a:srgbClr val="FFFFFF"/>
        </a:solidFill>
        <a:ln w="9525">
          <a:solidFill>
            <a:srgbClr val="FF0000"/>
          </a:solidFill>
          <a:miter lim="800000"/>
          <a:headEnd/>
          <a:tailEnd/>
        </a:ln>
      </xdr:spPr>
    </xdr:sp>
    <xdr:clientData/>
  </xdr:twoCellAnchor>
  <xdr:twoCellAnchor>
    <xdr:from>
      <xdr:col>30</xdr:col>
      <xdr:colOff>442891</xdr:colOff>
      <xdr:row>251</xdr:row>
      <xdr:rowOff>64623</xdr:rowOff>
    </xdr:from>
    <xdr:to>
      <xdr:col>30</xdr:col>
      <xdr:colOff>816171</xdr:colOff>
      <xdr:row>251</xdr:row>
      <xdr:rowOff>204348</xdr:rowOff>
    </xdr:to>
    <xdr:sp macro="" textlink="">
      <xdr:nvSpPr>
        <xdr:cNvPr id="5" name="Text Box 4">
          <a:extLst>
            <a:ext uri="{FF2B5EF4-FFF2-40B4-BE49-F238E27FC236}">
              <a16:creationId xmlns:a16="http://schemas.microsoft.com/office/drawing/2014/main" id="{349E1E2B-8AFD-CB4C-9AFE-CE74AA2BD81D}"/>
            </a:ext>
          </a:extLst>
        </xdr:cNvPr>
        <xdr:cNvSpPr txBox="1">
          <a:spLocks noChangeArrowheads="1"/>
        </xdr:cNvSpPr>
      </xdr:nvSpPr>
      <xdr:spPr bwMode="auto">
        <a:xfrm>
          <a:off x="24534791" y="22047200"/>
          <a:ext cx="373280" cy="0"/>
        </a:xfrm>
        <a:prstGeom prst="rect">
          <a:avLst/>
        </a:prstGeom>
        <a:solidFill>
          <a:srgbClr val="FFFFFF"/>
        </a:solidFill>
        <a:ln w="9525">
          <a:solidFill>
            <a:srgbClr val="FF0000"/>
          </a:solidFill>
          <a:miter lim="800000"/>
          <a:headEnd/>
          <a:tailEnd/>
        </a:ln>
      </xdr:spPr>
    </xdr:sp>
    <xdr:clientData/>
  </xdr:twoCellAnchor>
  <xdr:twoCellAnchor>
    <xdr:from>
      <xdr:col>5</xdr:col>
      <xdr:colOff>790575</xdr:colOff>
      <xdr:row>251</xdr:row>
      <xdr:rowOff>47626</xdr:rowOff>
    </xdr:from>
    <xdr:to>
      <xdr:col>5</xdr:col>
      <xdr:colOff>1058517</xdr:colOff>
      <xdr:row>251</xdr:row>
      <xdr:rowOff>180975</xdr:rowOff>
    </xdr:to>
    <xdr:sp macro="" textlink="">
      <xdr:nvSpPr>
        <xdr:cNvPr id="6" name="Text Box 4">
          <a:extLst>
            <a:ext uri="{FF2B5EF4-FFF2-40B4-BE49-F238E27FC236}">
              <a16:creationId xmlns:a16="http://schemas.microsoft.com/office/drawing/2014/main" id="{F2575C6A-802C-6E4B-8060-91FD9C56BEE0}"/>
            </a:ext>
          </a:extLst>
        </xdr:cNvPr>
        <xdr:cNvSpPr txBox="1">
          <a:spLocks noChangeArrowheads="1"/>
        </xdr:cNvSpPr>
      </xdr:nvSpPr>
      <xdr:spPr bwMode="auto">
        <a:xfrm>
          <a:off x="13795375" y="22047200"/>
          <a:ext cx="267942" cy="0"/>
        </a:xfrm>
        <a:prstGeom prst="rect">
          <a:avLst/>
        </a:prstGeom>
        <a:solidFill>
          <a:srgbClr val="FFFFFF"/>
        </a:solidFill>
        <a:ln w="9525">
          <a:solidFill>
            <a:srgbClr val="FF0000"/>
          </a:solidFill>
          <a:miter lim="800000"/>
          <a:headEnd/>
          <a:tailEnd/>
        </a:ln>
      </xdr:spPr>
    </xdr:sp>
    <xdr:clientData/>
  </xdr:twoCellAnchor>
  <xdr:twoCellAnchor>
    <xdr:from>
      <xdr:col>0</xdr:col>
      <xdr:colOff>63313</xdr:colOff>
      <xdr:row>247</xdr:row>
      <xdr:rowOff>70036</xdr:rowOff>
    </xdr:from>
    <xdr:to>
      <xdr:col>0</xdr:col>
      <xdr:colOff>323850</xdr:colOff>
      <xdr:row>247</xdr:row>
      <xdr:rowOff>209549</xdr:rowOff>
    </xdr:to>
    <xdr:sp macro="" textlink="">
      <xdr:nvSpPr>
        <xdr:cNvPr id="7" name="Text Box 4">
          <a:extLst>
            <a:ext uri="{FF2B5EF4-FFF2-40B4-BE49-F238E27FC236}">
              <a16:creationId xmlns:a16="http://schemas.microsoft.com/office/drawing/2014/main" id="{25084E6E-7B57-5043-9D9E-E3055035EB57}"/>
            </a:ext>
          </a:extLst>
        </xdr:cNvPr>
        <xdr:cNvSpPr txBox="1">
          <a:spLocks noChangeArrowheads="1"/>
        </xdr:cNvSpPr>
      </xdr:nvSpPr>
      <xdr:spPr bwMode="auto">
        <a:xfrm>
          <a:off x="63313" y="22047200"/>
          <a:ext cx="260537" cy="0"/>
        </a:xfrm>
        <a:prstGeom prst="rect">
          <a:avLst/>
        </a:prstGeom>
        <a:solidFill>
          <a:srgbClr val="FFFFFF"/>
        </a:solidFill>
        <a:ln w="9525">
          <a:solidFill>
            <a:srgbClr val="FF0000"/>
          </a:solidFill>
          <a:miter lim="800000"/>
          <a:headEnd/>
          <a:tailEnd/>
        </a:ln>
      </xdr:spPr>
    </xdr:sp>
    <xdr:clientData/>
  </xdr:twoCellAnchor>
  <xdr:twoCellAnchor>
    <xdr:from>
      <xdr:col>0</xdr:col>
      <xdr:colOff>53788</xdr:colOff>
      <xdr:row>251</xdr:row>
      <xdr:rowOff>38100</xdr:rowOff>
    </xdr:from>
    <xdr:to>
      <xdr:col>0</xdr:col>
      <xdr:colOff>323850</xdr:colOff>
      <xdr:row>251</xdr:row>
      <xdr:rowOff>200025</xdr:rowOff>
    </xdr:to>
    <xdr:sp macro="" textlink="">
      <xdr:nvSpPr>
        <xdr:cNvPr id="8" name="Text Box 4">
          <a:extLst>
            <a:ext uri="{FF2B5EF4-FFF2-40B4-BE49-F238E27FC236}">
              <a16:creationId xmlns:a16="http://schemas.microsoft.com/office/drawing/2014/main" id="{9068ECDB-7164-DB48-960B-95BC15509DDE}"/>
            </a:ext>
          </a:extLst>
        </xdr:cNvPr>
        <xdr:cNvSpPr txBox="1">
          <a:spLocks noChangeArrowheads="1"/>
        </xdr:cNvSpPr>
      </xdr:nvSpPr>
      <xdr:spPr bwMode="auto">
        <a:xfrm>
          <a:off x="53788" y="22047200"/>
          <a:ext cx="270062" cy="0"/>
        </a:xfrm>
        <a:prstGeom prst="rect">
          <a:avLst/>
        </a:prstGeom>
        <a:solidFill>
          <a:srgbClr val="FFFFFF"/>
        </a:solidFill>
        <a:ln w="9525">
          <a:solidFill>
            <a:srgbClr val="FF0000"/>
          </a:solidFill>
          <a:miter lim="800000"/>
          <a:headEnd/>
          <a:tailEnd/>
        </a:ln>
      </xdr:spPr>
    </xdr:sp>
    <xdr:clientData/>
  </xdr:twoCellAnchor>
  <xdr:twoCellAnchor>
    <xdr:from>
      <xdr:col>2</xdr:col>
      <xdr:colOff>2482902</xdr:colOff>
      <xdr:row>247</xdr:row>
      <xdr:rowOff>62748</xdr:rowOff>
    </xdr:from>
    <xdr:to>
      <xdr:col>2</xdr:col>
      <xdr:colOff>2798907</xdr:colOff>
      <xdr:row>248</xdr:row>
      <xdr:rowOff>7123</xdr:rowOff>
    </xdr:to>
    <xdr:sp macro="" textlink="">
      <xdr:nvSpPr>
        <xdr:cNvPr id="9" name="Text Box 4">
          <a:extLst>
            <a:ext uri="{FF2B5EF4-FFF2-40B4-BE49-F238E27FC236}">
              <a16:creationId xmlns:a16="http://schemas.microsoft.com/office/drawing/2014/main" id="{A5CACB62-6C3E-D642-85EC-1D2A1E445F66}"/>
            </a:ext>
          </a:extLst>
        </xdr:cNvPr>
        <xdr:cNvSpPr txBox="1">
          <a:spLocks noChangeArrowheads="1"/>
        </xdr:cNvSpPr>
      </xdr:nvSpPr>
      <xdr:spPr bwMode="auto">
        <a:xfrm>
          <a:off x="8147102" y="22047200"/>
          <a:ext cx="316005" cy="0"/>
        </a:xfrm>
        <a:prstGeom prst="rect">
          <a:avLst/>
        </a:prstGeom>
        <a:solidFill>
          <a:srgbClr val="FFFFFF"/>
        </a:solidFill>
        <a:ln w="9525">
          <a:solidFill>
            <a:srgbClr val="FF0000"/>
          </a:solidFill>
          <a:miter lim="800000"/>
          <a:headEnd/>
          <a:tailEnd/>
        </a:ln>
      </xdr:spPr>
    </xdr:sp>
    <xdr:clientData/>
  </xdr:twoCellAnchor>
  <xdr:twoCellAnchor>
    <xdr:from>
      <xdr:col>20</xdr:col>
      <xdr:colOff>799010</xdr:colOff>
      <xdr:row>247</xdr:row>
      <xdr:rowOff>56428</xdr:rowOff>
    </xdr:from>
    <xdr:to>
      <xdr:col>20</xdr:col>
      <xdr:colOff>1049367</xdr:colOff>
      <xdr:row>247</xdr:row>
      <xdr:rowOff>199303</xdr:rowOff>
    </xdr:to>
    <xdr:sp macro="" textlink="">
      <xdr:nvSpPr>
        <xdr:cNvPr id="10" name="Text Box 4">
          <a:extLst>
            <a:ext uri="{FF2B5EF4-FFF2-40B4-BE49-F238E27FC236}">
              <a16:creationId xmlns:a16="http://schemas.microsoft.com/office/drawing/2014/main" id="{9F431AD6-EDA8-8B4F-BDEC-909199D946EE}"/>
            </a:ext>
          </a:extLst>
        </xdr:cNvPr>
        <xdr:cNvSpPr txBox="1">
          <a:spLocks noChangeArrowheads="1"/>
        </xdr:cNvSpPr>
      </xdr:nvSpPr>
      <xdr:spPr bwMode="auto">
        <a:xfrm>
          <a:off x="19037300" y="22047200"/>
          <a:ext cx="0" cy="0"/>
        </a:xfrm>
        <a:prstGeom prst="rect">
          <a:avLst/>
        </a:prstGeom>
        <a:solidFill>
          <a:srgbClr val="FFFFFF"/>
        </a:solidFill>
        <a:ln w="9525">
          <a:solidFill>
            <a:srgbClr val="FF0000"/>
          </a:solidFill>
          <a:miter lim="800000"/>
          <a:headEnd/>
          <a:tailEnd/>
        </a:ln>
      </xdr:spPr>
    </xdr:sp>
    <xdr:clientData/>
  </xdr:twoCellAnchor>
  <xdr:twoCellAnchor>
    <xdr:from>
      <xdr:col>10</xdr:col>
      <xdr:colOff>661260</xdr:colOff>
      <xdr:row>251</xdr:row>
      <xdr:rowOff>47625</xdr:rowOff>
    </xdr:from>
    <xdr:to>
      <xdr:col>10</xdr:col>
      <xdr:colOff>1001367</xdr:colOff>
      <xdr:row>251</xdr:row>
      <xdr:rowOff>190500</xdr:rowOff>
    </xdr:to>
    <xdr:sp macro="" textlink="">
      <xdr:nvSpPr>
        <xdr:cNvPr id="11" name="Text Box 4">
          <a:extLst>
            <a:ext uri="{FF2B5EF4-FFF2-40B4-BE49-F238E27FC236}">
              <a16:creationId xmlns:a16="http://schemas.microsoft.com/office/drawing/2014/main" id="{A5834415-040B-7948-A352-35259EE14DCD}"/>
            </a:ext>
          </a:extLst>
        </xdr:cNvPr>
        <xdr:cNvSpPr txBox="1">
          <a:spLocks noChangeArrowheads="1"/>
        </xdr:cNvSpPr>
      </xdr:nvSpPr>
      <xdr:spPr bwMode="auto">
        <a:xfrm>
          <a:off x="19037300" y="22047200"/>
          <a:ext cx="0" cy="0"/>
        </a:xfrm>
        <a:prstGeom prst="rect">
          <a:avLst/>
        </a:prstGeom>
        <a:solidFill>
          <a:srgbClr val="FFFFFF"/>
        </a:solidFill>
        <a:ln w="9525">
          <a:solidFill>
            <a:srgbClr val="FF0000"/>
          </a:solidFill>
          <a:miter lim="800000"/>
          <a:headEnd/>
          <a:tailEnd/>
        </a:ln>
      </xdr:spPr>
    </xdr:sp>
    <xdr:clientData/>
  </xdr:twoCellAnchor>
  <xdr:twoCellAnchor>
    <xdr:from>
      <xdr:col>8</xdr:col>
      <xdr:colOff>38100</xdr:colOff>
      <xdr:row>256</xdr:row>
      <xdr:rowOff>28575</xdr:rowOff>
    </xdr:from>
    <xdr:to>
      <xdr:col>8</xdr:col>
      <xdr:colOff>257175</xdr:colOff>
      <xdr:row>256</xdr:row>
      <xdr:rowOff>161925</xdr:rowOff>
    </xdr:to>
    <xdr:sp macro="" textlink="">
      <xdr:nvSpPr>
        <xdr:cNvPr id="12" name="Text Box 4">
          <a:extLst>
            <a:ext uri="{FF2B5EF4-FFF2-40B4-BE49-F238E27FC236}">
              <a16:creationId xmlns:a16="http://schemas.microsoft.com/office/drawing/2014/main" id="{45AE69BF-F0AB-B949-ACB2-41CFAF72AC11}"/>
            </a:ext>
          </a:extLst>
        </xdr:cNvPr>
        <xdr:cNvSpPr txBox="1">
          <a:spLocks noChangeArrowheads="1"/>
        </xdr:cNvSpPr>
      </xdr:nvSpPr>
      <xdr:spPr bwMode="auto">
        <a:xfrm>
          <a:off x="16700500" y="22710775"/>
          <a:ext cx="219075" cy="133350"/>
        </a:xfrm>
        <a:prstGeom prst="rect">
          <a:avLst/>
        </a:prstGeom>
        <a:solidFill>
          <a:srgbClr val="FFFFFF"/>
        </a:solidFill>
        <a:ln w="9525">
          <a:solidFill>
            <a:srgbClr val="FF0000"/>
          </a:solidFill>
          <a:miter lim="800000"/>
          <a:headEnd/>
          <a:tailEnd/>
        </a:ln>
      </xdr:spPr>
    </xdr:sp>
    <xdr:clientData/>
  </xdr:twoCellAnchor>
  <xdr:twoCellAnchor>
    <xdr:from>
      <xdr:col>8</xdr:col>
      <xdr:colOff>38100</xdr:colOff>
      <xdr:row>257</xdr:row>
      <xdr:rowOff>19050</xdr:rowOff>
    </xdr:from>
    <xdr:to>
      <xdr:col>8</xdr:col>
      <xdr:colOff>257175</xdr:colOff>
      <xdr:row>257</xdr:row>
      <xdr:rowOff>152400</xdr:rowOff>
    </xdr:to>
    <xdr:sp macro="" textlink="">
      <xdr:nvSpPr>
        <xdr:cNvPr id="13" name="Text Box 4">
          <a:extLst>
            <a:ext uri="{FF2B5EF4-FFF2-40B4-BE49-F238E27FC236}">
              <a16:creationId xmlns:a16="http://schemas.microsoft.com/office/drawing/2014/main" id="{1DF58DA7-BA11-A946-AE04-2AF96345C9AE}"/>
            </a:ext>
          </a:extLst>
        </xdr:cNvPr>
        <xdr:cNvSpPr txBox="1">
          <a:spLocks noChangeArrowheads="1"/>
        </xdr:cNvSpPr>
      </xdr:nvSpPr>
      <xdr:spPr bwMode="auto">
        <a:xfrm>
          <a:off x="16700500" y="22929850"/>
          <a:ext cx="219075" cy="133350"/>
        </a:xfrm>
        <a:prstGeom prst="rect">
          <a:avLst/>
        </a:prstGeom>
        <a:solidFill>
          <a:srgbClr val="FFFFFF"/>
        </a:solidFill>
        <a:ln w="9525">
          <a:solidFill>
            <a:srgbClr val="FF0000"/>
          </a:solidFill>
          <a:miter lim="800000"/>
          <a:headEnd/>
          <a:tailEnd/>
        </a:ln>
      </xdr:spPr>
    </xdr:sp>
    <xdr:clientData/>
  </xdr:twoCellAnchor>
  <xdr:twoCellAnchor>
    <xdr:from>
      <xdr:col>8</xdr:col>
      <xdr:colOff>38100</xdr:colOff>
      <xdr:row>258</xdr:row>
      <xdr:rowOff>9525</xdr:rowOff>
    </xdr:from>
    <xdr:to>
      <xdr:col>8</xdr:col>
      <xdr:colOff>257175</xdr:colOff>
      <xdr:row>258</xdr:row>
      <xdr:rowOff>152400</xdr:rowOff>
    </xdr:to>
    <xdr:sp macro="" textlink="">
      <xdr:nvSpPr>
        <xdr:cNvPr id="14" name="Text Box 4">
          <a:extLst>
            <a:ext uri="{FF2B5EF4-FFF2-40B4-BE49-F238E27FC236}">
              <a16:creationId xmlns:a16="http://schemas.microsoft.com/office/drawing/2014/main" id="{3DEF2BBD-F963-5E41-8AEE-EBB38971904A}"/>
            </a:ext>
          </a:extLst>
        </xdr:cNvPr>
        <xdr:cNvSpPr txBox="1">
          <a:spLocks noChangeArrowheads="1"/>
        </xdr:cNvSpPr>
      </xdr:nvSpPr>
      <xdr:spPr bwMode="auto">
        <a:xfrm>
          <a:off x="16700500" y="23148925"/>
          <a:ext cx="219075" cy="142875"/>
        </a:xfrm>
        <a:prstGeom prst="rect">
          <a:avLst/>
        </a:prstGeom>
        <a:solidFill>
          <a:srgbClr val="FFFFFF"/>
        </a:solidFill>
        <a:ln w="9525">
          <a:solidFill>
            <a:srgbClr val="FF0000"/>
          </a:solidFill>
          <a:miter lim="800000"/>
          <a:headEnd/>
          <a:tailEnd/>
        </a:ln>
      </xdr:spPr>
    </xdr:sp>
    <xdr:clientData/>
  </xdr:twoCellAnchor>
  <xdr:twoCellAnchor>
    <xdr:from>
      <xdr:col>27</xdr:col>
      <xdr:colOff>864111</xdr:colOff>
      <xdr:row>256</xdr:row>
      <xdr:rowOff>54106</xdr:rowOff>
    </xdr:from>
    <xdr:to>
      <xdr:col>28</xdr:col>
      <xdr:colOff>104852</xdr:colOff>
      <xdr:row>256</xdr:row>
      <xdr:rowOff>214076</xdr:rowOff>
    </xdr:to>
    <xdr:sp macro="" textlink="">
      <xdr:nvSpPr>
        <xdr:cNvPr id="15" name="Text Box 4">
          <a:extLst>
            <a:ext uri="{FF2B5EF4-FFF2-40B4-BE49-F238E27FC236}">
              <a16:creationId xmlns:a16="http://schemas.microsoft.com/office/drawing/2014/main" id="{69C44204-22E9-3741-ACF4-FBFE09494EA7}"/>
            </a:ext>
          </a:extLst>
        </xdr:cNvPr>
        <xdr:cNvSpPr txBox="1">
          <a:spLocks noChangeArrowheads="1"/>
        </xdr:cNvSpPr>
      </xdr:nvSpPr>
      <xdr:spPr bwMode="auto">
        <a:xfrm>
          <a:off x="21158711" y="22736306"/>
          <a:ext cx="510741" cy="159970"/>
        </a:xfrm>
        <a:prstGeom prst="rect">
          <a:avLst/>
        </a:prstGeom>
        <a:solidFill>
          <a:srgbClr val="FFFFFF"/>
        </a:solidFill>
        <a:ln w="9525">
          <a:solidFill>
            <a:srgbClr val="FF0000"/>
          </a:solidFill>
          <a:miter lim="800000"/>
          <a:headEnd/>
          <a:tailEnd/>
        </a:ln>
      </xdr:spPr>
    </xdr:sp>
    <xdr:clientData/>
  </xdr:twoCellAnchor>
  <xdr:twoCellAnchor>
    <xdr:from>
      <xdr:col>27</xdr:col>
      <xdr:colOff>882129</xdr:colOff>
      <xdr:row>257</xdr:row>
      <xdr:rowOff>38102</xdr:rowOff>
    </xdr:from>
    <xdr:to>
      <xdr:col>28</xdr:col>
      <xdr:colOff>123263</xdr:colOff>
      <xdr:row>257</xdr:row>
      <xdr:rowOff>169102</xdr:rowOff>
    </xdr:to>
    <xdr:sp macro="" textlink="">
      <xdr:nvSpPr>
        <xdr:cNvPr id="16" name="Text Box 4">
          <a:extLst>
            <a:ext uri="{FF2B5EF4-FFF2-40B4-BE49-F238E27FC236}">
              <a16:creationId xmlns:a16="http://schemas.microsoft.com/office/drawing/2014/main" id="{23AA1936-1221-FE43-8479-A1610A997C0A}"/>
            </a:ext>
          </a:extLst>
        </xdr:cNvPr>
        <xdr:cNvSpPr txBox="1">
          <a:spLocks noChangeArrowheads="1"/>
        </xdr:cNvSpPr>
      </xdr:nvSpPr>
      <xdr:spPr bwMode="auto">
        <a:xfrm>
          <a:off x="21176729" y="22948902"/>
          <a:ext cx="511134" cy="131000"/>
        </a:xfrm>
        <a:prstGeom prst="rect">
          <a:avLst/>
        </a:prstGeom>
        <a:solidFill>
          <a:srgbClr val="FFFFFF"/>
        </a:solidFill>
        <a:ln w="9525">
          <a:solidFill>
            <a:srgbClr val="FF0000"/>
          </a:solidFill>
          <a:miter lim="800000"/>
          <a:headEnd/>
          <a:tailEnd/>
        </a:ln>
      </xdr:spPr>
    </xdr:sp>
    <xdr:clientData/>
  </xdr:twoCellAnchor>
  <xdr:twoCellAnchor>
    <xdr:from>
      <xdr:col>27</xdr:col>
      <xdr:colOff>866775</xdr:colOff>
      <xdr:row>258</xdr:row>
      <xdr:rowOff>44823</xdr:rowOff>
    </xdr:from>
    <xdr:to>
      <xdr:col>28</xdr:col>
      <xdr:colOff>107574</xdr:colOff>
      <xdr:row>258</xdr:row>
      <xdr:rowOff>200025</xdr:rowOff>
    </xdr:to>
    <xdr:sp macro="" textlink="">
      <xdr:nvSpPr>
        <xdr:cNvPr id="17" name="Text Box 4">
          <a:extLst>
            <a:ext uri="{FF2B5EF4-FFF2-40B4-BE49-F238E27FC236}">
              <a16:creationId xmlns:a16="http://schemas.microsoft.com/office/drawing/2014/main" id="{83489FCC-DFBC-B24A-9544-128EE15AE276}"/>
            </a:ext>
          </a:extLst>
        </xdr:cNvPr>
        <xdr:cNvSpPr txBox="1">
          <a:spLocks noChangeArrowheads="1"/>
        </xdr:cNvSpPr>
      </xdr:nvSpPr>
      <xdr:spPr bwMode="auto">
        <a:xfrm>
          <a:off x="21161375" y="23184223"/>
          <a:ext cx="510799" cy="155202"/>
        </a:xfrm>
        <a:prstGeom prst="rect">
          <a:avLst/>
        </a:prstGeom>
        <a:solidFill>
          <a:srgbClr val="FFFFFF"/>
        </a:solidFill>
        <a:ln w="9525">
          <a:solidFill>
            <a:srgbClr val="FF0000"/>
          </a:solidFill>
          <a:miter lim="800000"/>
          <a:headEnd/>
          <a:tailEnd/>
        </a:ln>
      </xdr:spPr>
    </xdr:sp>
    <xdr:clientData/>
  </xdr:twoCellAnchor>
  <xdr:twoCellAnchor>
    <xdr:from>
      <xdr:col>30</xdr:col>
      <xdr:colOff>468715</xdr:colOff>
      <xdr:row>256</xdr:row>
      <xdr:rowOff>60259</xdr:rowOff>
    </xdr:from>
    <xdr:to>
      <xdr:col>30</xdr:col>
      <xdr:colOff>816715</xdr:colOff>
      <xdr:row>256</xdr:row>
      <xdr:rowOff>184702</xdr:rowOff>
    </xdr:to>
    <xdr:sp macro="" textlink="">
      <xdr:nvSpPr>
        <xdr:cNvPr id="18" name="Text Box 4">
          <a:extLst>
            <a:ext uri="{FF2B5EF4-FFF2-40B4-BE49-F238E27FC236}">
              <a16:creationId xmlns:a16="http://schemas.microsoft.com/office/drawing/2014/main" id="{DD462B08-9CF3-4A48-AE7D-BCD49040F772}"/>
            </a:ext>
          </a:extLst>
        </xdr:cNvPr>
        <xdr:cNvSpPr txBox="1">
          <a:spLocks noChangeArrowheads="1"/>
        </xdr:cNvSpPr>
      </xdr:nvSpPr>
      <xdr:spPr bwMode="auto">
        <a:xfrm>
          <a:off x="24560615" y="22742459"/>
          <a:ext cx="348000" cy="124443"/>
        </a:xfrm>
        <a:prstGeom prst="rect">
          <a:avLst/>
        </a:prstGeom>
        <a:solidFill>
          <a:srgbClr val="FFFFFF"/>
        </a:solidFill>
        <a:ln w="9525">
          <a:solidFill>
            <a:srgbClr val="FF0000"/>
          </a:solidFill>
          <a:miter lim="800000"/>
          <a:headEnd/>
          <a:tailEnd/>
        </a:ln>
      </xdr:spPr>
    </xdr:sp>
    <xdr:clientData/>
  </xdr:twoCellAnchor>
  <xdr:twoCellAnchor>
    <xdr:from>
      <xdr:col>0</xdr:col>
      <xdr:colOff>76200</xdr:colOff>
      <xdr:row>256</xdr:row>
      <xdr:rowOff>28575</xdr:rowOff>
    </xdr:from>
    <xdr:to>
      <xdr:col>0</xdr:col>
      <xdr:colOff>285750</xdr:colOff>
      <xdr:row>256</xdr:row>
      <xdr:rowOff>161925</xdr:rowOff>
    </xdr:to>
    <xdr:sp macro="" textlink="">
      <xdr:nvSpPr>
        <xdr:cNvPr id="19" name="Text Box 4">
          <a:extLst>
            <a:ext uri="{FF2B5EF4-FFF2-40B4-BE49-F238E27FC236}">
              <a16:creationId xmlns:a16="http://schemas.microsoft.com/office/drawing/2014/main" id="{9D2A3241-E4FD-A443-AE7B-2EF9D2E0A1C1}"/>
            </a:ext>
          </a:extLst>
        </xdr:cNvPr>
        <xdr:cNvSpPr txBox="1">
          <a:spLocks noChangeArrowheads="1"/>
        </xdr:cNvSpPr>
      </xdr:nvSpPr>
      <xdr:spPr bwMode="auto">
        <a:xfrm>
          <a:off x="76200" y="22710775"/>
          <a:ext cx="209550" cy="133350"/>
        </a:xfrm>
        <a:prstGeom prst="rect">
          <a:avLst/>
        </a:prstGeom>
        <a:solidFill>
          <a:srgbClr val="FFFFFF"/>
        </a:solidFill>
        <a:ln w="9525">
          <a:solidFill>
            <a:srgbClr val="FF0000"/>
          </a:solidFill>
          <a:miter lim="800000"/>
          <a:headEnd/>
          <a:tailEnd/>
        </a:ln>
      </xdr:spPr>
    </xdr:sp>
    <xdr:clientData/>
  </xdr:twoCellAnchor>
  <xdr:twoCellAnchor>
    <xdr:from>
      <xdr:col>0</xdr:col>
      <xdr:colOff>76200</xdr:colOff>
      <xdr:row>257</xdr:row>
      <xdr:rowOff>19050</xdr:rowOff>
    </xdr:from>
    <xdr:to>
      <xdr:col>0</xdr:col>
      <xdr:colOff>285750</xdr:colOff>
      <xdr:row>257</xdr:row>
      <xdr:rowOff>152400</xdr:rowOff>
    </xdr:to>
    <xdr:sp macro="" textlink="">
      <xdr:nvSpPr>
        <xdr:cNvPr id="20" name="Text Box 4">
          <a:extLst>
            <a:ext uri="{FF2B5EF4-FFF2-40B4-BE49-F238E27FC236}">
              <a16:creationId xmlns:a16="http://schemas.microsoft.com/office/drawing/2014/main" id="{24D70151-F7E9-5644-A7E9-A3F7AEA4FE05}"/>
            </a:ext>
          </a:extLst>
        </xdr:cNvPr>
        <xdr:cNvSpPr txBox="1">
          <a:spLocks noChangeArrowheads="1"/>
        </xdr:cNvSpPr>
      </xdr:nvSpPr>
      <xdr:spPr bwMode="auto">
        <a:xfrm>
          <a:off x="76200" y="22929850"/>
          <a:ext cx="209550" cy="133350"/>
        </a:xfrm>
        <a:prstGeom prst="rect">
          <a:avLst/>
        </a:prstGeom>
        <a:solidFill>
          <a:srgbClr val="FFFFFF"/>
        </a:solidFill>
        <a:ln w="9525">
          <a:solidFill>
            <a:srgbClr val="FF0000"/>
          </a:solidFill>
          <a:miter lim="800000"/>
          <a:headEnd/>
          <a:tailEnd/>
        </a:ln>
      </xdr:spPr>
    </xdr:sp>
    <xdr:clientData/>
  </xdr:twoCellAnchor>
  <xdr:twoCellAnchor>
    <xdr:from>
      <xdr:col>0</xdr:col>
      <xdr:colOff>76200</xdr:colOff>
      <xdr:row>258</xdr:row>
      <xdr:rowOff>19050</xdr:rowOff>
    </xdr:from>
    <xdr:to>
      <xdr:col>0</xdr:col>
      <xdr:colOff>285750</xdr:colOff>
      <xdr:row>258</xdr:row>
      <xdr:rowOff>152400</xdr:rowOff>
    </xdr:to>
    <xdr:sp macro="" textlink="">
      <xdr:nvSpPr>
        <xdr:cNvPr id="21" name="Text Box 4">
          <a:extLst>
            <a:ext uri="{FF2B5EF4-FFF2-40B4-BE49-F238E27FC236}">
              <a16:creationId xmlns:a16="http://schemas.microsoft.com/office/drawing/2014/main" id="{FBC11398-8C51-CB46-9623-54B9991C699D}"/>
            </a:ext>
          </a:extLst>
        </xdr:cNvPr>
        <xdr:cNvSpPr txBox="1">
          <a:spLocks noChangeArrowheads="1"/>
        </xdr:cNvSpPr>
      </xdr:nvSpPr>
      <xdr:spPr bwMode="auto">
        <a:xfrm>
          <a:off x="76200" y="23158450"/>
          <a:ext cx="209550" cy="133350"/>
        </a:xfrm>
        <a:prstGeom prst="rect">
          <a:avLst/>
        </a:prstGeom>
        <a:solidFill>
          <a:srgbClr val="FFFFFF"/>
        </a:solidFill>
        <a:ln w="9525">
          <a:solidFill>
            <a:srgbClr val="FF0000"/>
          </a:solidFill>
          <a:miter lim="800000"/>
          <a:headEnd/>
          <a:tailEnd/>
        </a:ln>
      </xdr:spPr>
    </xdr:sp>
    <xdr:clientData/>
  </xdr:twoCellAnchor>
  <xdr:twoCellAnchor>
    <xdr:from>
      <xdr:col>3</xdr:col>
      <xdr:colOff>1983440</xdr:colOff>
      <xdr:row>256</xdr:row>
      <xdr:rowOff>38101</xdr:rowOff>
    </xdr:from>
    <xdr:to>
      <xdr:col>4</xdr:col>
      <xdr:colOff>79023</xdr:colOff>
      <xdr:row>256</xdr:row>
      <xdr:rowOff>179294</xdr:rowOff>
    </xdr:to>
    <xdr:sp macro="" textlink="">
      <xdr:nvSpPr>
        <xdr:cNvPr id="22" name="Text Box 4">
          <a:extLst>
            <a:ext uri="{FF2B5EF4-FFF2-40B4-BE49-F238E27FC236}">
              <a16:creationId xmlns:a16="http://schemas.microsoft.com/office/drawing/2014/main" id="{1F7EDD4A-633A-4940-9239-1B0238ABB3E4}"/>
            </a:ext>
          </a:extLst>
        </xdr:cNvPr>
        <xdr:cNvSpPr txBox="1">
          <a:spLocks noChangeArrowheads="1"/>
        </xdr:cNvSpPr>
      </xdr:nvSpPr>
      <xdr:spPr bwMode="auto">
        <a:xfrm flipH="1">
          <a:off x="11851340" y="22720301"/>
          <a:ext cx="610183" cy="141193"/>
        </a:xfrm>
        <a:prstGeom prst="rect">
          <a:avLst/>
        </a:prstGeom>
        <a:solidFill>
          <a:srgbClr val="FFFFFF"/>
        </a:solidFill>
        <a:ln w="9525">
          <a:solidFill>
            <a:srgbClr val="FF0000"/>
          </a:solidFill>
          <a:miter lim="800000"/>
          <a:headEnd/>
          <a:tailEnd/>
        </a:ln>
      </xdr:spPr>
    </xdr:sp>
    <xdr:clientData/>
  </xdr:twoCellAnchor>
  <xdr:twoCellAnchor>
    <xdr:from>
      <xdr:col>1</xdr:col>
      <xdr:colOff>1778373</xdr:colOff>
      <xdr:row>255</xdr:row>
      <xdr:rowOff>17369</xdr:rowOff>
    </xdr:from>
    <xdr:to>
      <xdr:col>1</xdr:col>
      <xdr:colOff>2106706</xdr:colOff>
      <xdr:row>255</xdr:row>
      <xdr:rowOff>168088</xdr:rowOff>
    </xdr:to>
    <xdr:sp macro="" textlink="">
      <xdr:nvSpPr>
        <xdr:cNvPr id="23" name="Text Box 4">
          <a:extLst>
            <a:ext uri="{FF2B5EF4-FFF2-40B4-BE49-F238E27FC236}">
              <a16:creationId xmlns:a16="http://schemas.microsoft.com/office/drawing/2014/main" id="{69FF048F-3D9D-4741-B2BA-D6AD0AFC8D46}"/>
            </a:ext>
          </a:extLst>
        </xdr:cNvPr>
        <xdr:cNvSpPr txBox="1">
          <a:spLocks noChangeArrowheads="1"/>
        </xdr:cNvSpPr>
      </xdr:nvSpPr>
      <xdr:spPr bwMode="auto">
        <a:xfrm>
          <a:off x="3111873" y="22470969"/>
          <a:ext cx="328333" cy="150719"/>
        </a:xfrm>
        <a:prstGeom prst="rect">
          <a:avLst/>
        </a:prstGeom>
        <a:solidFill>
          <a:srgbClr val="FFFFFF"/>
        </a:solidFill>
        <a:ln w="9525">
          <a:solidFill>
            <a:srgbClr val="FF0000"/>
          </a:solidFill>
          <a:miter lim="800000"/>
          <a:headEnd/>
          <a:tailEnd/>
        </a:ln>
      </xdr:spPr>
    </xdr:sp>
    <xdr:clientData/>
  </xdr:twoCellAnchor>
  <xdr:twoCellAnchor>
    <xdr:from>
      <xdr:col>9</xdr:col>
      <xdr:colOff>833676</xdr:colOff>
      <xdr:row>255</xdr:row>
      <xdr:rowOff>23812</xdr:rowOff>
    </xdr:from>
    <xdr:to>
      <xdr:col>10</xdr:col>
      <xdr:colOff>136072</xdr:colOff>
      <xdr:row>255</xdr:row>
      <xdr:rowOff>204107</xdr:rowOff>
    </xdr:to>
    <xdr:sp macro="" textlink="">
      <xdr:nvSpPr>
        <xdr:cNvPr id="24" name="Text Box 4">
          <a:extLst>
            <a:ext uri="{FF2B5EF4-FFF2-40B4-BE49-F238E27FC236}">
              <a16:creationId xmlns:a16="http://schemas.microsoft.com/office/drawing/2014/main" id="{CF9A5A08-1FF3-754D-9A9E-171BE9C7D352}"/>
            </a:ext>
          </a:extLst>
        </xdr:cNvPr>
        <xdr:cNvSpPr txBox="1">
          <a:spLocks noChangeArrowheads="1"/>
        </xdr:cNvSpPr>
      </xdr:nvSpPr>
      <xdr:spPr bwMode="auto">
        <a:xfrm>
          <a:off x="18550176" y="22477412"/>
          <a:ext cx="487124" cy="180295"/>
        </a:xfrm>
        <a:prstGeom prst="rect">
          <a:avLst/>
        </a:prstGeom>
        <a:solidFill>
          <a:srgbClr val="FFFFFF"/>
        </a:solidFill>
        <a:ln w="9525">
          <a:solidFill>
            <a:srgbClr val="FF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T.phu/c/@K-Phu/BAOGIA/Mien_Nam/2002/Utilized_Camau/CIVIL%20BOQs/6823%20PS%201700.xls" TargetMode="External"/><Relationship Id="rId1" Type="http://schemas.openxmlformats.org/officeDocument/2006/relationships/externalLinkPath" Target="/T.phu/c/@K-Phu/BAOGIA/Mien_Nam/2002/Utilized_Camau/CIVIL%20BOQs/6823%20PS%201700.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STA022-N2/Construction/WORKS/6787/civil/final/option/6787CWFASE2CASE2_00.xls" TargetMode="External"/><Relationship Id="rId1" Type="http://schemas.openxmlformats.org/officeDocument/2006/relationships/externalLinkPath" Target="/STA022-N2/Construction/WORKS/6787/civil/final/option/6787CWFASE2CASE2_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
      <sheetName val="Sheet2"/>
      <sheetName val="Quantity"/>
      <sheetName val="6823 PS 1700"/>
      <sheetName val="PU_ITALY "/>
      <sheetName val="Module1"/>
      <sheetName val="Module2"/>
      <sheetName val="KP_LIST"/>
      <sheetName val="kecot"/>
      <sheetName val="XL4Poppy"/>
      <sheetName val="XD4Poppy"/>
      <sheetName val="SILICATE"/>
      <sheetName val="cot_xa"/>
      <sheetName val="Gioi thieu"/>
      <sheetName val="VL"/>
      <sheetName val="Du Toan"/>
      <sheetName val="6823_PS_1700"/>
      <sheetName val="PU_ITALY_"/>
      <sheetName val="6823_PS_17001"/>
      <sheetName val="PU_ITALY_1"/>
      <sheetName val="LKVL-CK-HT-GD1"/>
      <sheetName val="TONGKE-HT"/>
      <sheetName val="V-M(Bdinh)"/>
      <sheetName val="heso"/>
      <sheetName val="갑지"/>
      <sheetName val="6823_PS_17002"/>
      <sheetName val="PU_ITALY_2"/>
      <sheetName val="TT35"/>
      <sheetName val="he so"/>
      <sheetName val="chitimc"/>
      <sheetName val="dongia (2)"/>
      <sheetName val="giathanh1"/>
      <sheetName val="THPDMoi  (2)"/>
      <sheetName val="gtrinh"/>
      <sheetName val="phuluc1"/>
      <sheetName val="TONG HOP VL-NC"/>
      <sheetName val="lam-moi"/>
      <sheetName val="chitiet"/>
      <sheetName val="TONGKE3p "/>
      <sheetName val="Du_lieu"/>
      <sheetName val="TH VL, NC, DDHT Thanhphuoc"/>
      <sheetName val="#REF"/>
      <sheetName val="DONGIA"/>
      <sheetName val="thao-go"/>
      <sheetName val="DON GIA"/>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Chi tiết Goc -AB"/>
      <sheetName val="PT ksat"/>
      <sheetName val="LUONG KS"/>
      <sheetName val="May"/>
      <sheetName val="PTDG"/>
      <sheetName val="THDT"/>
      <sheetName val="VAT LIEU"/>
      <sheetName val="DTCT"/>
      <sheetName val="MTO REV.2(ARMOR)"/>
      <sheetName val="ranh hong"/>
      <sheetName val="gVL"/>
      <sheetName val="DATA"/>
      <sheetName val="luong"/>
      <sheetName val="Equipment"/>
      <sheetName val="DT_THAU"/>
      <sheetName val="DGVL"/>
      <sheetName val="??-BLDG"/>
      <sheetName val="Sheet3"/>
      <sheetName val="NhanCong"/>
      <sheetName val="Ts"/>
      <sheetName val="NC"/>
      <sheetName val="Bia"/>
      <sheetName val="6823_PS_17003"/>
      <sheetName val="PU_ITALY_3"/>
      <sheetName val="he_so"/>
      <sheetName val="Du_Toan"/>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_tiết_Goc_-AB"/>
      <sheetName val="Gioi_thieu"/>
      <sheetName val="MTO_REV_2(ARMOR)"/>
      <sheetName val="Sheet1"/>
      <sheetName val="A1.8 NhIII (1050k)"/>
      <sheetName val="Nhan cong nhom I"/>
      <sheetName val="Luong TT05"/>
      <sheetName val="10_VC đ. ngắn"/>
      <sheetName val="__-BLDG"/>
      <sheetName val="ND"/>
      <sheetName val="Luong TT01"/>
      <sheetName val="GiaVT"/>
      <sheetName val="Chiet tinh"/>
      <sheetName val="KH tai chinh khoa san"/>
      <sheetName val="BG"/>
      <sheetName val="B-B"/>
      <sheetName val="Chenh lech vat tu"/>
      <sheetName val="Chiet tinh dz35"/>
      <sheetName val="Chi ti?t Goc -AB"/>
      <sheetName val="Chi ti_t Goc -AB"/>
      <sheetName val="san dao"/>
      <sheetName val="Ty le"/>
      <sheetName val="MAIN GATE HOUSE"/>
      <sheetName val="CT -THVLNC"/>
      <sheetName val="NOTE"/>
      <sheetName val="TN"/>
      <sheetName val="Canopy,SS5"/>
      <sheetName val="Vat tu"/>
      <sheetName val="Canopy,SS5 (2)"/>
      <sheetName val="Rate"/>
      <sheetName val="RAB AR&amp;STR"/>
      <sheetName val="QD957"/>
      <sheetName val="THCP Lap dat"/>
      <sheetName val="THCP xay dung"/>
      <sheetName val="escon"/>
      <sheetName val="D+W"/>
      <sheetName val="D&amp;W def."/>
      <sheetName val="실행"/>
      <sheetName val="MTP"/>
      <sheetName val="MTP1"/>
      <sheetName val="SL"/>
      <sheetName val="노임단가"/>
      <sheetName val="DG-TNHC-85"/>
      <sheetName val="STRUCTURE.Q'TY"/>
      <sheetName val="REMAIN Q'TY - SUB"/>
      <sheetName val="P"/>
      <sheetName val="T K"/>
      <sheetName val="조명시설"/>
      <sheetName val="Nhan cong"/>
      <sheetName val="Thiet bi"/>
      <sheetName val="DM.ChiPhi"/>
      <sheetName val="May TC"/>
      <sheetName val="Phan tich"/>
      <sheetName val="Bang KL"/>
      <sheetName val="TH Kinh phi"/>
      <sheetName val="Electrical Breakdown"/>
      <sheetName val="SEX"/>
      <sheetName val="Tien do TV"/>
      <sheetName val="Config"/>
      <sheetName val="CP Du phong"/>
      <sheetName val="Tong hop kinh phi"/>
      <sheetName val="FitOutConfCentre"/>
      <sheetName val="B3A - TOWER A"/>
      <sheetName val="125x125"/>
      <sheetName val="F4-F7"/>
      <sheetName val="Main"/>
      <sheetName val="tifico"/>
      <sheetName val="UNIT PRICE"/>
      <sheetName val="Ratios"/>
      <sheetName val="마감사양"/>
      <sheetName val="6MONTHS"/>
      <sheetName val="NVL"/>
      <sheetName val="Office Tower"/>
      <sheetName val="GIAVLIEU"/>
      <sheetName val="THDT goi thau TB"/>
      <sheetName val="QD79"/>
      <sheetName val="Vat_tu"/>
      <sheetName val="Canopy,SS5_(2)"/>
      <sheetName val="RAB_AR&amp;STR"/>
      <sheetName val="THCP_Lap_dat"/>
      <sheetName val="THCP_xay_dung"/>
      <sheetName val="Giá Bê tông 2 bên"/>
      <sheetName val="Takeoff"/>
      <sheetName val="SAP"/>
      <sheetName val="DG duoi"/>
      <sheetName val="6PILE  (돌출)"/>
      <sheetName val="Analisa"/>
      <sheetName val="Gld"/>
      <sheetName val="Gxd"/>
      <sheetName val="TT"/>
      <sheetName val="주식"/>
      <sheetName val="LEGEND"/>
      <sheetName val="Đơn Giá "/>
      <sheetName val="1.R18 BF"/>
      <sheetName val="A"/>
      <sheetName val="G"/>
      <sheetName val="F-B"/>
      <sheetName val="H-J"/>
      <sheetName val="6.External works-R18"/>
      <sheetName val="PRI-LS"/>
      <sheetName val="NKC6"/>
      <sheetName val="Key"/>
      <sheetName val="KQKD-01"/>
      <sheetName val="KQKD-03"/>
      <sheetName val="PNT-QUOT-#3"/>
      <sheetName val="COAT&amp;WRAP-QIOT-#3"/>
      <sheetName val="Phan tich tong hop"/>
      <sheetName val="Sàn T1"/>
      <sheetName val="Lỗ thông gió"/>
      <sheetName val="Master"/>
      <sheetName val="SUM-AIR-Submit"/>
      <sheetName val="Earthwork"/>
      <sheetName val="Sheet4"/>
      <sheetName val="proj"/>
      <sheetName val="BTT (CAT COC)"/>
      <sheetName val="KESSAN"/>
      <sheetName val="Cash Flow"/>
      <sheetName val="Yield"/>
      <sheetName val="실행철강하도"/>
      <sheetName val="DM"/>
      <sheetName val="Div26 - Elect"/>
      <sheetName val="Tho lai may"/>
      <sheetName val="Don gia LD"/>
      <sheetName val="Du toan XD"/>
      <sheetName val="Don gia XD"/>
      <sheetName val="Vat_tu1"/>
      <sheetName val="Canopy,SS5_(2)1"/>
      <sheetName val="RAB_AR&amp;STR1"/>
      <sheetName val="THCP_Lap_dat1"/>
      <sheetName val="THCP_xay_dung1"/>
      <sheetName val="D&amp;W_def_"/>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Chenh_lech_vat_tu"/>
      <sheetName val="UNIT_PRICE"/>
      <sheetName val="ThongTinBanDau"/>
      <sheetName val="Gia. vat tu"/>
      <sheetName val="見積書"/>
      <sheetName val="Gia"/>
      <sheetName val="TinhGiaNC"/>
      <sheetName val="VCBo"/>
      <sheetName val="DMCP"/>
      <sheetName val="TH Vat tu"/>
      <sheetName val="BocXep"/>
      <sheetName val="TinhGiaMTC"/>
      <sheetName val="TH MTC"/>
      <sheetName val="TH N.Cong"/>
      <sheetName val="VCThuy"/>
      <sheetName val="Tra_bang"/>
      <sheetName val="BID"/>
      <sheetName val="TOSHIBA-Structure"/>
      <sheetName val="Tong hop"/>
      <sheetName val="Tennancy"/>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SITE-E"/>
      <sheetName val="Input"/>
      <sheetName val="BXLDL"/>
      <sheetName val="Tien_do_TV"/>
      <sheetName val="CP_Du_phong"/>
      <sheetName val="Tong_hop_kinh_phi"/>
      <sheetName val="THDT_goi_thau_TB"/>
      <sheetName val="Z"/>
      <sheetName val="入力作成表"/>
      <sheetName val="BQ"/>
      <sheetName val="BK04"/>
      <sheetName val="Hệ số"/>
      <sheetName val="Động cơ"/>
      <sheetName val="Currency Rate"/>
      <sheetName val="EXTERNAL"/>
      <sheetName val="DRUM"/>
      <sheetName val="PriceSummary"/>
      <sheetName val="CodePipe"/>
      <sheetName val="CodeTubeCalc."/>
      <sheetName val="DPres Calc"/>
      <sheetName val="대비표"/>
      <sheetName val="Productivity"/>
      <sheetName val="찍기"/>
      <sheetName val="WT-LIST"/>
      <sheetName val="MTL$-INTER"/>
      <sheetName val="TH"/>
      <sheetName val="산근"/>
      <sheetName val="石炭性状"/>
      <sheetName val="PipeSummary"/>
      <sheetName val="재료비"/>
      <sheetName val="THKL"/>
      <sheetName val="00000000"/>
      <sheetName val="10000000"/>
      <sheetName val="68-69"/>
      <sheetName val="Chi tiet ranh"/>
      <sheetName val="Duong Ngang"/>
      <sheetName val="San gia co"/>
      <sheetName val="Bien Bao"/>
      <sheetName val="Coc tieu - Coc H"/>
      <sheetName val="Luong BN"/>
      <sheetName val="Luong TB"/>
      <sheetName val="Ca may TB"/>
      <sheetName val="Máy BN"/>
      <sheetName val="NC+MTC"/>
      <sheetName val="NC "/>
      <sheetName val="Luong A3"/>
      <sheetName val="DG_TN TB LE (2)"/>
      <sheetName val="giavl"/>
      <sheetName val="KH-Q1,Q2,01"/>
      <sheetName val="C.BI DAO"/>
      <sheetName val="RFI-1"/>
      <sheetName val="PTDG "/>
      <sheetName val="AASHTO92"/>
      <sheetName val="Lương"/>
      <sheetName val="Ca máy"/>
      <sheetName val="TH khối lượng phải làm"/>
      <sheetName val="TTVanChuyen"/>
      <sheetName val="DGCT"/>
      <sheetName val="Bang cap"/>
      <sheetName val="vlieu"/>
      <sheetName val="Cp&gt;10-Ln&lt;10"/>
      <sheetName val="Ln&lt;20"/>
      <sheetName val="EIRR&gt;1&lt;1"/>
      <sheetName val="EIRR&gt; 2"/>
      <sheetName val="EIRR&lt;2"/>
      <sheetName val="macBT"/>
      <sheetName val="Giathanh1m3BT"/>
      <sheetName val="DSHD DH"/>
      <sheetName val="Control"/>
      <sheetName val="THVATTU"/>
      <sheetName val="So lieu"/>
      <sheetName val="LTT_ TT01_2015_BXD"/>
      <sheetName val="Đơn giá NC_TT01_2015"/>
      <sheetName val="Đơn giá ca máy theo TT06_2010"/>
      <sheetName val="ĐM6061_2008(XLĐZ)"/>
      <sheetName val="ĐM6060_2008(Lap dat TBA)"/>
      <sheetName val="Dongia7606_8001_4167"/>
      <sheetName val="ĐM228 _2015(suachua)"/>
      <sheetName val="ĐM39_2005(T.N đien ĐZ&amp;TBA)"/>
      <sheetName val="ĐM01_2000(thinghiem ĐZTTĐL)"/>
      <sheetName val="Đon gia thi nghiem ĐZ&amp;TBA"/>
      <sheetName val="Đon gia 228 sua chua"/>
      <sheetName val="các máy chưa có trong TT 06"/>
      <sheetName val="Cuoc van chuyen"/>
      <sheetName val="THEPMA"/>
      <sheetName val="GIA VT 03-2019"/>
      <sheetName val="Noise (3)"/>
      <sheetName val="Estimation of splitter length"/>
      <sheetName val="Tables"/>
      <sheetName val="Radiation (6)"/>
      <sheetName val="Material for Silencers (8)"/>
      <sheetName val="Rates"/>
      <sheetName val="Input (1)"/>
      <sheetName val="Cash2"/>
      <sheetName val="List"/>
      <sheetName val="Don gia (khong in)"/>
      <sheetName val="149-2"/>
      <sheetName val="khung ten TD"/>
      <sheetName val="THEP TAM"/>
      <sheetName val="THEP HÌNH"/>
      <sheetName val="THEP HINH"/>
      <sheetName val="XA GO"/>
      <sheetName val="BANG TRA"/>
      <sheetName val="TLg CN&amp;Laixe"/>
      <sheetName val="TLg CN&amp;Laixe (2)"/>
      <sheetName val="TLg Laitau"/>
      <sheetName val="TLg Laitau (2)"/>
      <sheetName val="TH1"/>
      <sheetName val="데이타"/>
      <sheetName val="식재인부"/>
      <sheetName val="Chiettinh dz0,4"/>
      <sheetName val="BOQ_CAU CAN"/>
      <sheetName val="DGPS"/>
      <sheetName val="CPC"/>
      <sheetName val="Tính toàn đào đất"/>
      <sheetName val="Khối lượng cốt thép"/>
      <sheetName val="Chi tiết chi phí chung"/>
      <sheetName val="CP. SD Điện"/>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Elec LG"/>
      <sheetName val="1.Requisition(E)"/>
      <sheetName val="電気設備表"/>
      <sheetName val="Đơn_Giá_"/>
      <sheetName val="1_R18_BF"/>
      <sheetName val="6_External_works-R18"/>
      <sheetName val="Div26_-_Elect"/>
      <sheetName val="Tho_lai_may"/>
      <sheetName val="Don_gia_LD"/>
      <sheetName val="Du_toan_XD"/>
      <sheetName val="Don_gia_XD"/>
      <sheetName val="Cash_Flow"/>
      <sheetName val="Gia__vat_tu"/>
      <sheetName val="Sàn_T1"/>
      <sheetName val="Lỗ_thông_gió"/>
      <sheetName val="GVT"/>
      <sheetName val="Bill 2.1_BOQ ĐIỆN"/>
      <sheetName val="BM"/>
      <sheetName val="TOEC"/>
      <sheetName val="目次"/>
      <sheetName val="REF"/>
      <sheetName val="BookJHFGJGXBGCCNCVCCVVCVCC2"/>
      <sheetName val="_REF"/>
      <sheetName val="dg-VTu"/>
      <sheetName val="MeKong - Penetration"/>
      <sheetName val="Dist. Perform - Ctns.sales in "/>
      <sheetName val="Dist. Perform - Value.sales in"/>
      <sheetName val="Dist. Perform - Value.sales Out"/>
      <sheetName val="Head Count"/>
      <sheetName val="Sales Result For Month"/>
      <sheetName val="DN"/>
      <sheetName val="VP"/>
      <sheetName val="KD"/>
      <sheetName val="DD"/>
      <sheetName val="CT"/>
      <sheetName val="PX"/>
      <sheetName val="GR"/>
      <sheetName val="DS CHU Phuc"/>
      <sheetName val="DS THI AT"/>
      <sheetName val="Bien Ban"/>
      <sheetName val="BC Ton Kho New"/>
      <sheetName val="BC Cua GSBH New"/>
      <sheetName val="PTTL"/>
      <sheetName val="Gia_GC_Satthep"/>
      <sheetName val="ESTI."/>
      <sheetName val="DI-ESTI"/>
      <sheetName val="DS CHU Ph_x0001__x0000_"/>
      <sheetName val=""/>
      <sheetName val="材労機単価"/>
      <sheetName val="LME"/>
      <sheetName val="CT Thang Mo"/>
      <sheetName val="CT  PL"/>
      <sheetName val="DTKLg"/>
      <sheetName val="PTVTu"/>
      <sheetName val="THKP-Full"/>
      <sheetName val="KLg"/>
      <sheetName val="khongin"/>
      <sheetName val="Dgia vat tu"/>
      <sheetName val="Don gia_III"/>
      <sheetName val="Chuso"/>
      <sheetName val="Bhyt t1"/>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Leave_Statistic_Report"/>
      <sheetName val="bieu_solieu"/>
      <sheetName val="DS CHU Ph_x0001__"/>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kinh."/>
      <sheetName val="Profile"/>
      <sheetName val="03 Detailed"/>
      <sheetName val="01 Bid Price summary"/>
      <sheetName val="Breadown"/>
      <sheetName val="Ceiling Height- Schedule"/>
      <sheetName val="04-BETONG"/>
      <sheetName val="COC-LAP DAT"/>
      <sheetName val="05-COPPHA"/>
      <sheetName val="02-Lap dat"/>
      <sheetName val="Ngân sách"/>
      <sheetName val="09-Hoan thien nen"/>
      <sheetName val="GAEYO"/>
      <sheetName val="PCCC"/>
      <sheetName val="NVN Hotel"/>
      <sheetName val="수정시산표"/>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names"/>
      <sheetName val="LaborPY"/>
      <sheetName val="LaborKH"/>
      <sheetName val="Equip "/>
      <sheetName val="Material"/>
      <sheetName val="A1.CN"/>
      <sheetName val="DLdauvao"/>
      <sheetName val="CaMay"/>
      <sheetName val="MTC"/>
      <sheetName val="금융"/>
      <sheetName val="Phân tích"/>
      <sheetName val="차액보증"/>
      <sheetName val="경비2내역"/>
      <sheetName val="CANDOI"/>
      <sheetName val="Nhap VT oto"/>
      <sheetName val="0. Bìa"/>
      <sheetName val="1. THONG TIN TT"/>
      <sheetName val="DNTT"/>
      <sheetName val="Tiên Lượng"/>
      <sheetName val="THGT TT PL01&amp;02"/>
      <sheetName val="1. THGT-TT"/>
      <sheetName val="1.1 THGT MEP"/>
      <sheetName val="1.2 THGT PCCC"/>
      <sheetName val="1.3 THGT PL"/>
      <sheetName val="2. BBNT KLHT"/>
      <sheetName val="4.2 THKL PL02"/>
      <sheetName val="5.2 DGCT PL02"/>
      <sheetName val="3. DGCT MEP + PCCC "/>
      <sheetName val="3.1 DGCT PL"/>
      <sheetName val="DBỐC ACMV"/>
      <sheetName val="DB CABLE"/>
      <sheetName val="DB ONG CC &amp; CS"/>
      <sheetName val="DB CABLE FA + SP"/>
      <sheetName val="DB ONG SP ELC"/>
      <sheetName val="DB CTN"/>
      <sheetName val="ma-pt"/>
      <sheetName val="BAG-2"/>
      <sheetName val="6823_PS_17004"/>
      <sheetName val="PU_ITALY_4"/>
      <sheetName val="Vat_tu2"/>
      <sheetName val="Canopy,SS5_(2)2"/>
      <sheetName val="RAB_AR&amp;STR2"/>
      <sheetName val="THCP_Lap_dat2"/>
      <sheetName val="THCP_xay_dung2"/>
      <sheetName val="D&amp;W_def_1"/>
      <sheetName val="Gioi_thieu1"/>
      <sheetName val="Du_Toan1"/>
      <sheetName val="he_so1"/>
      <sheetName val="Chiet_tinh_dz351"/>
      <sheetName val="KH_tai_chinh_khoa_san1"/>
      <sheetName val="Nhan_cong1"/>
      <sheetName val="Thiet_bi1"/>
      <sheetName val="DM_ChiPhi1"/>
      <sheetName val="May_TC1"/>
      <sheetName val="Phan_tich1"/>
      <sheetName val="Bang_KL1"/>
      <sheetName val="TH_Kinh_phi1"/>
      <sheetName val="STRUCTURE_Q'TY1"/>
      <sheetName val="REMAIN_Q'TY_-_SUB1"/>
      <sheetName val="T_K1"/>
      <sheetName val="B3A_-_TOWER_A1"/>
      <sheetName val="MAIN_GATE_HOUSE1"/>
      <sheetName val="Giá_Bê_tông_2_bên1"/>
      <sheetName val="Chenh_lech_vat_tu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Chi_tiết_Goc_-AB1"/>
      <sheetName val="DG_duoi1"/>
      <sheetName val="6PILE__(돌출)1"/>
      <sheetName val="Office_Tower1"/>
      <sheetName val="UNIT_PRICE1"/>
      <sheetName val="Tien_do_TV1"/>
      <sheetName val="CP_Du_phong1"/>
      <sheetName val="Tong_hop_kinh_phi1"/>
      <sheetName val="THDT_goi_thau_TB1"/>
      <sheetName val="Đơn_Giá_1"/>
      <sheetName val="1_R18_BF1"/>
      <sheetName val="6_External_works-R181"/>
      <sheetName val="Phan_tich_tong_hop1"/>
      <sheetName val="Sàn_T11"/>
      <sheetName val="Lỗ_thông_gió1"/>
      <sheetName val="MTO_REV_2(ARMOR)1"/>
      <sheetName val="BTT_(CAT_COC)1"/>
      <sheetName val="Electrical_Breakdown"/>
      <sheetName val="Cash_Flow1"/>
      <sheetName val="TH_Vat_tu"/>
      <sheetName val="TH_MTC"/>
      <sheetName val="TH_N_Cong"/>
      <sheetName val="Don_gia_(khong_in)"/>
      <sheetName val="Div26_-_Elect1"/>
      <sheetName val="Tho_lai_may1"/>
      <sheetName val="Don_gia_LD1"/>
      <sheetName val="Du_toan_XD1"/>
      <sheetName val="Don_gia_XD1"/>
      <sheetName val="Gia__vat_tu1"/>
      <sheetName val="TLg_CN&amp;Laixe"/>
      <sheetName val="TLg_CN&amp;Laixe_(2)"/>
      <sheetName val="TLg_Laitau"/>
      <sheetName val="TLg_Laitau_(2)"/>
      <sheetName val="Tong_hop"/>
      <sheetName val="설치중량_1"/>
      <sheetName val="수문일위_1"/>
      <sheetName val="PTVT_(MAU)1"/>
      <sheetName val="4-Lane_bridge1"/>
      <sheetName val="아파트_1"/>
      <sheetName val="M_67"/>
      <sheetName val="Schedule_S-Curve_Revision#3"/>
      <sheetName val="KET_CAU_CT5"/>
      <sheetName val="Chi_ti?t_Goc_-AB"/>
      <sheetName val="khung_ten_TD"/>
      <sheetName val="Chiettinh_dz0,4"/>
      <sheetName val="Pasir Panjang 100J"/>
      <sheetName val="MB-D2"/>
      <sheetName val="MB-D3"/>
      <sheetName val="MB-D8"/>
      <sheetName val="MB-D9"/>
      <sheetName val="MB-D4"/>
      <sheetName val="MB-D12"/>
      <sheetName val="MB-D7"/>
      <sheetName val="MB-D6"/>
      <sheetName val="E"/>
      <sheetName val="TSCK"/>
      <sheetName val="DMCV"/>
      <sheetName val="Scorp of work (2)"/>
      <sheetName val="TH2"/>
      <sheetName val="SUM (2)"/>
      <sheetName val="CPC (2)"/>
      <sheetName val="A1.ELC ok "/>
      <sheetName val=" A2.ELV ok"/>
      <sheetName val="A3.VAC ok "/>
      <sheetName val="A4.PLB ok"/>
      <sheetName val="A5.FPS ok"/>
      <sheetName val=" B1.ELC  ok"/>
      <sheetName val="B2.ELV ok"/>
      <sheetName val="B3.VAC ok"/>
      <sheetName val="B4.PLB "/>
      <sheetName val="B5.FPS ok"/>
      <sheetName val="C. SOFTWARE"/>
      <sheetName val="D. OTHER"/>
      <sheetName val="A1. ELC PANEL"/>
      <sheetName val="Haophi"/>
      <sheetName val="TTDA"/>
      <sheetName val="General"/>
      <sheetName val="Sum material"/>
      <sheetName val="Detail"/>
      <sheetName val="Breadown-Nop"/>
      <sheetName val="MHMay-13"/>
      <sheetName val="装置"/>
      <sheetName val="hrs &amp; prg"/>
      <sheetName val="SORT"/>
      <sheetName val="TỔNG HỢP KHỐI LƯỢNG"/>
      <sheetName val="NƯƠC CẤP TRỤC + TAY NHÁNH"/>
      <sheetName val="CTEMCOST"/>
      <sheetName val="PT_ksat"/>
      <sheetName val="LUONG_KS"/>
      <sheetName val="VAT_LIEU"/>
      <sheetName val="ranh_hong"/>
      <sheetName val="Elec_LG"/>
      <sheetName val="THEP_TAM"/>
      <sheetName val="THEP_HÌNH"/>
      <sheetName val="THEP_HINH"/>
      <sheetName val="XA_GO"/>
      <sheetName val="BANG_TRA"/>
      <sheetName val="Phân_tích"/>
      <sheetName val="Bill_2_1_BOQ_ĐIỆN"/>
      <sheetName val="Chi_ti_t_Goc_-AB"/>
      <sheetName val="BOQ_CAU_CAN"/>
      <sheetName val="Tính_toàn_đào_đất"/>
      <sheetName val="Khối_lượng_cốt_thép"/>
      <sheetName val="Chi_tiết_chi_phí_chung"/>
      <sheetName val="CP__SD_Điện"/>
      <sheetName val="NVN_Hotel"/>
      <sheetName val="Ceiling_Height-_Schedule"/>
      <sheetName val="COC-LAP_DAT"/>
      <sheetName val="02-Lap_dat"/>
      <sheetName val="Ngân_sách"/>
      <sheetName val="09-Hoan_thien_nen"/>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CFA (ME)"/>
      <sheetName val="BANRA"/>
      <sheetName val="KL san lap"/>
      <sheetName val="CTDZTA(5)"/>
      <sheetName val="THONG SO"/>
      <sheetName val="Đơn giá chi tiết TN 39"/>
      <sheetName val="KLHT"/>
      <sheetName val="GOC-KO IN"/>
      <sheetName val="TH thiet bi"/>
      <sheetName val="TH may TC"/>
      <sheetName val="Bang phan tich"/>
      <sheetName val="DM Chi phi"/>
      <sheetName val="luong "/>
      <sheetName val="BẢNG ÁP GIÁ (in)"/>
      <sheetName val="NT (KL) IN"/>
      <sheetName val="DOM D2"/>
      <sheetName val="nhà ăn"/>
      <sheetName val="Công nhật"/>
      <sheetName val="btkt cột"/>
      <sheetName val="THÉP"/>
      <sheetName val="Bill rekap"/>
      <sheetName val="Thong tin"/>
      <sheetName val="Danh muc NT cong viec"/>
      <sheetName val="Danh muc NT Giai doan"/>
      <sheetName val="Danh muc NT Vat lieu"/>
      <sheetName val="ND Nhat ky"/>
      <sheetName val="NT cong viec"/>
      <sheetName val="Cost Report Sum"/>
      <sheetName val="Solieutinh"/>
      <sheetName val="負荷集計（断熱不燃）"/>
      <sheetName val="VTLD"/>
      <sheetName val="QLDA"/>
      <sheetName val="XD nhanh 3"/>
      <sheetName val="Sheet1 (2)"/>
      <sheetName val="Moäul'1"/>
      <sheetName val="Assumptions"/>
      <sheetName val="0"/>
      <sheetName val="Dầm 1"/>
      <sheetName val="Cọc nhồi"/>
      <sheetName val="Temp&amp;Site"/>
      <sheetName val="Budget Code"/>
      <sheetName val="Code"/>
      <sheetName val="係数"/>
      <sheetName val="ELEC"/>
      <sheetName val="Maker List"/>
      <sheetName val="REQUEST BUILDER"/>
      <sheetName val="B"/>
      <sheetName val="DS CHU Ph_x0001_"/>
      <sheetName val="PP"/>
      <sheetName val="갑지(추정)"/>
      <sheetName val="1. BCC T03.2018"/>
      <sheetName val="2.  BCC T04.2018"/>
      <sheetName val="5.2.1 Đo bóc KL OLK-10"/>
      <sheetName val="4.2.1 Đo bóc KL OLK-06"/>
      <sheetName val="4.1.1 CHI TIET OLK-06"/>
      <sheetName val="Total"/>
      <sheetName val="TK SX"/>
      <sheetName val="Quotation"/>
      <sheetName val="TINH GIA - SAN XUAT Vertico"/>
      <sheetName val="6823_PS_17005"/>
      <sheetName val="PU_ITALY_5"/>
      <sheetName val="Vat_tu3"/>
      <sheetName val="Canopy,SS5_(2)3"/>
      <sheetName val="RAB_AR&amp;STR3"/>
      <sheetName val="THCP_Lap_dat3"/>
      <sheetName val="THCP_xay_dung3"/>
      <sheetName val="D&amp;W_def_2"/>
      <sheetName val="Gioi_thieu2"/>
      <sheetName val="Du_Toan2"/>
      <sheetName val="he_so2"/>
      <sheetName val="Chiet_tinh_dz352"/>
      <sheetName val="KH_tai_chinh_khoa_san2"/>
      <sheetName val="Nhan_cong2"/>
      <sheetName val="Thiet_bi2"/>
      <sheetName val="DM_ChiPhi2"/>
      <sheetName val="May_TC2"/>
      <sheetName val="Phan_tich2"/>
      <sheetName val="Bang_KL2"/>
      <sheetName val="TH_Kinh_phi2"/>
      <sheetName val="STRUCTURE_Q'TY2"/>
      <sheetName val="REMAIN_Q'TY_-_SUB2"/>
      <sheetName val="T_K2"/>
      <sheetName val="B3A_-_TOWER_A2"/>
      <sheetName val="MAIN_GATE_HOUSE2"/>
      <sheetName val="Giá_Bê_tông_2_bên2"/>
      <sheetName val="Chenh_lech_vat_tu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Chi_tiết_Goc_-AB2"/>
      <sheetName val="DG_duoi2"/>
      <sheetName val="6PILE__(돌출)2"/>
      <sheetName val="Office_Tower2"/>
      <sheetName val="UNIT_PRICE2"/>
      <sheetName val="Tien_do_TV2"/>
      <sheetName val="CP_Du_phong2"/>
      <sheetName val="Tong_hop_kinh_phi2"/>
      <sheetName val="THDT_goi_thau_TB2"/>
      <sheetName val="Đơn_Giá_2"/>
      <sheetName val="1_R18_BF2"/>
      <sheetName val="6_External_works-R182"/>
      <sheetName val="BTT_(CAT_COC)2"/>
      <sheetName val="MTO_REV_2(ARMOR)2"/>
      <sheetName val="Cash_Flow2"/>
      <sheetName val="Phan_tich_tong_hop2"/>
      <sheetName val="Sàn_T12"/>
      <sheetName val="Lỗ_thông_gió2"/>
      <sheetName val="Tho_lai_may2"/>
      <sheetName val="Don_gia_LD2"/>
      <sheetName val="Du_toan_XD2"/>
      <sheetName val="Don_gia_XD2"/>
      <sheetName val="Electrical_Breakdown1"/>
      <sheetName val="Div26_-_Elect2"/>
      <sheetName val="TH_Vat_tu1"/>
      <sheetName val="TH_MTC1"/>
      <sheetName val="TH_N_Cong1"/>
      <sheetName val="Gia__vat_tu2"/>
      <sheetName val="Tong_hop1"/>
      <sheetName val="설치중량_2"/>
      <sheetName val="수문일위_2"/>
      <sheetName val="PTVT_(MAU)2"/>
      <sheetName val="4-Lane_bridge2"/>
      <sheetName val="아파트_2"/>
      <sheetName val="M_671"/>
      <sheetName val="Schedule_S-Curve_Revision#31"/>
      <sheetName val="KET_CAU_CT51"/>
      <sheetName val="TLg_CN&amp;Laixe1"/>
      <sheetName val="TLg_CN&amp;Laixe_(2)1"/>
      <sheetName val="TLg_Laitau1"/>
      <sheetName val="TLg_Laitau_(2)1"/>
      <sheetName val="Don_gia_(khong_in)1"/>
      <sheetName val="Chi_ti?t_Goc_-AB1"/>
      <sheetName val="khung_ten_TD1"/>
      <sheetName val="Chiettinh_dz0,41"/>
      <sheetName val="Equip_"/>
      <sheetName val="A1_CN"/>
      <sheetName val="Hệ_số"/>
      <sheetName val="Động_cơ"/>
      <sheetName val="Currency_Rate"/>
      <sheetName val="kinh_"/>
      <sheetName val="EIRR&gt;_2"/>
      <sheetName val="Pasir_Panjang_100J"/>
      <sheetName val="Nhap_VT_oto"/>
      <sheetName val="0__Bìa"/>
      <sheetName val="1__THONG_TIN_TT"/>
      <sheetName val="Tiên_Lượng"/>
      <sheetName val="THGT_TT_PL01&amp;02"/>
      <sheetName val="1__THGT-TT"/>
      <sheetName val="1_1_THGT_MEP"/>
      <sheetName val="1_2_THGT_PCCC"/>
      <sheetName val="1_3_THGT_PL"/>
      <sheetName val="2__BBNT_KLHT"/>
      <sheetName val="4_2_THKL_PL02"/>
      <sheetName val="5_2_DGCT_PL02"/>
      <sheetName val="3__DGCT_MEP_+_PCCC_"/>
      <sheetName val="3_1_DGCT_PL"/>
      <sheetName val="DBỐC_ACMV"/>
      <sheetName val="DB_CABLE"/>
      <sheetName val="DB_ONG_CC_&amp;_CS"/>
      <sheetName val="DB_CABLE_FA_+_SP"/>
      <sheetName val="DB_ONG_SP_ELC"/>
      <sheetName val="DB_CTN"/>
      <sheetName val="03_Detailed"/>
      <sheetName val="01_Bid_Price_summary"/>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1_Requisition(E)"/>
      <sheetName val="BC_Ton_Kho_New"/>
      <sheetName val="BC_Cua_GSBH_New"/>
      <sheetName val="ESTI_"/>
      <sheetName val="DS_CHU_Ph"/>
      <sheetName val="CT_Thang_Mo"/>
      <sheetName val="CT__PL"/>
      <sheetName val="??"/>
      <sheetName val="DS CHU Ph_x005f_x0001__x0"/>
      <sheetName val="DS CHU Ph_x005f_x005f_x00"/>
      <sheetName val="Du toan truc tiep - Bill 2"/>
      <sheetName val="PL02-NHOM"/>
      <sheetName val="PL02-NHUA"/>
      <sheetName val="DTXD-DD (2)"/>
      <sheetName val="PTVT"/>
      <sheetName val="HRG BHN"/>
      <sheetName val="TABLE-A"/>
      <sheetName val="영동(D)"/>
      <sheetName val="MTO REV_0"/>
      <sheetName val="THCP Tuyen"/>
      <sheetName val="Bang chiet tinh TBA"/>
      <sheetName val="CT DZ"/>
      <sheetName val="D&amp;W"/>
      <sheetName val="TT05"/>
      <sheetName val="PT_ksat1"/>
      <sheetName val="LUONG_KS1"/>
      <sheetName val="VAT_LIEU1"/>
      <sheetName val="ranh_hong1"/>
      <sheetName val="THEP_TAM1"/>
      <sheetName val="THEP_HÌNH1"/>
      <sheetName val="THEP_HINH1"/>
      <sheetName val="XA_GO1"/>
      <sheetName val="BANG_TRA1"/>
      <sheetName val="Elec_LG1"/>
      <sheetName val="Bill_2_1_BOQ_ĐIỆN1"/>
      <sheetName val="Chi_ti_t_Goc_-AB1"/>
      <sheetName val="BOQ_CAU_CAN1"/>
      <sheetName val="Tính_toàn_đào_đất1"/>
      <sheetName val="Khối_lượng_cốt_thép1"/>
      <sheetName val="Chi_tiết_chi_phí_chung1"/>
      <sheetName val="CP__SD_Điện1"/>
      <sheetName val="Ceiling_Height-_Schedule1"/>
      <sheetName val="COC-LAP_DAT1"/>
      <sheetName val="02-Lap_dat1"/>
      <sheetName val="Ngân_sách1"/>
      <sheetName val="09-Hoan_thien_nen1"/>
      <sheetName val="NVN_Hotel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Phân_tích1"/>
      <sheetName val="MeKong_-_Penetration1"/>
      <sheetName val="Dist__Perform_-_Ctns_sales_in_1"/>
      <sheetName val="Dist__Perform_-_Value_sales_in1"/>
      <sheetName val="Dist__Perform_-_Value_sales_Ou1"/>
      <sheetName val="Head_Count1"/>
      <sheetName val="Sales_Result_For_Month1"/>
      <sheetName val="DS_CHU_Phuc1"/>
      <sheetName val="DS_THI_AT1"/>
      <sheetName val="Bien_Ban1"/>
      <sheetName val="Dgia_vat_tu"/>
      <sheetName val="Don_gia_III"/>
      <sheetName val="Bhyt_t1"/>
      <sheetName val="DS_CHU_Ph?"/>
      <sheetName val="Leave_Statistic_Report1"/>
      <sheetName val="DS_CHU_Ph_"/>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A1_8_NhIII_(1050k)"/>
      <sheetName val="Nhan_cong_nhom_I"/>
      <sheetName val="Luong_TT05"/>
      <sheetName val="10_VC_đ__ngắn"/>
      <sheetName val="KL_san_lap"/>
      <sheetName val="THONG_SO"/>
      <sheetName val="Đơn_giá_chi_tiết_TN_39"/>
      <sheetName val="TỔNG_HỢP_KHỐI_LƯỢNG"/>
      <sheetName val="NƯƠC_CẤP_TRỤC_+_TAY_NHÁNH"/>
      <sheetName val="TH_thiet_bi"/>
      <sheetName val="TH_may_TC"/>
      <sheetName val="Bang_phan_tich"/>
      <sheetName val="DM_Chi_phi"/>
      <sheetName val="luong_"/>
      <sheetName val="BẢNG_ÁP_GIÁ_(in)"/>
      <sheetName val="NT_(KL)_IN"/>
      <sheetName val="DOM_D2"/>
      <sheetName val="nhà_ăn"/>
      <sheetName val="Công_nhật"/>
      <sheetName val="btkt_cột"/>
      <sheetName val="Bill_rekap"/>
      <sheetName val="hrs_&amp;_prg"/>
      <sheetName val="CFA_(ME)"/>
      <sheetName val="Cost_Report_Sum"/>
      <sheetName val="GOC-KO_IN"/>
      <sheetName val="Thong_tin"/>
      <sheetName val="Danh_muc_NT_cong_viec"/>
      <sheetName val="Danh_muc_NT_Giai_doan"/>
      <sheetName val="Danh_muc_NT_Vat_lieu"/>
      <sheetName val="ND_Nhat_ky"/>
      <sheetName val="NT_cong_viec"/>
      <sheetName val="Sheet1_(2)"/>
      <sheetName val="Dầm_1"/>
      <sheetName val="Cọc_nhồi"/>
      <sheetName val="1__BCC_T03_2018"/>
      <sheetName val="2___BCC_T04_2018"/>
      <sheetName val="XD_nhanh_3"/>
      <sheetName val="Scorp_of_work_(2)"/>
      <sheetName val="SUM_(2)"/>
      <sheetName val="CPC_(2)"/>
      <sheetName val="A1_ELC_ok_"/>
      <sheetName val="_A2_ELV_ok"/>
      <sheetName val="A3_VAC_ok_"/>
      <sheetName val="A4_PLB_ok"/>
      <sheetName val="A5_FPS_ok"/>
      <sheetName val="_B1_ELC__ok"/>
      <sheetName val="B2_ELV_ok"/>
      <sheetName val="B3_VAC_ok"/>
      <sheetName val="B4_PLB_"/>
      <sheetName val="B5_FPS_ok"/>
      <sheetName val="C__SOFTWARE"/>
      <sheetName val="D__OTHER"/>
      <sheetName val="A1__ELC_PANEL"/>
      <sheetName val="Sum_material"/>
      <sheetName val="5_2_1_Đo_bóc_KL_OLK-10"/>
      <sheetName val="4_2_1_Đo_bóc_KL_OLK-06"/>
      <sheetName val="4_1_1_CHI_TIET_OLK-06"/>
      <sheetName val="Budget_Code"/>
      <sheetName val="Luong_A3"/>
      <sheetName val="Luong_TT01"/>
      <sheetName val="DG_TN_TB_LE_(2)"/>
      <sheetName val="Breakdown (B)"/>
      <sheetName val="Cong nợ"/>
      <sheetName val="DS CHU Ph_x0001__x0"/>
      <sheetName val="BASE"/>
      <sheetName val="Luong+may"/>
      <sheetName val="GA 15"/>
      <sheetName val="CHICLAND"/>
      <sheetName val="HILTON"/>
      <sheetName val="HÒA XUÂN II"/>
      <sheetName val="KEMBEACH-SUN"/>
      <sheetName val="LƯƠNG YÊN"/>
      <sheetName val="OCEAN GATE"/>
      <sheetName val="KEMBEACH-AA"/>
      <sheetName val="PREMIER-SUN"/>
      <sheetName val="THÀNH ĐÔ"/>
      <sheetName val="Thép phần thô"/>
      <sheetName val="개산공사비"/>
      <sheetName val="STR"/>
      <sheetName val="Tong du toan"/>
      <sheetName val="THVT"/>
      <sheetName val="Keothep"/>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BOQ DOME H"/>
      <sheetName val="GIÁ HĐ 30 CĂN"/>
      <sheetName val="Cover"/>
      <sheetName val="HVAC"/>
      <sheetName val="P&amp;S"/>
      <sheetName val="Changelog"/>
      <sheetName val="DGchitiet "/>
      <sheetName val="CP HMC"/>
      <sheetName val="TH_CPTB"/>
      <sheetName val="CP Khac cuoc VC"/>
      <sheetName val="banggia1"/>
      <sheetName val="설계내역서"/>
      <sheetName val="MTO REV.0"/>
      <sheetName val="TDTKP (2)"/>
      <sheetName val="TONGKE3p"/>
      <sheetName val="CHITIET VL-NC-DDTT3PHA "/>
      <sheetName val="CHITIET VL-NC-TT1p"/>
      <sheetName val="Du lieu"/>
      <sheetName val="THDG"/>
      <sheetName val="TNHC"/>
      <sheetName val="1_Data"/>
      <sheetName val="Tong hop cpc"/>
      <sheetName val="Du lieu CKN"/>
      <sheetName val="GiaVTu"/>
      <sheetName val="Tủ điện"/>
      <sheetName val="CT mong"/>
      <sheetName val="TH-20"/>
      <sheetName val="THop"/>
      <sheetName val="THop-20"/>
      <sheetName val="ĐHóa"/>
      <sheetName val="ĐHy"/>
      <sheetName val="ĐTư"/>
      <sheetName val="PBinh"/>
      <sheetName val="Phu Lg"/>
      <sheetName val="PYen"/>
      <sheetName val="SCong"/>
      <sheetName val="TP TNguyen"/>
      <sheetName val="TP Thái Nguyên"/>
      <sheetName val="Vnhai"/>
      <sheetName val="Đội 110"/>
      <sheetName val="4.3 Scope of work "/>
      <sheetName val="__"/>
      <sheetName val="_ QUOTATION.xlsx"/>
      <sheetName val="6. Scope of work "/>
      <sheetName val="4.6 Phân tích nhân sự "/>
      <sheetName val="4.5 Mức độ tham gia dự á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refreshError="1"/>
      <sheetData sheetId="470" refreshError="1"/>
      <sheetData sheetId="471"/>
      <sheetData sheetId="472"/>
      <sheetData sheetId="473"/>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sheetData sheetId="748"/>
      <sheetData sheetId="749" refreshError="1"/>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refreshError="1"/>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sheetData sheetId="805"/>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refreshError="1"/>
      <sheetData sheetId="1115" refreshError="1"/>
      <sheetData sheetId="1116" refreshError="1"/>
      <sheetData sheetId="1117"/>
      <sheetData sheetId="1118" refreshError="1"/>
      <sheetData sheetId="1119" refreshError="1"/>
      <sheetData sheetId="1120"/>
      <sheetData sheetId="1121"/>
      <sheetData sheetId="1122" refreshError="1"/>
      <sheetData sheetId="1123" refreshError="1"/>
      <sheetData sheetId="1124"/>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sheetData sheetId="1172" refreshError="1"/>
      <sheetData sheetId="1173" refreshError="1"/>
      <sheetData sheetId="1174" refreshError="1"/>
      <sheetData sheetId="1175"/>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
      <sheetName val="Quantity"/>
      <sheetName val="KP_List"/>
      <sheetName val="PU_ITALY "/>
      <sheetName val="Prices"/>
      <sheetName val="Module1"/>
      <sheetName val="Module2"/>
      <sheetName val="XL4Poppy"/>
      <sheetName val="6787CWFASE2CASE2_00"/>
      <sheetName val="Tro giup"/>
      <sheetName val="조명시설"/>
      <sheetName val="Sheet1"/>
      <sheetName val="THDZ0,4"/>
      <sheetName val="TH DZ35"/>
      <sheetName val="THTram"/>
      <sheetName val="SILICATE"/>
      <sheetName val="phuluc1"/>
      <sheetName val="RAB AR&amp;STR"/>
      <sheetName val="Earthwork"/>
      <sheetName val="Input"/>
      <sheetName val="DANHPHAP"/>
      <sheetName val="chi tiet TBA"/>
      <sheetName val="chi tiet C"/>
      <sheetName val="DG"/>
      <sheetName val="공통가설"/>
      <sheetName val="물량표S"/>
      <sheetName val="DATA"/>
      <sheetName val="Customize Your Purchase Order"/>
      <sheetName val="ptnc"/>
      <sheetName val="ptvl"/>
      <sheetName val="ptm"/>
      <sheetName val="Don gia"/>
      <sheetName val="DC"/>
      <sheetName val="NL"/>
      <sheetName val="DON GIA TRAM (3)"/>
      <sheetName val="dongia"/>
      <sheetName val="7606 DZ"/>
      <sheetName val="Gia vat tu"/>
      <sheetName val="VL,NC,MTC"/>
      <sheetName val="#REF"/>
      <sheetName val="TONGKE-HT"/>
      <sheetName val="DON GIA CAN THO"/>
      <sheetName val="Don gia chi tiet"/>
      <sheetName val="내역서"/>
      <sheetName val="BG"/>
      <sheetName val="FitOutConfCentre"/>
      <sheetName val="KLHT"/>
      <sheetName val="CHITIET VL-NC-TT -1p"/>
      <sheetName val="CHITIET VL-NC-TT-3p"/>
      <sheetName val="TONG HOP VL-NC TT"/>
      <sheetName val="TDTKP1"/>
      <sheetName val="KPVC-BD "/>
      <sheetName val="DGTH"/>
      <sheetName val="Control"/>
      <sheetName val="THVATTU"/>
      <sheetName val="HĐ ngoài"/>
      <sheetName val="XT_Buoc 3"/>
      <sheetName val="dongia (2)"/>
      <sheetName val="PU_ITALY_"/>
      <sheetName val="Tro_giup"/>
      <sheetName val="RAB_AR&amp;STR"/>
      <sheetName val="chi_tiet_TBA"/>
      <sheetName val="chi_tiet_C"/>
      <sheetName val="TH_DZ35"/>
      <sheetName val="Customize_Your_Purchase_Order"/>
      <sheetName val="Shdet1"/>
      <sheetName val="402"/>
      <sheetName val="dnc4"/>
      <sheetName val="project management"/>
      <sheetName val="Mall"/>
      <sheetName val="CTG"/>
      <sheetName val="TinhGiaMTC"/>
      <sheetName val="TinhGiaNC"/>
      <sheetName val="S-curve "/>
      <sheetName val="DON_GIA_CAN_THO"/>
      <sheetName val="PU_ITALY_1"/>
      <sheetName val="TH_DZ351"/>
      <sheetName val="Tro_giup1"/>
      <sheetName val="DON_GIA_CAN_THO1"/>
      <sheetName val="DONVIBAN"/>
      <sheetName val="NGUON"/>
      <sheetName val="gvl"/>
      <sheetName val="KPTH-T12"/>
      <sheetName val="Thamgia-T10"/>
      <sheetName val="VL"/>
      <sheetName val="PU_ITALY_2"/>
      <sheetName val="TH_DZ352"/>
      <sheetName val="Tro_giup2"/>
      <sheetName val="DON_GIA_CAN_THO2"/>
      <sheetName val="Don_gia_chi_tiet"/>
      <sheetName val="PROFILE"/>
      <sheetName val="Đầu vào"/>
      <sheetName val="CBKC-110"/>
      <sheetName val="침하계"/>
      <sheetName val="BETON"/>
      <sheetName val="갑지"/>
      <sheetName val="24-ACMV"/>
      <sheetName val="SL"/>
      <sheetName val="Adix A"/>
      <sheetName val="실행철강하도"/>
      <sheetName val="집계표"/>
      <sheetName val="So doi chieu LC"/>
      <sheetName val="Du_lieu"/>
      <sheetName val="Dulieu"/>
      <sheetName val="P"/>
      <sheetName val="MAIN GATE HOUSE"/>
      <sheetName val="Don_gia"/>
      <sheetName val="DON_GIA_TRAM_(3)"/>
      <sheetName val="7606_DZ"/>
      <sheetName val="TONG_HOP_VL-NC_TT"/>
      <sheetName val="CHITIET_VL-NC-TT_-1p"/>
      <sheetName val="KPVC-BD_"/>
      <sheetName val="TH_CNO"/>
      <sheetName val="NK_CHUNG"/>
      <sheetName val="chitimc"/>
      <sheetName val="giathanh1"/>
      <sheetName val="THVT"/>
      <sheetName val="CAT_5"/>
      <sheetName val="BQMP"/>
      <sheetName val="산근"/>
      <sheetName val="inter"/>
      <sheetName val="대비"/>
      <sheetName val="REINF."/>
      <sheetName val="SKETCH"/>
      <sheetName val="LOADS"/>
      <sheetName val="Titles"/>
      <sheetName val="Rates 2009"/>
      <sheetName val="O20"/>
      <sheetName val="Commercial value"/>
      <sheetName val="Ky Lam Bridge"/>
      <sheetName val="Provisional Sums Item"/>
      <sheetName val="Gas Pressure Welding"/>
      <sheetName val="General Item&amp;General Requiremen"/>
      <sheetName val="General Items"/>
      <sheetName val="Regenral Requirements"/>
      <sheetName val="A1.CN"/>
      <sheetName val="NC"/>
      <sheetName val="TONG HOP VL-NC"/>
      <sheetName val="lam-moi"/>
      <sheetName val="damgiua"/>
      <sheetName val="dgct"/>
      <sheetName val="chiet tinh"/>
      <sheetName val="dg67-1"/>
      <sheetName val="Ng.hàng xà+bulong"/>
      <sheetName val="6787CWFASE2CASE2_00.xls"/>
      <sheetName val="list"/>
      <sheetName val="T&amp;D"/>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PTDG"/>
      <sheetName val="K95"/>
      <sheetName val="K98"/>
      <sheetName val="Ts"/>
      <sheetName val="DG-VL"/>
      <sheetName val="PTDGCT"/>
      <sheetName val="DonGiaLD"/>
      <sheetName val="????"/>
      <sheetName val="TONG HOP T5 1998"/>
      <sheetName val="CT-35"/>
      <sheetName val="CT-0.4KV"/>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Du toan"/>
      <sheetName val="Keothep"/>
      <sheetName val="Re-bar"/>
      <sheetName val="DLDTLN"/>
      <sheetName val="DG thep ma kem"/>
      <sheetName val="dm366"/>
      <sheetName val="LaborPY"/>
      <sheetName val="LaborKH"/>
      <sheetName val="Equip "/>
      <sheetName val="Material"/>
      <sheetName val="TBA"/>
      <sheetName val="SITE-E"/>
      <sheetName val="366"/>
      <sheetName val="DM"/>
      <sheetName val="ALLOWANCE"/>
      <sheetName val="MH RATE"/>
      <sheetName val="차액보증"/>
      <sheetName val="Bang KL"/>
      <sheetName val="Sheet3"/>
      <sheetName val="Config"/>
      <sheetName val="DMCP"/>
      <sheetName val="HS_TDT"/>
      <sheetName val="DM 6061"/>
      <sheetName val="Gia"/>
      <sheetName val="Giá"/>
      <sheetName val="DM1776"/>
      <sheetName val="DM228"/>
      <sheetName val="DM4970"/>
      <sheetName val="Camay_DP"/>
      <sheetName val="DM6061"/>
      <sheetName val="Luong2"/>
      <sheetName val="금융비용"/>
      <sheetName val="입찰안"/>
      <sheetName val="BGD"/>
      <sheetName val="KCS"/>
      <sheetName val="KD"/>
      <sheetName val="KT"/>
      <sheetName val="KTNL"/>
      <sheetName val="KH"/>
      <sheetName val="PX-SX"/>
      <sheetName val="TC"/>
      <sheetName val="Lcau - Lxuc"/>
      <sheetName val="CT vat lieu"/>
      <sheetName val="vcdngan"/>
      <sheetName val="Chi tiet XD TBA"/>
      <sheetName val="EXTERNAL"/>
      <sheetName val="WT-LIST"/>
      <sheetName val="Trạm biến áp"/>
      <sheetName val="Đơn Giá "/>
      <sheetName val="ironmongery"/>
      <sheetName val="Chenh lech vat tu"/>
      <sheetName val="Diện tích"/>
      <sheetName val="1_Khái toán"/>
      <sheetName val="KL Chi tiết Xây tô"/>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말뚝지지력산정"/>
      <sheetName val="04 - XUONG DET B"/>
      <sheetName val="CTGX"/>
      <sheetName val="CTG-1"/>
      <sheetName val="Bill 1_Quy dinh chung"/>
      <sheetName val="1.R18 BF"/>
      <sheetName val="A"/>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DGG"/>
      <sheetName val="INDEX"/>
      <sheetName val="Area Cal"/>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BKBANRA"/>
      <sheetName val="BKMUAVAO"/>
      <sheetName val="INFO"/>
      <sheetName val="Summary"/>
      <sheetName val="Cp&gt;10-Ln&lt;10"/>
      <sheetName val="Ln&lt;20"/>
      <sheetName val="EIRR&gt;1&lt;1"/>
      <sheetName val="EIRR&gt; 2"/>
      <sheetName val="EIRR&lt;2"/>
      <sheetName val="Sheet2"/>
      <sheetName val="負荷集計（断熱不燃）"/>
      <sheetName val="GAEYO"/>
      <sheetName val="7606-TBA"/>
      <sheetName val="7606-ĐZ"/>
      <sheetName val="DM 67"/>
      <sheetName val="Đầu tư"/>
      <sheetName val="DL"/>
      <sheetName val="CE(E)"/>
      <sheetName val="CE(M)"/>
      <sheetName val="Project Data"/>
      <sheetName val="chiettinh"/>
      <sheetName val="Data Input"/>
      <sheetName val="실행"/>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DTICH"/>
      <sheetName val="Loại Vật tư"/>
      <sheetName val="tonghop"/>
      <sheetName val="DATA2"/>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갑지1"/>
      <sheetName val="LEGEND"/>
      <sheetName val="6PILE  (돌출)"/>
      <sheetName val="6MONTHS"/>
      <sheetName val="???S"/>
      <sheetName val="???"/>
      <sheetName val="??"/>
      <sheetName val="HÐ ngoài"/>
      <sheetName val="??????"/>
      <sheetName val="HÐ_ngoài"/>
      <sheetName val="DTXL"/>
      <sheetName val="gia cong tac"/>
      <sheetName val="____"/>
      <sheetName val="Measure 1306"/>
      <sheetName val="0"/>
      <sheetName val="PRI-LS"/>
      <sheetName val="NKC6"/>
      <sheetName val="DTXD"/>
      <sheetName val="Door and window"/>
      <sheetName val="DETAIL "/>
      <sheetName val="GV1-D13 (Casement door)"/>
      <sheetName val="MTL$-INTER"/>
      <sheetName val="bt19"/>
      <sheetName val="Btr25"/>
      <sheetName val="JP_List"/>
      <sheetName val="SUBS"/>
      <sheetName val="Feeds"/>
      <sheetName val="final list 2005"/>
      <sheetName val="final_list_2005"/>
      <sheetName val="WORKINGS"/>
      <sheetName val="LV data"/>
      <sheetName val="ESTI."/>
      <sheetName val="CPDDII"/>
      <sheetName val="NVL"/>
      <sheetName val="Note"/>
      <sheetName val="DLdauvao"/>
      <sheetName val="CẤP THOÁT NƯỚC"/>
      <sheetName val="TH MTC"/>
      <sheetName val="TH N.Cong"/>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DG-TNHC-85"/>
      <sheetName val="Dia"/>
      <sheetName val="SP10"/>
      <sheetName val="THDT goi thau TB"/>
      <sheetName val="Tien do TV"/>
      <sheetName val="QD957"/>
      <sheetName val="Harga ME "/>
      <sheetName val="토공"/>
      <sheetName val="Alat"/>
      <sheetName val="Analisa Gabungan"/>
      <sheetName val="Sub"/>
      <sheetName val="KL san lap"/>
      <sheetName val="DK"/>
      <sheetName val="Isolasi Luar Dalam"/>
      <sheetName val="Isolasi Luar"/>
      <sheetName val="Sheet4"/>
      <sheetName val="Supplier"/>
      <sheetName val=" Bill.5-Earthing.2 - Add Works"/>
      <sheetName val="TK-COL"/>
      <sheetName val="02_Dulieu_Cua"/>
      <sheetName val="dg7606"/>
      <sheetName val="DGsuyrong"/>
      <sheetName val="PhanTichVua"/>
      <sheetName val="PhanTichVT"/>
      <sheetName val="KhoiluongDT"/>
      <sheetName val="bridge # 1"/>
      <sheetName val="HMCV"/>
      <sheetName val="CauKien"/>
      <sheetName val="XD"/>
      <sheetName val="Cuongricc"/>
      <sheetName val="DATA BASE"/>
      <sheetName val="Equipment list (PAC)"/>
      <sheetName val="Mat_Source"/>
      <sheetName val="計算条件"/>
      <sheetName val="Chenh lech ca may"/>
      <sheetName val="TLg CN&amp;Laixe"/>
      <sheetName val="TLg CN&amp;Laixe (2)"/>
      <sheetName val="TLg Laitau"/>
      <sheetName val="TLg Laitau (2)"/>
      <sheetName val="TINH KHOI LUONG"/>
      <sheetName val="入力作成表"/>
      <sheetName val="CPA"/>
      <sheetName val="Setting"/>
      <sheetName val="Settings"/>
      <sheetName val="VND"/>
      <sheetName val="Buy vs. Lease Car"/>
      <sheetName val="___S"/>
      <sheetName val="___"/>
      <sheetName val="__"/>
      <sheetName val="______"/>
      <sheetName val="I-KAMAR"/>
      <sheetName val="GTTBA"/>
      <sheetName val="新规"/>
      <sheetName val="Master"/>
      <sheetName val="DG7606DZ"/>
      <sheetName val="Chi tiet"/>
      <sheetName val="Unit_Div6"/>
      <sheetName val="phan tic chi tiet"/>
      <sheetName val="Main"/>
      <sheetName val="subcon sched"/>
      <sheetName val="A1"/>
      <sheetName val="CT_vat_lieu"/>
      <sheetName val="DM_6061"/>
      <sheetName val="DG_thep_ma_kem"/>
      <sheetName val="DG_DZ"/>
      <sheetName val="DG_TBA"/>
      <sheetName val="Data_Input"/>
      <sheetName val="DG1426"/>
      <sheetName val="KH-Q1,Q2,01"/>
      <sheetName val="Code"/>
      <sheetName val="Budget Code"/>
      <sheetName val="TH_CPTB"/>
      <sheetName val="CP Khac cuoc VC"/>
      <sheetName val="PS-Labour_M"/>
      <sheetName val="NHÀ NHẬP LIỆU"/>
      <sheetName val="MÓNG SILO"/>
      <sheetName val="Bang 3_Chi tiet phan Dz"/>
      <sheetName val="KHOI LUONG"/>
      <sheetName val="13-Cốt thép (10mm&lt;D≤18mm) FO16"/>
      <sheetName val="du lieu du toan"/>
      <sheetName val="BẢNG KHỐI LƯỢNG TỔNG HỢP"/>
      <sheetName val="SEX"/>
      <sheetName val="CTKL KTX HT"/>
      <sheetName val="HVAC.BLOCK B4"/>
      <sheetName val="CT1"/>
      <sheetName val="Hardware"/>
      <sheetName val="HWW"/>
      <sheetName val="2.Chiet tinh"/>
      <sheetName val="daf-3(OK)"/>
      <sheetName val="daf-7(OK)"/>
      <sheetName val="SourceData"/>
      <sheetName val="7606"/>
      <sheetName val="IBASE"/>
      <sheetName val="PRE (E)"/>
      <sheetName val="Z"/>
      <sheetName val="Chi tiet lan can"/>
      <sheetName val="Tong du toan"/>
      <sheetName val="Bill 2 - ketcau"/>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HÐ_ngoài1"/>
      <sheetName val="Xay_lapduongR3"/>
      <sheetName val="wsLists"/>
      <sheetName val="PU_ITALY_4"/>
      <sheetName val="Tro_giup4"/>
      <sheetName val="TH_DZ354"/>
      <sheetName val="CHITIET_VL-NC-TT_-1p2"/>
      <sheetName val="TONG_HOP_VL-NC_TT2"/>
      <sheetName val="KPVC-BD_2"/>
      <sheetName val="Don_gia2"/>
      <sheetName val="Luong NII"/>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Analisa &amp; Upah"/>
      <sheetName val="Purchase Order"/>
      <sheetName val="DL ĐẦU VÀO"/>
      <sheetName val="CTEMCOST"/>
      <sheetName val="D &amp; W sizes"/>
      <sheetName val="DM_60611"/>
      <sheetName val="DG_thep_ma_kem1"/>
      <sheetName val="CT_vat_lieu1"/>
      <sheetName val="DG_DZ1"/>
      <sheetName val="DG_TBA1"/>
      <sheetName val="_Bill_5-Earthing_2_-_Add_Works"/>
      <sheetName val="Data_Input1"/>
      <sheetName val="DETAIL_"/>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BOQ THAN"/>
      <sheetName val="Formwork"/>
      <sheetName val="BOQ건축"/>
      <sheetName val="BocXep"/>
      <sheetName val="VCBo"/>
      <sheetName val="VCThuy"/>
      <sheetName val="Cpbetong"/>
      <sheetName val="366fun"/>
      <sheetName val="DM_60606061"/>
      <sheetName val="DINH MUC THI NGHIEM"/>
      <sheetName val="CUOCVC"/>
      <sheetName val="Luong NI"/>
      <sheetName val="Vatlieu"/>
      <sheetName val="CT"/>
      <sheetName val="don_giaQB"/>
      <sheetName val="dghn"/>
      <sheetName val="DongiaVL2"/>
      <sheetName val="Active"/>
      <sheetName val="PMS"/>
      <sheetName val="1_MV"/>
      <sheetName val="Ktmo"/>
      <sheetName val="경비2내역"/>
      <sheetName val="Du lieu"/>
      <sheetName val="Cash2"/>
      <sheetName val="Markup"/>
      <sheetName val="OT"/>
      <sheetName val="cash budget"/>
      <sheetName val="Criteria"/>
      <sheetName val="ICGSIP"/>
      <sheetName val="SORT"/>
      <sheetName val="Phan tich"/>
      <sheetName val="INPUT-STR"/>
      <sheetName val="REF"/>
      <sheetName val="CT Thang Mo"/>
      <sheetName val="CT  PL"/>
      <sheetName val="DTCTchung"/>
      <sheetName val="dongia _2_"/>
      <sheetName val="FAB별"/>
      <sheetName val="Thép CKN"/>
      <sheetName val="GOC-KO IN"/>
      <sheetName val="TMinh"/>
      <sheetName val="MAU 8A"/>
      <sheetName val="MAU 8B"/>
      <sheetName val="MAU 9"/>
      <sheetName val="MAU 10"/>
      <sheetName val="TLuong"/>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02. PTDG"/>
      <sheetName val="dm 366"/>
      <sheetName val="DM 6060"/>
      <sheetName val="Gvlch"/>
      <sheetName val="DGLX"/>
      <sheetName val="Don gia (khong in)"/>
      <sheetName val="Dlieu dau vao"/>
      <sheetName val="DK1.Don gia"/>
      <sheetName val="1.MONG 1-2"/>
      <sheetName val="BANCO (2)"/>
      <sheetName val="MT DPin (2)"/>
      <sheetName val="外気負荷"/>
      <sheetName val="Chiết tính"/>
      <sheetName val="Dongiaxd"/>
      <sheetName val="VT190111"/>
      <sheetName val="Hao phí"/>
      <sheetName val="Du tru CP-Bieu 01"/>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DM7606"/>
      <sheetName val="XDM22"/>
      <sheetName val="DinhMuc"/>
      <sheetName val="TK-TUBU"/>
      <sheetName val="DGIA"/>
      <sheetName val="TT"/>
      <sheetName val="DM_4970"/>
      <sheetName val="CTKL_KTX_HT"/>
      <sheetName val="NHÀ_NHẬP_LIỆU"/>
      <sheetName val="MÓNG_SILO"/>
      <sheetName val="CP_Khac_cuoc_VC"/>
      <sheetName val="Budget_Code"/>
      <sheetName val="BẢNG_KHỐI_LƯỢNG_TỔNG_HỢP"/>
      <sheetName val="2_Chiet_tinh"/>
      <sheetName val="TB NẶNG"/>
      <sheetName val="CP HMC"/>
      <sheetName val="gui BKCT"/>
      <sheetName val="MTL(AG)"/>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subcon_sched1"/>
      <sheetName val="Bang_3_Chi_tiet_phan_Dz1"/>
      <sheetName val="KHOI_LUONG1"/>
      <sheetName val="HVAC_BLOCK_B41"/>
      <sheetName val="PRE_(E)1"/>
      <sheetName val="Tong_du_toan"/>
      <sheetName val="Bill_2_-_ketcau"/>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TH TN"/>
      <sheetName val="Bill No.3 - Prov. Sum (Ph2&amp;3)"/>
      <sheetName val="wk prgs"/>
      <sheetName val="sort2"/>
      <sheetName val="đọc số"/>
      <sheetName val="DATA1"/>
      <sheetName val="소일위대가코드표"/>
      <sheetName val="Ma don vi"/>
      <sheetName val="bang cc"/>
      <sheetName val="TK chi tiet"/>
      <sheetName val="Brick"/>
      <sheetName val="Bill 2-Road HR2"/>
      <sheetName val="Bill 3 - Softscape HR2"/>
      <sheetName val="HỆ THỐNG PHÒNG CHÁY CHỮA CHÁY"/>
      <sheetName val="HỆ THỐNG CẤP THOÁT NƯỚC"/>
      <sheetName val="HỆ THỐNG ĐHKK"/>
      <sheetName val="MÁY PHÁT ĐIỆN"/>
      <sheetName val="HỆ THỐNG ĐIỆN"/>
      <sheetName val="Thiết bị chính"/>
      <sheetName val="DG 1426"/>
      <sheetName val="Dự thầu"/>
      <sheetName val="Nhap VT oto"/>
      <sheetName val="見積書"/>
      <sheetName val="TNHC"/>
      <sheetName val="trialth"/>
      <sheetName val="1"/>
      <sheetName val="PCCC"/>
      <sheetName val="Ｎｏ.13"/>
      <sheetName val="tra_vat_lieu"/>
      <sheetName val="DGchitiet "/>
      <sheetName val="2.1Warehouse 1"/>
      <sheetName val="Structure data"/>
      <sheetName val="AG Pipe Qty Analysis"/>
      <sheetName val="NHATKYC"/>
      <sheetName val="BCX_NL"/>
      <sheetName val="THEP TAM"/>
      <sheetName val="THEP HÌNH"/>
      <sheetName val="THEP HINH"/>
      <sheetName val="XA GO"/>
      <sheetName val="BANG TRA"/>
      <sheetName val="CP Du phong"/>
      <sheetName val="THCP Lap dat"/>
      <sheetName val="THCP xay dung"/>
      <sheetName val="Tong hop kinh phi"/>
      <sheetName val="QD79"/>
      <sheetName val="Tongke"/>
      <sheetName val="CHI PHI"/>
      <sheetName val="MDA"/>
      <sheetName val="MKH"/>
      <sheetName val="DMNV"/>
      <sheetName val="DMNCC"/>
      <sheetName val="MHH"/>
      <sheetName val="CĂN HỘ T16-17 "/>
      <sheetName val="TRỤC ĐỨNG THOÁT BẨN T15-17"/>
      <sheetName val="TRỤC ĐỨNG TM T15-17"/>
      <sheetName val="nkc"/>
      <sheetName val="Móng, nền "/>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1.Requisition(E)"/>
      <sheetName val="CDTK"/>
      <sheetName val="TONG HOP"/>
      <sheetName val="Tổng GT"/>
      <sheetName val="GT"/>
      <sheetName val="KL"/>
      <sheetName val="Chi tiết KL"/>
      <sheetName val="khấu trừ phạt"/>
      <sheetName val="GT  KHAU TRU"/>
      <sheetName val="HAO HUT VAT TU (2)"/>
      <sheetName val="cao độ"/>
      <sheetName val="Specs"/>
      <sheetName val="Data.Wall"/>
      <sheetName val="물량표"/>
      <sheetName val="Notes"/>
      <sheetName val="1.2 Staff Schedule"/>
      <sheetName val="BẢNG ÁP GIÁ (in)"/>
      <sheetName val="NT (KL) IN"/>
      <sheetName val="DOM D2"/>
      <sheetName val="nhà ăn"/>
      <sheetName val="Công nhật"/>
      <sheetName val="btkt cột"/>
      <sheetName val="THÉP"/>
      <sheetName val="SPEC"/>
      <sheetName val="VO-PS02-XD"/>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Dongia7606new"/>
      <sheetName val="Chi tiet -tong 9 thang"/>
      <sheetName val="BangMa"/>
      <sheetName val="Don gia chi tiet DIEN 2"/>
      <sheetName val="0. Input"/>
      <sheetName val="Thongtin"/>
      <sheetName val="Theo doi Doanh thu 2017"/>
      <sheetName val="Gia vat lieu"/>
      <sheetName val="Precios unitarios AXH"/>
      <sheetName val=""/>
      <sheetName val="So lieu chung"/>
      <sheetName val="NHAP"/>
      <sheetName val="3. CNT"/>
      <sheetName val="unit price list(M)"/>
      <sheetName val="Rate1"/>
      <sheetName val="TH VL, NC, DDHT Thanhphuoc"/>
      <sheetName val="전기"/>
      <sheetName val="DMCT"/>
      <sheetName val="lam_moi"/>
      <sheetName val="KL THEP  GIAM DO DUNG COUPLER"/>
      <sheetName val="01.KL THÉP NHẬP VỀ"/>
      <sheetName val="BBLMHT"/>
      <sheetName val="2. NT VLDV"/>
      <sheetName val="GHI CHU"/>
      <sheetName val="1.BB LMHT"/>
      <sheetName val="NEW-PANEL"/>
      <sheetName val="DMTN"/>
      <sheetName val="VatTU"/>
      <sheetName val="CTTN"/>
      <sheetName val="Luong_Cnhan"/>
      <sheetName val="DGiaT"/>
      <sheetName val="DGiaTN"/>
      <sheetName val="7606(TT01)"/>
      <sheetName val="7606TBA(TT01)"/>
      <sheetName val="DG7606TBA"/>
      <sheetName val="Steel"/>
      <sheetName val="Order"/>
      <sheetName val="유림콘도"/>
      <sheetName val="유림골조"/>
      <sheetName val="Btra"/>
      <sheetName val="Door_and_window1"/>
      <sheetName val="Ma_don_vi"/>
      <sheetName val="bang_cc"/>
      <sheetName val="M1-XL-1c"/>
      <sheetName val="THKL"/>
      <sheetName val="Doi so"/>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INF"/>
      <sheetName val="MTO REV.2(ARMOR)"/>
      <sheetName val="ReadFirst"/>
      <sheetName val="DuToan"/>
      <sheetName val="T2-3"/>
      <sheetName val="Open"/>
      <sheetName val="Function"/>
      <sheetName val="Noisuy-LLL"/>
      <sheetName val="Cotthep.NPT"/>
      <sheetName val="vl.nc.mtc"/>
      <sheetName val="Bê tông bảo vệ"/>
      <sheetName val="01. Data"/>
      <sheetName val="Neo, nối cốt thép dầm, cột"/>
      <sheetName val="Uốn móc cốt thép"/>
      <sheetName val="Tiêu chuẩn cốt thép"/>
      <sheetName val="PERSONNELIST"/>
      <sheetName val="1. Office"/>
      <sheetName val="BQ-E20-02(Rp)"/>
      <sheetName val="F4-F7"/>
      <sheetName val="1.Civil (Org)"/>
      <sheetName val="villa"/>
      <sheetName val="A6"/>
      <sheetName val="KL thep lam sat"/>
      <sheetName val="Data-year2001i"/>
      <sheetName val="Tien Thuong"/>
      <sheetName val="NC XL 6T cuoi 01 CTy"/>
      <sheetName val="Data -6T dau"/>
      <sheetName val="Cong 6T"/>
      <sheetName val="Bill Prelim-CDT"/>
      <sheetName val="Prelims"/>
      <sheetName val="Bill BPTC-CDT"/>
      <sheetName val="Chi tiết BPTC"/>
      <sheetName val="Bill BPTC-CDT (PA MCT CDT)"/>
      <sheetName val="Chi tiết BPTC (PA MCT CDT)"/>
      <sheetName val="TOSHIBA-Structure"/>
      <sheetName val="DM-VNT ko sd"/>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dm_366"/>
      <sheetName val="DM_6060"/>
      <sheetName val="Bill_No_3_-_Prov__Sum_(Ph2&amp;3)"/>
      <sheetName val="Du_tru_CP-Bieu_01"/>
      <sheetName val="TB_NẶNG"/>
      <sheetName val="Income_Statement2"/>
      <sheetName val="Shareholders'_Equity2"/>
      <sheetName val="VC_xd"/>
      <sheetName val="Gia_VLTB"/>
      <sheetName val="B_Luong"/>
      <sheetName val="C_May"/>
      <sheetName val="2_1Warehouse_1"/>
      <sheetName val="đọc_số"/>
      <sheetName val="Data_Wall"/>
      <sheetName val="Nhap_VT_oto"/>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TK_chi_tiet"/>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Dự_thầu"/>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125x125"/>
      <sheetName val="Bảng đo bóc KL OLK-09"/>
      <sheetName val="6.3 CHI TIET OLK-09"/>
      <sheetName val="Tong hop vat tu"/>
      <sheetName val="XLR_NoRangeSheet"/>
      <sheetName val="工艺分类库"/>
      <sheetName val="4 CĂN"/>
      <sheetName val="B3A - TOWER A"/>
      <sheetName val="Annex B"/>
      <sheetName val="KHOI LUONG15-4"/>
      <sheetName val="HS"/>
      <sheetName val="1.San "/>
      <sheetName val="날개벽수량표"/>
      <sheetName val="음료실행"/>
      <sheetName val="내역서을지"/>
      <sheetName val="Assumptions"/>
      <sheetName val="Chi phi van chuyen"/>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Pric塅䕃"/>
      <sheetName val="TLG Type"/>
      <sheetName val="Dot 4"/>
      <sheetName val="DLDT"/>
      <sheetName val="Dgia vat tu"/>
      <sheetName val="Don gia_III"/>
      <sheetName val="D÷ liÖu"/>
      <sheetName val="#REF!"/>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Q.A01.2-Sh"/>
      <sheetName val="cuocbd"/>
      <sheetName val="CUOC"/>
      <sheetName val="dgtn"/>
      <sheetName val="DM_336cai tao"/>
      <sheetName val="HRG BHN"/>
      <sheetName val="CĂN ĐH"/>
      <sheetName val="TH các CC"/>
      <sheetName val="개산공사비"/>
      <sheetName val="Gld"/>
      <sheetName val="Gxd"/>
      <sheetName val="Duthau"/>
      <sheetName val="DT hợp đồng"/>
      <sheetName val="Bảng KL đợt 1"/>
      <sheetName val="2.CDPS"/>
      <sheetName val="gtrinh"/>
      <sheetName val="Bieu gia HD"/>
      <sheetName val="Div26 - Elect"/>
      <sheetName val="Danh mục"/>
      <sheetName val="7.Khau tru "/>
      <sheetName val="Calculation"/>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MSC"/>
      <sheetName val="Heso DZ"/>
      <sheetName val="DGiaDZ"/>
      <sheetName val="A6,MAY"/>
      <sheetName val="DG_BINH THUAN"/>
      <sheetName val="PNT_QUOT__3"/>
      <sheetName val="COAT_WRAP_QIOT__3"/>
      <sheetName val="BTK-Dai Hoc Kien Giang"/>
      <sheetName val="PV Graph Data"/>
      <sheetName val="GJ_06"/>
      <sheetName val="doanh thu"/>
      <sheetName val="Dutoan KL"/>
      <sheetName val="Method_BouyancyFactor"/>
      <sheetName val="Method_PressureArea"/>
      <sheetName val="InputData"/>
      <sheetName val="B-2  (DPP)"/>
      <sheetName val="Huong dan"/>
      <sheetName val="electrical"/>
      <sheetName val="So sanh"/>
      <sheetName val="Hệ_qố2"/>
      <sheetName val="Inputs_Sens"/>
      <sheetName val="IS_Sum_CM"/>
      <sheetName val="gia vt,nc,may"/>
      <sheetName val="Don gia NC"/>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Financ. Overview"/>
      <sheetName val="Toolbox"/>
      <sheetName val="TINH GIA - SAN XUAT Vertico"/>
      <sheetName val="DGIAgoi1"/>
      <sheetName val="13.BANG CT"/>
      <sheetName val="14.MMUS GIUA NHIP"/>
      <sheetName val="4.HSPBngang"/>
      <sheetName val="6.Tinh tai"/>
      <sheetName val="2 NSl"/>
      <sheetName val="17.US CHU tho a_b"/>
      <sheetName val="15.MMUS GOI"/>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COVER"/>
      <sheetName val="Kyhieuloptratsonba"/>
      <sheetName val="Tổng hợp KPHM"/>
      <sheetName val="Cong"/>
      <sheetName val="영동(D)"/>
      <sheetName val="EQUIP LIST"/>
      <sheetName val="說明"/>
      <sheetName val="Dinh muc"/>
      <sheetName val="TDTKP"/>
      <sheetName val="DK-KH"/>
      <sheetName val="QUO"/>
      <sheetName val="DZ 22KV"/>
      <sheetName val="BANRA"/>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Annual_CFs_Asset"/>
      <sheetName val="EQT-ESTN"/>
      <sheetName val="5.2.1 Đo bóc KL OLK-06"/>
      <sheetName val="Classification"/>
      <sheetName val="BT3"/>
      <sheetName val="DT"/>
      <sheetName val="Giathau"/>
      <sheetName val="KS tuyen"/>
      <sheetName val="THTL"/>
      <sheetName val="CP(dz)"/>
      <sheetName val="THCT"/>
      <sheetName val="Bang chiet tinh TBA"/>
      <sheetName val="PTVT"/>
      <sheetName val="GIÁ DỰ THẦU 30 CĂN"/>
      <sheetName val="datatt"/>
      <sheetName val="MB.DT.02"/>
      <sheetName val="01-&gt;12"/>
      <sheetName val="Article"/>
      <sheetName val="THKP957"/>
      <sheetName val="Tính giá NC"/>
      <sheetName val="Tiên lượng"/>
      <sheetName val="SL cước"/>
      <sheetName val="CTDZTA(5)"/>
      <sheetName val="THONG SO"/>
      <sheetName val="Đơn giá chi tiết TN 39"/>
      <sheetName val="DT. NHA XUONG"/>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DI_ESTI"/>
      <sheetName val="4.2.1 Đo bóc KL OLK-06"/>
      <sheetName val="4.1.1 CHI TIET OLK-06"/>
      <sheetName val="Gia VT-TB"/>
      <sheetName val="noi suy xa"/>
      <sheetName val="noi suy xa thu hoi"/>
      <sheetName val="Painting"/>
      <sheetName val="CAUDIT"/>
      <sheetName val="ABUT수량-A1"/>
      <sheetName val="Items"/>
      <sheetName val="Detail"/>
      <sheetName val="¥ "/>
      <sheetName val="KLal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Cash Flow"/>
      <sheetName val="Yield"/>
      <sheetName val="Electrical Works"/>
      <sheetName val="H_T_ INCOMING SYSTEM"/>
      <sheetName val="SUMDETAIL"/>
      <sheetName val="Factory"/>
      <sheetName val="Matchung"/>
      <sheetName val="BU LONG"/>
      <sheetName val="ĐNVT"/>
      <sheetName val="ĐNBL"/>
      <sheetName val="CTLK"/>
      <sheetName val="DG Chi tiet"/>
      <sheetName val=" 1710 HOINGHINLD"/>
      <sheetName val="99"/>
      <sheetName val="99 (2)"/>
      <sheetName val="134 "/>
      <sheetName val="DG-1776KV4"/>
      <sheetName val="DG 4970"/>
      <sheetName val="DM-1776"/>
      <sheetName val="Thuyết minh"/>
      <sheetName val="Đơn giá máy"/>
      <sheetName val="DCQ"/>
      <sheetName val="DCS"/>
      <sheetName val="DD"/>
      <sheetName val="dulieumong"/>
      <sheetName val="Unit price"/>
      <sheetName val="112016"/>
      <sheetName val="Bán đợt 1 trang"/>
      <sheetName val="Bill No.1.6"/>
      <sheetName val="Bill No.1.10"/>
      <sheetName val="Bill No.3.3"/>
      <sheetName val="Bill No.1.4"/>
      <sheetName val="Bill No.1.7"/>
      <sheetName val="Summary Bill No. 3"/>
      <sheetName val="Package1"/>
      <sheetName val="係数"/>
      <sheetName val="8521"/>
      <sheetName val="현장별"/>
      <sheetName val="Tong DT"/>
      <sheetName val="phan tich don gia"/>
      <sheetName val="BID"/>
      <sheetName val="dg-VTu"/>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project_management6"/>
      <sheetName val="Don_gia_chi_tiet7"/>
      <sheetName val="Adix_A6"/>
      <sheetName val="S-curve_6"/>
      <sheetName val="REINF_6"/>
      <sheetName val="Rates_20096"/>
      <sheetName val="So_doi_chieu_LC6"/>
      <sheetName val="MAIN_GATE_HOUSE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TONG_HOP_VL-NC6"/>
      <sheetName val="Bang_KL6"/>
      <sheetName val="MH_RATE6"/>
      <sheetName val="Đầu_vào5"/>
      <sheetName val="Lcau_-_Lxuc6"/>
      <sheetName val="DM_60616"/>
      <sheetName val="DG_thep_ma_kem6"/>
      <sheetName val="Equip_5"/>
      <sheetName val="A1_CN5"/>
      <sheetName val="CT_vat_lieu6"/>
      <sheetName val="Trạm_biến_áp5"/>
      <sheetName val="Đơn_Giá_5"/>
      <sheetName val="Chi_tiet_XD_TBA5"/>
      <sheetName val="CT-0_4KV5"/>
      <sheetName val="Chenh_lech_vat_tu5"/>
      <sheetName val="Diện_tích5"/>
      <sheetName val="1_Khái_toán5"/>
      <sheetName val="TONG_HOP_T5_19985"/>
      <sheetName val="rate_material5"/>
      <sheetName val="KL_Chi_tiết_Xây_tô5"/>
      <sheetName val="DG_DZ6"/>
      <sheetName val="DG_TBA6"/>
      <sheetName val="07Base_Cost5"/>
      <sheetName val="04_-_XUONG_DET_B5"/>
      <sheetName val="Bill_1_Quy_dinh_chung5"/>
      <sheetName val="1_R18_BF5"/>
      <sheetName val="6_External_works-R18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Phan_khai_KLuong5"/>
      <sheetName val="Area_Cal5"/>
      <sheetName val="Elect_(3)5"/>
      <sheetName val="plan&amp;section_of_foundation5"/>
      <sheetName val="design_criteria5"/>
      <sheetName val="Bond_수수료_계산_포맷5"/>
      <sheetName val="ITB_COST5"/>
      <sheetName val="PAGE_15"/>
      <sheetName val="Loại_Vật_tư5"/>
      <sheetName val="DM_675"/>
      <sheetName val="Đầu_tư5"/>
      <sheetName val="Xay_lapduongR35"/>
      <sheetName val="KL-_KHAC5"/>
      <sheetName val="BILL_3_-_KẾT_CẤU_HẦM5"/>
      <sheetName val="Bill_02_-_Xay_gach-Pou_5"/>
      <sheetName val="Bill_03-Chống_thấm-Pou5"/>
      <sheetName val="Bill_05_-_Hoan_thien-Pou_5"/>
      <sheetName val="Bill_02_-_Xay_gach-Tower5"/>
      <sheetName val="Bill_03-Chống_thấm-Tower5"/>
      <sheetName val="Bill_05_-_Hoan_thien-Tower5"/>
      <sheetName val="PTĐG_LTBT5"/>
      <sheetName val="CTG-PRECHEx1_45"/>
      <sheetName val="CTG-AB_(2)5"/>
      <sheetName val="CTG-AB_(3)5"/>
      <sheetName val="CTG-PLP-1_085"/>
      <sheetName val="Pre_Đội_nhóm5"/>
      <sheetName val="Bill_04-Kim_loại-Pou5"/>
      <sheetName val="Bill_04-Kim_loại-Tower5"/>
      <sheetName val="Vat_tu_XD5"/>
      <sheetName val="Tower_-_Concrete_Works5"/>
      <sheetName val="GV1-D13_(Casement_door)5"/>
      <sheetName val="gia_cong_tac5"/>
      <sheetName val="Measure_13065"/>
      <sheetName val="EIRR&gt;_25"/>
      <sheetName val="4_PTDG5"/>
      <sheetName val="Analisa_Gabungan5"/>
      <sheetName val="Isolasi_Luar_Dalam5"/>
      <sheetName val="Isolasi_Luar5"/>
      <sheetName val="Data_Input6"/>
      <sheetName val="Project_Data5"/>
      <sheetName val="dg_tphcm5"/>
      <sheetName val="Bill_01_-_CTN5"/>
      <sheetName val="Bill_2_2_Villa_2_beds5"/>
      <sheetName val="HÐ_ngoài6"/>
      <sheetName val="6PILE__(돌출)5"/>
      <sheetName val="Harga_ME_5"/>
      <sheetName val="T_KÊ_K_CẤU5"/>
      <sheetName val="A1,_May5"/>
      <sheetName val="Vat_lieu5"/>
      <sheetName val="TH_N_Cong5"/>
      <sheetName val="ESTI_5"/>
      <sheetName val="KL_san_lap5"/>
      <sheetName val="6787CWFASE2CASE2_00_xls5"/>
      <sheetName val="Bill-04_ket_cau_thap-_UNI5"/>
      <sheetName val="TH_Vat_tu5"/>
      <sheetName val="_Bill_5-Earthing_2_-_Add_Works5"/>
      <sheetName val="CẤP_THOÁT_NƯỚC5"/>
      <sheetName val="Cước_VC_+_ĐM_CP_Tư_vấn5"/>
      <sheetName val="Hệ_số5"/>
      <sheetName val="THDT_goi_thau_TB5"/>
      <sheetName val="Tien_do_TV5"/>
      <sheetName val="Bang_trong_luong_rieng_thep5"/>
      <sheetName val="DETAIL_5"/>
      <sheetName val="final_list_20056"/>
      <sheetName val="LV_data5"/>
      <sheetName val="Gia_vat_tu5"/>
      <sheetName val="TH_MTC5"/>
      <sheetName val="Chenh_lech_ca_may5"/>
      <sheetName val="TLg_CN&amp;Laixe5"/>
      <sheetName val="TLg_CN&amp;Laixe_(2)5"/>
      <sheetName val="TLg_Laitau5"/>
      <sheetName val="TLg_Laitau_(2)5"/>
      <sheetName val="Equipment_list_(PAC)5"/>
      <sheetName val="TINH_KHOI_LUONG5"/>
      <sheetName val="DATA_BASE5"/>
      <sheetName val="bridge_#_15"/>
      <sheetName val="Buy_vs__Lease_Car5"/>
      <sheetName val="Chi_tiet5"/>
      <sheetName val="Budget_Code4"/>
      <sheetName val="CP_Khac_cuoc_VC4"/>
      <sheetName val="subcon_sched5"/>
      <sheetName val="PRE_(E)5"/>
      <sheetName val="Bang_3_Chi_tiet_phan_Dz5"/>
      <sheetName val="KHOI_LUONG5"/>
      <sheetName val="HVAC_BLOCK_B45"/>
      <sheetName val="BẢNG_KHỐI_LƯỢNG_TỔNG_HỢP4"/>
      <sheetName val="CTKL_KTX_HT4"/>
      <sheetName val="2_Chiet_tinh4"/>
      <sheetName val="Tong_du_toan4"/>
      <sheetName val="Bill_2_-_ketcau4"/>
      <sheetName val="Analisa_&amp;_Upah4"/>
      <sheetName val="NHÀ_NHẬP_LIỆU4"/>
      <sheetName val="MÓNG_SILO4"/>
      <sheetName val="Chi_tiet_lan_can4"/>
      <sheetName val="13-Cốt_thép_(10mm&lt;D≤18mm)_FO164"/>
      <sheetName val="du_lieu_du_toan4"/>
      <sheetName val="Purchase_Order4"/>
      <sheetName val="DL_ĐẦU_VÀO4"/>
      <sheetName val="BOQ_THAN4"/>
      <sheetName val="D_&amp;_W_sizes4"/>
      <sheetName val="Du_lieu5"/>
      <sheetName val="cash_budget4"/>
      <sheetName val="Luong_NII4"/>
      <sheetName val="DINH_MUC_THI_NGHIEM4"/>
      <sheetName val="Luong_NI4"/>
      <sheetName val="Phan_tich4"/>
      <sheetName val="CT_Thang_Mo4"/>
      <sheetName val="CT__PL4"/>
      <sheetName val="BANCO_(2)4"/>
      <sheetName val="MT_DPin_(2)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lieu_dau_vao4"/>
      <sheetName val="DK1_Don_gia4"/>
      <sheetName val="Don_gia_(khong_in)4"/>
      <sheetName val="1_MONG_1-24"/>
      <sheetName val="02__PTDG4"/>
      <sheetName val="Chiết_tính4"/>
      <sheetName val="TK_chi_tiet2"/>
      <sheetName val="Income_Statement4"/>
      <sheetName val="Shareholders'_Equity4"/>
      <sheetName val="VC_xd2"/>
      <sheetName val="Gia_VLTB2"/>
      <sheetName val="B_Luong2"/>
      <sheetName val="C_May2"/>
      <sheetName val="wk_prgs2"/>
      <sheetName val="Ma_don_vi2"/>
      <sheetName val="bang_cc2"/>
      <sheetName val="TH_TN2"/>
      <sheetName val="dm_3662"/>
      <sheetName val="DM_60602"/>
      <sheetName val="Bill_No_3_-_Prov__Sum_(Ph2&amp;3)2"/>
      <sheetName val="Du_tru_CP-Bieu_012"/>
      <sheetName val="TB_NẶNG2"/>
      <sheetName val="CĂN_HỘ_T16-17_2"/>
      <sheetName val="TRỤC_ĐỨNG_THOÁT_BẨN_T15-172"/>
      <sheetName val="TRỤC_ĐỨNG_TM_T15-172"/>
      <sheetName val="Bill_2-Road_HR22"/>
      <sheetName val="Bill_3_-_Softscape_HR22"/>
      <sheetName val="Ｎｏ_132"/>
      <sheetName val="DGchitiet_2"/>
      <sheetName val="AG_Pipe_Qty_Analysis2"/>
      <sheetName val="Dự_thầu2"/>
      <sheetName val="Nhap_VT_oto2"/>
      <sheetName val="đọc_số2"/>
      <sheetName val="CP_HMC2"/>
      <sheetName val="2_1Warehouse_12"/>
      <sheetName val="Data_Wall2"/>
      <sheetName val="Hao_phí2"/>
      <sheetName val="THEP_TAM2"/>
      <sheetName val="THEP_HÌNH2"/>
      <sheetName val="THEP_HINH2"/>
      <sheetName val="XA_GO2"/>
      <sheetName val="BANG_TRA2"/>
      <sheetName val="Tổng_GT2"/>
      <sheetName val="Chi_tiết_KL2"/>
      <sheetName val="ca_máy2"/>
      <sheetName val="khấu_trừ_phạt2"/>
      <sheetName val="GT__KHAU_TRU2"/>
      <sheetName val="HAO_HUT_VAT_TU_(2)2"/>
      <sheetName val="cao_độ2"/>
      <sheetName val="HỆ_THỐNG_PHÒNG_CHÁY_CHỮA_CHÁY2"/>
      <sheetName val="HỆ_THỐNG_CẤP_THOÁT_NƯỚC2"/>
      <sheetName val="HỆ_THỐNG_ĐHKK2"/>
      <sheetName val="MÁY_PHÁT_ĐIỆN2"/>
      <sheetName val="HỆ_THỐNG_ĐIỆN2"/>
      <sheetName val="Thiết_bị_chính2"/>
      <sheetName val="gui_BKCT1"/>
      <sheetName val="Chi_tiet_cong_no2"/>
      <sheetName val="PHÁT_SINH_TẦNG_1_2"/>
      <sheetName val="PHÁT_SINH_TẦNG_22"/>
      <sheetName val="Hầm_chuyển_psinh2"/>
      <sheetName val="Ống_thẳng2"/>
      <sheetName val="Côn_thu2"/>
      <sheetName val="Vuông_tròn2"/>
      <sheetName val="Chân_rẽ2"/>
      <sheetName val="Chạc_ba2"/>
      <sheetName val="Structure_data2"/>
      <sheetName val="CP_Du_phong2"/>
      <sheetName val="THCP_Lap_dat2"/>
      <sheetName val="THCP_xay_dung2"/>
      <sheetName val="Tong_hop_kinh_phi2"/>
      <sheetName val="CHI_PHI2"/>
      <sheetName val="1_Requisition(E)2"/>
      <sheetName val="Móng,_nền_2"/>
      <sheetName val="Main_Bldg-Rev022"/>
      <sheetName val="D&amp;W_def_2"/>
      <sheetName val="Nhan_cong2"/>
      <sheetName val="Thiet_bi2"/>
      <sheetName val="Vat_tu2"/>
      <sheetName val="DM_ChiPhi2"/>
      <sheetName val="May_TC2"/>
      <sheetName val="TH_Kinh_phi2"/>
      <sheetName val="Ptvl_2"/>
      <sheetName val="Dự_toán2"/>
      <sheetName val="Đơn_Giá_TH2"/>
      <sheetName val="Nhân_công2"/>
      <sheetName val="Phân_tích2"/>
      <sheetName val="C_P_Thiết_bị2"/>
      <sheetName val="T_H_Kinh_phí2"/>
      <sheetName val="Vật_tư2"/>
      <sheetName val="Trang_bìa2"/>
      <sheetName val="Don_gia_chi_tiet_DIEN_21"/>
      <sheetName val="TONG_HOP2"/>
      <sheetName val="DG_14261"/>
      <sheetName val="Theo_doi_Doanh_thu_20171"/>
      <sheetName val="phan_tic_chi_tiet2"/>
      <sheetName val="1_2_Staff_Schedule1"/>
      <sheetName val="1_San_1"/>
      <sheetName val="BẢNG_ÁP_GIÁ_(in)1"/>
      <sheetName val="NT_(KL)_IN1"/>
      <sheetName val="DOM_D21"/>
      <sheetName val="nhà_ăn1"/>
      <sheetName val="Công_nhật1"/>
      <sheetName val="btkt_cột1"/>
      <sheetName val="Chi_tiet_-tong_9_thang1"/>
      <sheetName val="0__Input1"/>
      <sheetName val="Gia_vat_lieu1"/>
      <sheetName val="Precios_unitarios_AXH1"/>
      <sheetName val="3__CNT1"/>
      <sheetName val="unit_price_list(M)1"/>
      <sheetName val="TH_VL,_NC,_DDHT_Thanhphuoc1"/>
      <sheetName val="So_lieu_chung1"/>
      <sheetName val="Doi_so1"/>
      <sheetName val="MTO_REV_2(ARMOR)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Bill_Prelim-CDT1"/>
      <sheetName val="Bill_BPTC-CDT1"/>
      <sheetName val="Chi_tiết_BPTC1"/>
      <sheetName val="Bill_BPTC-CDT_(PA_MCT_CDT)1"/>
      <sheetName val="Chi_tiết_BPTC_(PA_MCT_CDT)1"/>
      <sheetName val="KL_THEP__GIAM_DO_DUNG_COUPLER1"/>
      <sheetName val="01_KL_THÉP_NHẬP_VỀ1"/>
      <sheetName val="2__NT_VLDV1"/>
      <sheetName val="GHI_CHU1"/>
      <sheetName val="1_BB_LMHT1"/>
      <sheetName val="Tong_hop_vat_tu1"/>
      <sheetName val="DM-VNT_ko_sd1"/>
      <sheetName val="Bảng_đo_bóc_KL_OLK-091"/>
      <sheetName val="6_3_CHI_TIET_OLK-091"/>
      <sheetName val="1__Office1"/>
      <sheetName val="Cotthep_NPT1"/>
      <sheetName val="vl_nc_mtc1"/>
      <sheetName val="1_Civil_(Org)1"/>
      <sheetName val="Bê_tông_bảo_vệ1"/>
      <sheetName val="01__Data1"/>
      <sheetName val="Neo,_nối_cốt_thép_dầm,_cột1"/>
      <sheetName val="Uốn_móc_cốt_thép1"/>
      <sheetName val="Tiêu_chuẩn_cốt_thép1"/>
      <sheetName val="B3A_-_TOWER_A1"/>
      <sheetName val="Annex_B1"/>
      <sheetName val="TLG_Type1"/>
      <sheetName val="Dot_41"/>
      <sheetName val="KHOI_LUONG15-41"/>
      <sheetName val="KL_thep_lam_sat1"/>
      <sheetName val="Tien_Thuong1"/>
      <sheetName val="NC_XL_6T_cuoi_01_CTy1"/>
      <sheetName val="Data_-6T_dau1"/>
      <sheetName val="Cong_6T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Dgia_vat_tu1"/>
      <sheetName val="Don_gia_III1"/>
      <sheetName val="D÷_liÖu1"/>
      <sheetName val="2_CDPS1"/>
      <sheetName val="Q_A01_2-Sh1"/>
      <sheetName val="DM_336cai_tao1"/>
      <sheetName val="TH_các_CC1"/>
      <sheetName val="Heso_DZ1"/>
      <sheetName val="Danh_mục"/>
      <sheetName val="HRG_BHN1"/>
      <sheetName val="CĂN_ĐH1"/>
      <sheetName val="4_CĂN1"/>
      <sheetName val="Div26_-_Elect1"/>
      <sheetName val="DG_BINH_THUAN1"/>
      <sheetName val="Don_gia_NC1"/>
      <sheetName val="7_Khau_tru_1"/>
      <sheetName val="DT_hợp_đồng"/>
      <sheetName val="Bảng_KL_đợt_1"/>
      <sheetName val="B-2__(DPP)1"/>
      <sheetName val="Bieu_gia_HD"/>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Financ__Overview"/>
      <sheetName val="TINH_GIA_-_SAN_XUAT_Vertico"/>
      <sheetName val="Huong_dan"/>
      <sheetName val="13_BANG_CT"/>
      <sheetName val="14_MMUS_GIUA_NHIP"/>
      <sheetName val="4_HSPBngang"/>
      <sheetName val="6_Tinh_tai"/>
      <sheetName val="2_NSl"/>
      <sheetName val="17_US_CHU_tho_a_b"/>
      <sheetName val="15_MMUS_GOI"/>
      <sheetName val="gia_vt,nc,may"/>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5_2_1_Đo_bóc_KL_OLK-06"/>
      <sheetName val="Tổng_hợp_KPHM"/>
      <sheetName val="Dinh_muc"/>
      <sheetName val="GIÁ_DỰ_THẦU_30_CĂN"/>
      <sheetName val="KS_tuyen"/>
      <sheetName val="Bang_chiet_tinh_TBA"/>
      <sheetName val="MB_DT_02"/>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So_sanh"/>
      <sheetName val="BU_LONG"/>
      <sheetName val="DG_Chi_tiet"/>
      <sheetName val="_1710_HOINGHINLD"/>
      <sheetName val="99_(2)"/>
      <sheetName val="134_"/>
      <sheetName val="DG_4970"/>
      <sheetName val="Electrical_Works"/>
      <sheetName val="H_T__INCOMING_SYSTEM"/>
      <sheetName val="THONG_SO"/>
      <sheetName val="Đơn_giá_chi_tiết_TN_39"/>
      <sheetName val="DT__NHA_XUONG"/>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데리네이타현황"/>
      <sheetName val="DI-ESTI"/>
      <sheetName val="3. KC - PODIUM"/>
      <sheetName val="Cashflow Analysis"/>
      <sheetName val="R2564AHDTS"/>
      <sheetName val="Links"/>
      <sheetName val="Lead"/>
      <sheetName val="Bù giá CM"/>
      <sheetName val="Tien Luong"/>
      <sheetName val="Luong BN"/>
      <sheetName val="Luong TB"/>
      <sheetName val="Ca may TB"/>
      <sheetName val="Ca máy BN"/>
      <sheetName val="Vật liệu"/>
      <sheetName val="LX -TT05"/>
      <sheetName val="NC Moi TT05"/>
      <sheetName val="설계내역서"/>
      <sheetName val="Chiet tinh dz35"/>
      <sheetName val="DG3285"/>
      <sheetName val="Breakdown (B)"/>
      <sheetName val="U.P_Breakdown"/>
      <sheetName val="기안"/>
      <sheetName val="CTDZ6kv (gd1) "/>
      <sheetName val="CTDZ 0.4+cto (GD1)"/>
      <sheetName val="CTTBA (gd1)"/>
      <sheetName val="선가03C"/>
      <sheetName val="03 Detailed"/>
      <sheetName val="01 Bid Price summary"/>
      <sheetName val="갑지(추정)"/>
      <sheetName val="Home Office Manhours"/>
      <sheetName val="Field SPV Barchart"/>
      <sheetName val="95D"/>
      <sheetName val="94D"/>
      <sheetName val="Unit price(Updateting)"/>
      <sheetName val="DW"/>
      <sheetName val="DWD"/>
      <sheetName val="DW1"/>
      <sheetName val="pctg"/>
      <sheetName val="M-work"/>
      <sheetName val="WORK"/>
      <sheetName val="DWi"/>
      <sheetName val="PC=FLAT"/>
      <sheetName val="Cert1"/>
      <sheetName val="tuong"/>
      <sheetName val="基本"/>
      <sheetName val="149-2"/>
      <sheetName val="IMF Code"/>
      <sheetName val="Main_Mech"/>
      <sheetName val="Sub_Mech"/>
      <sheetName val="Cost List"/>
      <sheetName val="Detail Cost"/>
      <sheetName val="IC Price New"/>
      <sheetName val="QUOTE-IC"/>
      <sheetName val="Summary Table"/>
      <sheetName val="Sales Person"/>
      <sheetName val="Bidding Entity"/>
      <sheetName val="DOA"/>
      <sheetName val="inputcua"/>
      <sheetName val="Phu Bai Bridge"/>
      <sheetName val="COAT&amp;WRAP-QIOT-#3"/>
      <sheetName val="tifico"/>
      <sheetName val="dats"/>
      <sheetName val="CHITIET VL-NCHT1 (2)"/>
      <sheetName val="CashFlows"/>
      <sheetName val="DSNV"/>
      <sheetName val="Bia lot"/>
      <sheetName val="DSKH"/>
      <sheetName val="DT san XD-So lieu cu"/>
      <sheetName val="Chu dau tu"/>
      <sheetName val="don gia 1426"/>
      <sheetName val="입찰내역 발주처 양식"/>
      <sheetName val="Labor Sum"/>
      <sheetName val="Bangia"/>
      <sheetName val="D+W"/>
      <sheetName val="Subsidiary Calculation"/>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5.2.1 Đo bóc KL OLK-10"/>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변경내역"/>
      <sheetName val="내역"/>
      <sheetName val="Cau tao gia xay to"/>
      <sheetName val="ThongtinDN"/>
      <sheetName val="DM DU AN"/>
      <sheetName val="DM TP."/>
      <sheetName val="File Chi tiet"/>
      <sheetName val="Takeoff"/>
      <sheetName val="ERECIN"/>
      <sheetName val="주식"/>
      <sheetName val="chitiet"/>
      <sheetName val="kl3p"/>
      <sheetName val="kl3pct"/>
      <sheetName val="kl3pcto"/>
      <sheetName val="THPDMoi  (2)"/>
      <sheetName val="thao-go"/>
      <sheetName val="t-h HA THE"/>
      <sheetName val="TH XL"/>
      <sheetName val="Tiepdia"/>
      <sheetName val="CHITIET VL-NC"/>
      <sheetName val="SGC RATE"/>
      <sheetName val="Tru TT"/>
      <sheetName val="Thg 04"/>
      <sheetName val="Thg 05"/>
      <sheetName val="Thg 06"/>
      <sheetName val="Thg 07"/>
      <sheetName val="Thg 08"/>
      <sheetName val="Thg 09"/>
      <sheetName val="Thg 10"/>
      <sheetName val="Thg 11"/>
      <sheetName val="Thg 12"/>
      <sheetName val="Abutment"/>
      <sheetName val="beam"/>
      <sheetName val="COST_ACC"/>
      <sheetName val="Probbl - Production"/>
      <sheetName val="Backup"/>
      <sheetName val="NTCV1"/>
      <sheetName val="THÔNG TIN"/>
      <sheetName val="CTGS"/>
      <sheetName val="Dashboard - BQL - VHL"/>
      <sheetName val="DG05new"/>
      <sheetName val="CauHinh"/>
      <sheetName val="DLTA"/>
      <sheetName val="Solieu"/>
      <sheetName val="BẢNG DIỄN GIẢI KL (7)"/>
      <sheetName val="w't table"/>
      <sheetName val="Bán_đợt_1_trang"/>
      <sheetName val="Tong_DT"/>
      <sheetName val="phan_tich_don_gia"/>
      <sheetName val="Cost_List"/>
      <sheetName val="Detail_Cost"/>
      <sheetName val="IC_Price_New"/>
      <sheetName val="Summary_Table"/>
      <sheetName val="Sales_Person"/>
      <sheetName val="Bidding_Entity"/>
      <sheetName val="Tcd"/>
      <sheetName val="BOM-13.11-Other(PS1+PS2)"/>
      <sheetName val="Tra_thep"/>
      <sheetName val="PAINT_SPEC"/>
      <sheetName val="Danh mục khối"/>
      <sheetName val="Danh mục đơn vị -phòng chức năn"/>
      <sheetName val="KEILA TP 2020-07"/>
      <sheetName val="lookups"/>
      <sheetName val="CHI PHÍ NHÔM"/>
      <sheetName val="Currency Rate"/>
      <sheetName val="BQ"/>
      <sheetName val="TABLE-A"/>
      <sheetName val="g-vl"/>
      <sheetName val="toyota"/>
      <sheetName val="2. BBNT KLHT"/>
      <sheetName val="石炭性状"/>
      <sheetName val="Cost Summary"/>
      <sheetName val="DG "/>
      <sheetName val="BILL 34Āᐁë"/>
      <sheetName val="Cot"/>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Menu"/>
      <sheetName val="Bordereau"/>
      <sheetName val="SucChiuTaiCuaCoc"/>
      <sheetName val="BANGTRA"/>
      <sheetName val="CHITIET VL-NC-TT1p"/>
      <sheetName val="CFA (ME)"/>
      <sheetName val="MEP Building"/>
      <sheetName val="AASHTO92"/>
      <sheetName val="KUNGDEVI"/>
      <sheetName val="CFA"/>
      <sheetName val="TKLD"/>
      <sheetName val="NHOM KINH"/>
      <sheetName val="B3A-APARTMENT"/>
      <sheetName val="QSUM"/>
      <sheetName val="TH khoi luong"/>
      <sheetName val="Chi tiet khoi luong"/>
      <sheetName val="TK thep"/>
      <sheetName val="CT THOÁT WC VP"/>
      <sheetName val="CT CẤP WC VP"/>
      <sheetName val="CT THOÁT MƯA VP TRỤC LỚN"/>
      <sheetName val="CT THOÁT MƯA VP TRỤC NHỎ"/>
      <sheetName val="LUONG SCL"/>
      <sheetName val="Breakdown"/>
      <sheetName val="DTCT"/>
      <sheetName val="TKXM"/>
      <sheetName val="재료비단가(VALVE)"/>
      <sheetName val="SCHEDULE"/>
      <sheetName val="Nhập liệu"/>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Bech_Lab"/>
      <sheetName val="Sum ELE  CAP S1-4  "/>
      <sheetName val="CFS3"/>
      <sheetName val="Dinh Muc Vat Tu"/>
      <sheetName val="mã "/>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Auto Monthly Inputs "/>
      <sheetName val="MSB-DB"/>
      <sheetName val="TienLuong"/>
      <sheetName val="Para"/>
      <sheetName val="PNTEXT"/>
      <sheetName val="DFA"/>
      <sheetName val="Gia NC theo TT05"/>
      <sheetName val="sortÔ"/>
      <sheetName val="ChiTietDZ"/>
      <sheetName val="VuaBT"/>
      <sheetName val="기본DATA"/>
      <sheetName val="datta"/>
      <sheetName val="BCC_4054-05"/>
      <sheetName val="Tra1"/>
      <sheetName val="SLTh.ke"/>
      <sheetName val="Luong_BN"/>
      <sheetName val="Luong_TB"/>
      <sheetName val="Ca_may_TB"/>
      <sheetName val="Ca_máy_BN"/>
      <sheetName val="Vật_liệu"/>
      <sheetName val="Chênh lệch máy thi công"/>
      <sheetName val="Chênh lệch nhân công"/>
      <sheetName val="Chênh lệch vật liệu"/>
      <sheetName val="Dai tu"/>
      <sheetName val="Gia-VL"/>
      <sheetName val="chitietCS"/>
      <sheetName val="chitietTD"/>
      <sheetName val="PL02"/>
      <sheetName val="So sanh gia"/>
      <sheetName val="Luong 2622EVN"/>
      <sheetName val="DNTT_2"/>
      <sheetName val="DNTT_3"/>
      <sheetName val="DNTT_4"/>
      <sheetName val="0,SO LIEU DAU VAO"/>
      <sheetName val="GIAVLIEU"/>
      <sheetName val="BTH"/>
      <sheetName val="Chao gia T12_RE"/>
      <sheetName val="SLabs"/>
      <sheetName val="BP"/>
      <sheetName val="DEF"/>
      <sheetName val="Share Price 2002"/>
      <sheetName val="Case"/>
      <sheetName val="SumVal"/>
      <sheetName val="CTtr"/>
      <sheetName val="caocot"/>
      <sheetName val="Bia1"/>
      <sheetName val="PHẦN KIẾN TRÚC"/>
      <sheetName val="Tabela1"/>
      <sheetName val="Don gia XD"/>
      <sheetName val="Currency"/>
      <sheetName val="tra-vat-lieu"/>
      <sheetName val="PU_ITALY_22"/>
      <sheetName val="TH_DZ3511"/>
      <sheetName val="Tro_giup21"/>
      <sheetName val="RAB_AR&amp;STR9"/>
      <sheetName val="chi_tiet_TBA9"/>
      <sheetName val="chi_tiet_C9"/>
      <sheetName val="Customize_Your_Purchase_Order9"/>
      <sheetName val="Don_gia9"/>
      <sheetName val="CHITIET_VL-NC-TT_-1p9"/>
      <sheetName val="CHITIET_VL-NC-TT-3p8"/>
      <sheetName val="TONG_HOP_VL-NC_TT9"/>
      <sheetName val="KPVC-BD_9"/>
      <sheetName val="DON_GIA_TRAM_(3)9"/>
      <sheetName val="DON_GIA_CAN_THO11"/>
      <sheetName val="HĐ_ngoài8"/>
      <sheetName val="XT_Buoc_38"/>
      <sheetName val="dongia_(2)8"/>
      <sheetName val="Don_gia_chi_tiet9"/>
      <sheetName val="7606_DZ9"/>
      <sheetName val="project_management8"/>
      <sheetName val="Adix_A8"/>
      <sheetName val="REINF_8"/>
      <sheetName val="Rates_20098"/>
      <sheetName val="S-curve_8"/>
      <sheetName val="Du_toan8"/>
      <sheetName val="So_doi_chieu_LC8"/>
      <sheetName val="MAIN_GATE_HOUSE8"/>
      <sheetName val="Commercial_value8"/>
      <sheetName val="Ky_Lam_Bridge8"/>
      <sheetName val="Provisional_Sums_Item8"/>
      <sheetName val="Gas_Pressure_Welding8"/>
      <sheetName val="General_Item&amp;General_Requireme8"/>
      <sheetName val="General_Items8"/>
      <sheetName val="Regenral_Requirements8"/>
      <sheetName val="chiet_tinh8"/>
      <sheetName val="Ng_hàng_xà+bulong8"/>
      <sheetName val="TONG_HOP_VL-NC8"/>
      <sheetName val="MH_RATE8"/>
      <sheetName val="Bang_KL8"/>
      <sheetName val="Đầu_vào7"/>
      <sheetName val="Equip_7"/>
      <sheetName val="A1_CN7"/>
      <sheetName val="DG_thep_ma_kem8"/>
      <sheetName val="Lcau_-_Lxuc8"/>
      <sheetName val="CT_vat_lieu8"/>
      <sheetName val="Trạm_biến_áp7"/>
      <sheetName val="Đơn_Giá_7"/>
      <sheetName val="DM_60618"/>
      <sheetName val="TONG_HOP_T5_19987"/>
      <sheetName val="Chenh_lech_vat_tu7"/>
      <sheetName val="Diện_tích7"/>
      <sheetName val="1_Khái_toán7"/>
      <sheetName val="Chi_tiet_XD_TBA7"/>
      <sheetName val="DG_DZ8"/>
      <sheetName val="DG_TBA8"/>
      <sheetName val="CT-0_4KV7"/>
      <sheetName val="rate_material7"/>
      <sheetName val="KL_Chi_tiết_Xây_tô7"/>
      <sheetName val="04_-_XUONG_DET_B7"/>
      <sheetName val="Loại_Vật_tư7"/>
      <sheetName val="Bill_1_Quy_dinh_chung7"/>
      <sheetName val="1_R18_BF7"/>
      <sheetName val="6_External_works-R187"/>
      <sheetName val="07Base_Cost7"/>
      <sheetName val="Chi_tiet_KL7"/>
      <sheetName val="Tổng_hợp_KL7"/>
      <sheetName val="_037"/>
      <sheetName val="chieu_day_san7"/>
      <sheetName val="Podium_Concrete_Works7"/>
      <sheetName val="KLCT-_TOWER7"/>
      <sheetName val="KLCT-_PODIUM7"/>
      <sheetName val="Gia_thanh_chuoi_su7"/>
      <sheetName val="Tiep_dia7"/>
      <sheetName val="Don_gia_vung_III-Can_Tho7"/>
      <sheetName val="Phan_khai_KLuong7"/>
      <sheetName val="Area_Cal7"/>
      <sheetName val="Bill_01_-_CTN7"/>
      <sheetName val="Bill_2_2_Villa_2_beds7"/>
      <sheetName val="Elect_(3)7"/>
      <sheetName val="plan&amp;section_of_foundation7"/>
      <sheetName val="design_criteria7"/>
      <sheetName val="Bond_수수료_계산_포맷7"/>
      <sheetName val="ITB_COST7"/>
      <sheetName val="PAGE_17"/>
      <sheetName val="DM_677"/>
      <sheetName val="Project_Data7"/>
      <sheetName val="6787CWFASE2CASE2_00_xls7"/>
      <sheetName val="Xay_lapduongR37"/>
      <sheetName val="Đầu_tư7"/>
      <sheetName val="gia_cong_tac7"/>
      <sheetName val="EIRR&gt;_27"/>
      <sheetName val="dg_tphcm7"/>
      <sheetName val="T_KÊ_K_CẤU7"/>
      <sheetName val="4_PTDG7"/>
      <sheetName val="A1,_May7"/>
      <sheetName val="Vat_lieu7"/>
      <sheetName val="Data_Input8"/>
      <sheetName val="Measure_13067"/>
      <sheetName val="Bill_02_-_Xay_gach-Pou_7"/>
      <sheetName val="Bill_03-Chống_thấm-Pou7"/>
      <sheetName val="Bill_04-Kim_loại-Pou7"/>
      <sheetName val="Bill_05_-_Hoan_thien-Pou_7"/>
      <sheetName val="Bill_02_-_Xay_gach-Tower7"/>
      <sheetName val="Bill_03-Chống_thấm-Tower7"/>
      <sheetName val="Bill_04-Kim_loại-Tower7"/>
      <sheetName val="Bill_05_-_Hoan_thien-Tower7"/>
      <sheetName val="KL-_KHAC7"/>
      <sheetName val="BILL_3_-_KẾT_CẤU_HẦM7"/>
      <sheetName val="PTĐG_LTBT7"/>
      <sheetName val="CTG-PRECHEx1_47"/>
      <sheetName val="CTG-AB_(2)7"/>
      <sheetName val="CTG-AB_(3)7"/>
      <sheetName val="CTG-PLP-1_087"/>
      <sheetName val="Pre_Đội_nhóm7"/>
      <sheetName val="Vat_tu_XD7"/>
      <sheetName val="Tower_-_Concrete_Works7"/>
      <sheetName val="Bill-04_ket_cau_thap-_UNI7"/>
      <sheetName val="TH_Vat_tu7"/>
      <sheetName val="HÐ_ngoài8"/>
      <sheetName val="6PILE__(돌출)7"/>
      <sheetName val="DETAIL_7"/>
      <sheetName val="GV1-D13_(Casement_door)7"/>
      <sheetName val="Harga_ME_7"/>
      <sheetName val="Analisa_Gabungan7"/>
      <sheetName val="_Bill_5-Earthing_2_-_Add_Works7"/>
      <sheetName val="Isolasi_Luar_Dalam7"/>
      <sheetName val="Isolasi_Luar7"/>
      <sheetName val="Bang_trong_luong_rieng_thep7"/>
      <sheetName val="final_list_200522"/>
      <sheetName val="LV_data7"/>
      <sheetName val="CẤP_THOÁT_NƯỚC7"/>
      <sheetName val="Cước_VC_+_ĐM_CP_Tư_vấn7"/>
      <sheetName val="Hệ_số7"/>
      <sheetName val="ESTI_7"/>
      <sheetName val="Gia_vat_tu7"/>
      <sheetName val="bridge_#_17"/>
      <sheetName val="THDT_goi_thau_TB7"/>
      <sheetName val="Tien_do_TV7"/>
      <sheetName val="Chenh_lech_ca_may7"/>
      <sheetName val="TLg_CN&amp;Laixe7"/>
      <sheetName val="TLg_CN&amp;Laixe_(2)7"/>
      <sheetName val="TLg_Laitau7"/>
      <sheetName val="TLg_Laitau_(2)7"/>
      <sheetName val="KHOI_LUONG7"/>
      <sheetName val="Bang_3_Chi_tiet_phan_Dz7"/>
      <sheetName val="DATA_BASE7"/>
      <sheetName val="Equipment_list_(PAC)7"/>
      <sheetName val="KL_san_lap7"/>
      <sheetName val="TH_N_Cong7"/>
      <sheetName val="TH_MTC7"/>
      <sheetName val="TINH_KHOI_LUONG7"/>
      <sheetName val="Chi_tiet7"/>
      <sheetName val="Buy_vs__Lease_Car7"/>
      <sheetName val="PRE_(E)7"/>
      <sheetName val="CTKL_KTX_HT6"/>
      <sheetName val="subcon_sched7"/>
      <sheetName val="Tong_du_toan6"/>
      <sheetName val="Bill_2_-_ketcau6"/>
      <sheetName val="Budget_Code6"/>
      <sheetName val="CP_Khac_cuoc_VC6"/>
      <sheetName val="NHÀ_NHẬP_LIỆU6"/>
      <sheetName val="MÓNG_SILO6"/>
      <sheetName val="HVAC_BLOCK_B47"/>
      <sheetName val="2_Chiet_tinh6"/>
      <sheetName val="BẢNG_KHỐI_LƯỢNG_TỔNG_HỢP6"/>
      <sheetName val="Chi_tiet_lan_can6"/>
      <sheetName val="13-Cốt_thép_(10mm&lt;D≤18mm)_FO166"/>
      <sheetName val="du_lieu_du_toan6"/>
      <sheetName val="BOQ_THAN6"/>
      <sheetName val="DL_ĐẦU_VÀO6"/>
      <sheetName val="Analisa_&amp;_Upah6"/>
      <sheetName val="Purchase_Order6"/>
      <sheetName val="D_&amp;_W_sizes6"/>
      <sheetName val="Du_lieu7"/>
      <sheetName val="cash_budget6"/>
      <sheetName val="Luong_NII6"/>
      <sheetName val="DINH_MUC_THI_NGHIEM6"/>
      <sheetName val="Luong_NI6"/>
      <sheetName val="Phan_tich6"/>
      <sheetName val="CT_Thang_Mo6"/>
      <sheetName val="CT__PL6"/>
      <sheetName val="dongia__2_6"/>
      <sheetName val="Thép_CKN6"/>
      <sheetName val="GOC-KO_IN6"/>
      <sheetName val="MAU_8A6"/>
      <sheetName val="MAU_8B6"/>
      <sheetName val="MAU_96"/>
      <sheetName val="MAU_106"/>
      <sheetName val="sochitiettaikhoan_6"/>
      <sheetName val="Share_price_data6"/>
      <sheetName val="19_36"/>
      <sheetName val="20_36"/>
      <sheetName val="Chieu_4_36"/>
      <sheetName val="Cow_req6"/>
      <sheetName val="TỔNG_HỢP6"/>
      <sheetName val="14-LẦN_3-CHIỀU6"/>
      <sheetName val="14-LẦN_1-SÁNG6"/>
      <sheetName val="14-LẦN_2-TRƯA6"/>
      <sheetName val="1_3+1_4-TOTAL_-_Ko_IN6"/>
      <sheetName val="2_1-LẦN_3-CHIỀU6"/>
      <sheetName val="2_1-LẦN_1-SÁNG6"/>
      <sheetName val="2_1-LẦN_2-TRƯA6"/>
      <sheetName val="2_1-TOTAL-Ko_IN6"/>
      <sheetName val="1_3(TMR_4)6"/>
      <sheetName val="CHO_DE6"/>
      <sheetName val="1_1+1_2+2_2+2_3(TMR_3)6"/>
      <sheetName val="CK1+CK2_(VS_SAN_CHOI_23)6"/>
      <sheetName val="CK1+CK2_(2)6"/>
      <sheetName val="12-16_THÁNG6"/>
      <sheetName val="CAN_SỮA6"/>
      <sheetName val="54+55+56(SAU_CAI_SỮA-6)6"/>
      <sheetName val="BÊ_71-90_NGÀY6"/>
      <sheetName val="BÊ_12-16_tháng6"/>
      <sheetName val="BÊ_6-126"/>
      <sheetName val="BÊ_1-36"/>
      <sheetName val="F01-BC_KHAU_PHAN_SANG_20_36"/>
      <sheetName val="F01-BC_KHAU_PHAN_CHIEU_19_36"/>
      <sheetName val="dinh_mưc_cty6"/>
      <sheetName val="Giá_thành6"/>
      <sheetName val="Thong_ke6"/>
      <sheetName val="Energy_for_milk_prod6"/>
      <sheetName val="DE_NGHI_XUAT_6"/>
      <sheetName val="phieu_xuat_mau6"/>
      <sheetName val="PHIEU_XUAT_CHIEU6"/>
      <sheetName val="11_rai_them_cỏ6"/>
      <sheetName val="PHU_LUC_02-_HDSD_CAC_BIEU_MAU6"/>
      <sheetName val="PhU_LUC_01-_MA_CAC_NHOM_BO6"/>
      <sheetName val="F03-BC_THUC_TRON_SANG_20_36"/>
      <sheetName val="F03-BC_THUC_TRON_CHIEU_19_36"/>
      <sheetName val="F02-BC_THEO_DOI_THUC_AN_DU6"/>
      <sheetName val="Tham_khao-_Bao_cao_xuat_thuc_a6"/>
      <sheetName val="Don_gia_(khong_in)6"/>
      <sheetName val="Dlieu_dau_vao6"/>
      <sheetName val="DK1_Don_gia6"/>
      <sheetName val="1_MONG_1-26"/>
      <sheetName val="BANCO_(2)6"/>
      <sheetName val="MT_DPin_(2)6"/>
      <sheetName val="dm_3664"/>
      <sheetName val="DM_60604"/>
      <sheetName val="02__PTDG6"/>
      <sheetName val="Chiết_tính6"/>
      <sheetName val="2_1Warehouse_14"/>
      <sheetName val="Income_Statement6"/>
      <sheetName val="Shareholders'_Equity6"/>
      <sheetName val="VC_xd4"/>
      <sheetName val="Gia_VLTB4"/>
      <sheetName val="B_Luong4"/>
      <sheetName val="C_May4"/>
      <sheetName val="TB_NẶNG4"/>
      <sheetName val="Du_tru_CP-Bieu_014"/>
      <sheetName val="Dự_thầu4"/>
      <sheetName val="Nhap_VT_oto4"/>
      <sheetName val="TH_TN4"/>
      <sheetName val="Bill_No_3_-_Prov__Sum_(Ph2&amp;3)4"/>
      <sheetName val="Hao_phí4"/>
      <sheetName val="Structure_data4"/>
      <sheetName val="đọc_số4"/>
      <sheetName val="Ma_don_vi4"/>
      <sheetName val="bang_cc4"/>
      <sheetName val="CP_Du_phong4"/>
      <sheetName val="THCP_Lap_dat4"/>
      <sheetName val="THCP_xay_dung4"/>
      <sheetName val="Tong_hop_kinh_phi4"/>
      <sheetName val="CP_HMC4"/>
      <sheetName val="HỆ_THỐNG_PHÒNG_CHÁY_CHỮA_CHÁY4"/>
      <sheetName val="HỆ_THỐNG_CẤP_THOÁT_NƯỚC4"/>
      <sheetName val="HỆ_THỐNG_ĐHKK4"/>
      <sheetName val="MÁY_PHÁT_ĐIỆN4"/>
      <sheetName val="HỆ_THỐNG_ĐIỆN4"/>
      <sheetName val="Thiết_bị_chính4"/>
      <sheetName val="Ｎｏ_134"/>
      <sheetName val="DGchitiet_4"/>
      <sheetName val="wk_prgs4"/>
      <sheetName val="AG_Pipe_Qty_Analysis4"/>
      <sheetName val="CHI_PHI4"/>
      <sheetName val="TK_chi_tiet4"/>
      <sheetName val="Bill_2-Road_HR24"/>
      <sheetName val="Bill_3_-_Softscape_HR24"/>
      <sheetName val="THEP_TAM4"/>
      <sheetName val="THEP_HÌNH4"/>
      <sheetName val="THEP_HINH4"/>
      <sheetName val="XA_GO4"/>
      <sheetName val="BANG_TRA4"/>
      <sheetName val="CĂN_HỘ_T16-17_4"/>
      <sheetName val="TRỤC_ĐỨNG_THOÁT_BẨN_T15-174"/>
      <sheetName val="TRỤC_ĐỨNG_TM_T15-174"/>
      <sheetName val="Móng,_nền_4"/>
      <sheetName val="Main_Bldg-Rev024"/>
      <sheetName val="D&amp;W_def_4"/>
      <sheetName val="Nhan_cong4"/>
      <sheetName val="Thiet_bi4"/>
      <sheetName val="Vat_tu4"/>
      <sheetName val="DM_ChiPhi4"/>
      <sheetName val="May_TC4"/>
      <sheetName val="TH_Kinh_phi4"/>
      <sheetName val="Ptvl_4"/>
      <sheetName val="1_Requisition(E)4"/>
      <sheetName val="TONG_HOP4"/>
      <sheetName val="Tổng_GT4"/>
      <sheetName val="Chi_tiết_KL4"/>
      <sheetName val="ca_máy4"/>
      <sheetName val="khấu_trừ_phạt4"/>
      <sheetName val="GT__KHAU_TRU4"/>
      <sheetName val="HAO_HUT_VAT_TU_(2)4"/>
      <sheetName val="cao_độ4"/>
      <sheetName val="Data_Wall4"/>
      <sheetName val="Dự_toán4"/>
      <sheetName val="Đơn_Giá_TH4"/>
      <sheetName val="Nhân_công4"/>
      <sheetName val="Phân_tích4"/>
      <sheetName val="C_P_Thiết_bị4"/>
      <sheetName val="T_H_Kinh_phí4"/>
      <sheetName val="Vật_tư4"/>
      <sheetName val="Trang_bìa4"/>
      <sheetName val="phan_tic_chi_tiet4"/>
      <sheetName val="Gia_vat_lieu3"/>
      <sheetName val="DG_14263"/>
      <sheetName val="Theo_doi_Doanh_thu_20173"/>
      <sheetName val="gui_BKCT3"/>
      <sheetName val="Precios_unitarios_AXH3"/>
      <sheetName val="Chi_tiet_cong_no4"/>
      <sheetName val="PHÁT_SINH_TẦNG_1_4"/>
      <sheetName val="PHÁT_SINH_TẦNG_24"/>
      <sheetName val="Hầm_chuyển_psinh4"/>
      <sheetName val="Ống_thẳng4"/>
      <sheetName val="Côn_thu4"/>
      <sheetName val="Vuông_tròn4"/>
      <sheetName val="Chân_rẽ4"/>
      <sheetName val="Chạc_ba4"/>
      <sheetName val="3__CNT3"/>
      <sheetName val="unit_price_list(M)3"/>
      <sheetName val="TH_VL,_NC,_DDHT_Thanhphuoc3"/>
      <sheetName val="Don_gia_chi_tiet_DIEN_23"/>
      <sheetName val="So_lieu_chung3"/>
      <sheetName val="BẢNG_ÁP_GIÁ_(in)3"/>
      <sheetName val="NT_(KL)_IN3"/>
      <sheetName val="DOM_D23"/>
      <sheetName val="nhà_ăn3"/>
      <sheetName val="Công_nhật3"/>
      <sheetName val="btkt_cột3"/>
      <sheetName val="1_2_Staff_Schedule3"/>
      <sheetName val="Chi_tiet_-tong_9_thang3"/>
      <sheetName val="0__Input3"/>
      <sheetName val="Doi_so3"/>
      <sheetName val="MTO_REV_2(ARMOR)3"/>
      <sheetName val="DANH_MỤC_HỒ_SƠ3"/>
      <sheetName val="GT_PHÁT_SINH_NGOÀI_HĐ3"/>
      <sheetName val="KL_PHÁT_SINH_3"/>
      <sheetName val="PS_NGOÀI_HĐ3"/>
      <sheetName val="GT_PHÁT_SINH_VƯỢT_HĐ3"/>
      <sheetName val="PS_TĂNG_GIẢM_TRONG_HĐ3"/>
      <sheetName val="DGCT_PHÁT_SINH3"/>
      <sheetName val="DGCT_TRẦN_NLV3"/>
      <sheetName val="DGKL_chi_tiết_NLV3"/>
      <sheetName val="DGKL_chi_tiết_NHN,NK3"/>
      <sheetName val="TG_KL3"/>
      <sheetName val="DGCT_SƠN_BẢ_TƯỜNG_NLV3"/>
      <sheetName val="DGKL_TRẦN_NHN3"/>
      <sheetName val="Cotthep_NPT3"/>
      <sheetName val="vl_nc_mtc3"/>
      <sheetName val="KL_THEP__GIAM_DO_DUNG_COUPLER3"/>
      <sheetName val="01_KL_THÉP_NHẬP_VỀ3"/>
      <sheetName val="2__NT_VLDV3"/>
      <sheetName val="GHI_CHU3"/>
      <sheetName val="1_BB_LMHT3"/>
      <sheetName val="Bê_tông_bảo_vệ3"/>
      <sheetName val="01__Data3"/>
      <sheetName val="Neo,_nối_cốt_thép_dầm,_cột3"/>
      <sheetName val="Uốn_móc_cốt_thép3"/>
      <sheetName val="Tiêu_chuẩn_cốt_thép3"/>
      <sheetName val="Bill_Prelim-CDT3"/>
      <sheetName val="Bill_BPTC-CDT3"/>
      <sheetName val="Chi_tiết_BPTC3"/>
      <sheetName val="Bill_BPTC-CDT_(PA_MCT_CDT)3"/>
      <sheetName val="Chi_tiết_BPTC_(PA_MCT_CDT)3"/>
      <sheetName val="Tong_hop_vat_tu3"/>
      <sheetName val="TLG_Type3"/>
      <sheetName val="B3A_-_TOWER_A3"/>
      <sheetName val="Annex_B3"/>
      <sheetName val="DM-VNT_ko_sd3"/>
      <sheetName val="Bảng_đo_bóc_KL_OLK-093"/>
      <sheetName val="6_3_CHI_TIET_OLK-093"/>
      <sheetName val="1_Civil_(Org)3"/>
      <sheetName val="1__Office3"/>
      <sheetName val="KHOI_LUONG15-43"/>
      <sheetName val="Dgia_vat_tu3"/>
      <sheetName val="Don_gia_III3"/>
      <sheetName val="D÷_liÖu3"/>
      <sheetName val="Dot_43"/>
      <sheetName val="1_San_3"/>
      <sheetName val="Thop_Ksat3"/>
      <sheetName val="Thu_hoi_3"/>
      <sheetName val="HM_chung3"/>
      <sheetName val="CP_xd-thiet_bi3"/>
      <sheetName val="TH-TN_LD_TB3"/>
      <sheetName val="CP_xaydung3"/>
      <sheetName val="Thao_ha_phu_kien3"/>
      <sheetName val="VL-NC-MTC_ket_cau3"/>
      <sheetName val="KHOI_LUONG_TONG3"/>
      <sheetName val="TK_22KV3"/>
      <sheetName val="DM_366-17773"/>
      <sheetName val="Thi_nhiem3"/>
      <sheetName val="Gia_goc_VT-TB3"/>
      <sheetName val="Gia_vc_den_chan_CT3"/>
      <sheetName val="culy_223"/>
      <sheetName val="Luong_20503"/>
      <sheetName val="ca_may_QN3"/>
      <sheetName val="TNHC1246_3"/>
      <sheetName val="Ca_may_TT06_20103"/>
      <sheetName val="Don_gia_VLXD_dia_phuong3"/>
      <sheetName val="Bang_luong_SCL3"/>
      <sheetName val="Dinh_muc_TN14263"/>
      <sheetName val="KL_thep_lam_sat3"/>
      <sheetName val="Tien_Thuong3"/>
      <sheetName val="NC_XL_6T_cuoi_01_CTy3"/>
      <sheetName val="Data_-6T_dau3"/>
      <sheetName val="Cong_6T3"/>
      <sheetName val="Chi_phi_van_chuyen3"/>
      <sheetName val="2_CDPS3"/>
      <sheetName val="TH_các_CC3"/>
      <sheetName val="DT_hợp_đồng2"/>
      <sheetName val="Bảng_KL_đợt_12"/>
      <sheetName val="HRG_BHN3"/>
      <sheetName val="CĂN_ĐH3"/>
      <sheetName val="Q_A01_2-Sh3"/>
      <sheetName val="7_Khau_tru_3"/>
      <sheetName val="Heso_DZ3"/>
      <sheetName val="DM_336cai_tao3"/>
      <sheetName val="DG_BINH_THUAN3"/>
      <sheetName val="Div26_-_Elect3"/>
      <sheetName val="Danh_mục2"/>
      <sheetName val="4_CĂN3"/>
      <sheetName val="Financ__Overview2"/>
      <sheetName val="Don_gia_NC3"/>
      <sheetName val="B-2__(DPP)3"/>
      <sheetName val="Summary_Sheet2"/>
      <sheetName val="Finishing-Tower_A2"/>
      <sheetName val="Finishing-Tower_B2"/>
      <sheetName val="Finishing-Tower_C2"/>
      <sheetName val="Finishing-Tower_D2"/>
      <sheetName val="MEP-Tower_A2"/>
      <sheetName val="MEP-Tower_B2"/>
      <sheetName val="MEP-Tower_C2"/>
      <sheetName val="MEP-Tower_D2"/>
      <sheetName val="Cost_Report_Sum2"/>
      <sheetName val="Detail_Cost_Sum2"/>
      <sheetName val="RVO-VO_Sum2"/>
      <sheetName val="Potential_VOs_Sum2"/>
      <sheetName val="Cash_Flow_Sum2"/>
      <sheetName val="CAP_NUOC2"/>
      <sheetName val="cấp_nước_trục_nhà_vs2"/>
      <sheetName val="THOAT_NUOC2"/>
      <sheetName val="THOAT_MUA2"/>
      <sheetName val="Cáp_phòng2"/>
      <sheetName val="TMC_ĐIỆN_Phi2"/>
      <sheetName val="TMC_Tổng2"/>
      <sheetName val="TH_Đèn_Phòng_L12"/>
      <sheetName val="TH_Đèn_Hầm_L12"/>
      <sheetName val="TỦ_MODULE_T12"/>
      <sheetName val="TINH_GIA_-_SAN_XUAT_Vertico2"/>
      <sheetName val="Huong_dan2"/>
      <sheetName val="Bieu_gia_HD2"/>
      <sheetName val="13_BANG_CT2"/>
      <sheetName val="14_MMUS_GIUA_NHIP2"/>
      <sheetName val="4_HSPBngang2"/>
      <sheetName val="6_Tinh_tai2"/>
      <sheetName val="2_NSl2"/>
      <sheetName val="17_US_CHU_tho_a_b2"/>
      <sheetName val="15_MMUS_GOI2"/>
      <sheetName val="gia_vt,nc,may2"/>
      <sheetName val="BTK-Dai_Hoc_Kien_Giang2"/>
      <sheetName val="PV_Graph_Data2"/>
      <sheetName val="doanh_thu2"/>
      <sheetName val="Dutoan_KL2"/>
      <sheetName val="Kê_0,42"/>
      <sheetName val="TH_0,42"/>
      <sheetName val="Kê_222"/>
      <sheetName val="TH_222"/>
      <sheetName val="TBA_CAI_TAO2"/>
      <sheetName val="TBA_XDM2"/>
      <sheetName val="TONG_HOP_DU_TOAN2"/>
      <sheetName val="Thop_XAY_DUNG2"/>
      <sheetName val="CP_HANG_MUC_CHUNG2"/>
      <sheetName val="CHI_PHI_XD2"/>
      <sheetName val="CHI_PHI_THI_NGHIEM2"/>
      <sheetName val="VLDIEN_222"/>
      <sheetName val="Dao_dat2"/>
      <sheetName val="TH_Denbu2"/>
      <sheetName val="Do_ve_DC2"/>
      <sheetName val="TH_Bommin2"/>
      <sheetName val="CHI_PHI_THI_NGHIEM-LD_thiet_bi2"/>
      <sheetName val="Luong_TT012"/>
      <sheetName val="Camay_QB2"/>
      <sheetName val="gia_ca_may_BXD2"/>
      <sheetName val="BANG_LUONG_KY_SU2"/>
      <sheetName val="Bang_luong_NHOM_I2"/>
      <sheetName val="Bangluong_NHOM_II_2"/>
      <sheetName val="09-GIA_nhien_lieu-ko_in2"/>
      <sheetName val="Tinh_V_cot_chiem_cho2"/>
      <sheetName val="ĐM_13542"/>
      <sheetName val="KHOAN_MAU2"/>
      <sheetName val="ĐO_ĐỊA_VẬT_LÝ2"/>
      <sheetName val="khoan_tiep_dia2"/>
      <sheetName val="Tổng_hợp_KPHM2"/>
      <sheetName val="Dinh_muc2"/>
      <sheetName val="DZ_22KV2"/>
      <sheetName val="5_2_1_Đo_bóc_KL_OLK-062"/>
      <sheetName val="GIÁ_DỰ_THẦU_30_CĂN2"/>
      <sheetName val="MB_DT_022"/>
      <sheetName val="BU_LONG2"/>
      <sheetName val="KS_tuyen2"/>
      <sheetName val="Bang_chiet_tinh_TBA2"/>
      <sheetName val="HERD_MOVEMENTFARM14"/>
      <sheetName val="HERD_MOVEMENTFARM24"/>
      <sheetName val="CALVES_2-44"/>
      <sheetName val="Cavles_2-44"/>
      <sheetName val="CALVES_4-74"/>
      <sheetName val="HEIFER_7-12m4"/>
      <sheetName val="HEIFER_12+4"/>
      <sheetName val="FRESH_COW_2017-184"/>
      <sheetName val="HP_COW_20184"/>
      <sheetName val="LP_COW_2017-184"/>
      <sheetName val="DRY_COW4"/>
      <sheetName val="FIELD_CROPS4"/>
      <sheetName val="EQUIP_LIST2"/>
      <sheetName val="So_sanh2"/>
      <sheetName val="4_2_1_Đo_bóc_KL_OLK-062"/>
      <sheetName val="4_1_1_CHI_TIET_OLK-062"/>
      <sheetName val="Gia_VT-TB2"/>
      <sheetName val="noi_suy_xa2"/>
      <sheetName val="noi_suy_xa_thu_hoi2"/>
      <sheetName val="DT__NHA_XUONG2"/>
      <sheetName val="THONG_SO2"/>
      <sheetName val="Đơn_giá_chi_tiết_TN_392"/>
      <sheetName val="Tính_giá_NC2"/>
      <sheetName val="Tiên_lượng2"/>
      <sheetName val="SL_cước2"/>
      <sheetName val="DG_Chi_tiet2"/>
      <sheetName val="_1710_HOINGHINLD2"/>
      <sheetName val="99_(2)2"/>
      <sheetName val="134_2"/>
      <sheetName val="DG_49702"/>
      <sheetName val="Electrical_Works2"/>
      <sheetName val="H_T__INCOMING_SYSTEM2"/>
      <sheetName val="Cash_Flow2"/>
      <sheetName val="Thuyết_minh2"/>
      <sheetName val="Đơn_giá_máy2"/>
      <sheetName val="Bill_No_1_62"/>
      <sheetName val="Bill_No_1_102"/>
      <sheetName val="Bill_No_3_32"/>
      <sheetName val="Bill_No_1_42"/>
      <sheetName val="Bill_No_1_72"/>
      <sheetName val="Summary_Bill_No__32"/>
      <sheetName val="¥_2"/>
      <sheetName val="Unit_price1"/>
      <sheetName val="Tong_DT1"/>
      <sheetName val="phan_tich_don_gia1"/>
      <sheetName val="Bán_đợt_1_trang1"/>
      <sheetName val="3__KC_-_PODIUM1"/>
      <sheetName val="Breakdown_(B)1"/>
      <sheetName val="U_P_Breakdown1"/>
      <sheetName val="Chiet_tinh_dz351"/>
      <sheetName val="Tien_Luong1"/>
      <sheetName val="Unit_price(Updateting)1"/>
      <sheetName val="CTDZ6kv_(gd1)_1"/>
      <sheetName val="CTDZ_0_4+cto_(GD1)1"/>
      <sheetName val="CTTBA_(gd1)1"/>
      <sheetName val="03_Detailed1"/>
      <sheetName val="01_Bid_Price_summary1"/>
      <sheetName val="Home_Office_Manhours1"/>
      <sheetName val="Field_SPV_Barchart1"/>
      <sheetName val="Bù_giá_CM1"/>
      <sheetName val="Cost_List1"/>
      <sheetName val="Detail_Cost1"/>
      <sheetName val="IC_Price_New1"/>
      <sheetName val="Summary_Table1"/>
      <sheetName val="Sales_Person1"/>
      <sheetName val="Bidding_Entity1"/>
      <sheetName val="LX_-TT05"/>
      <sheetName val="NC_Moi_TT05"/>
      <sheetName val="IMF_Code1"/>
      <sheetName val="CHITIET_VL-NCHT1_(2)1"/>
      <sheetName val="Subsidiary_Calculation1"/>
      <sheetName val="don_gia_1426"/>
      <sheetName val="SGC_RATE"/>
      <sheetName val="Cau_tao_gia_xay_to"/>
      <sheetName val="Phu_Bai_Bridge"/>
      <sheetName val="5_2_1_Đo_bóc_KL_OLK-10"/>
      <sheetName val="Chu_dau_tu"/>
      <sheetName val="Khai_toan"/>
      <sheetName val="Phu_luc_01_1_EPC_P11-14"/>
      <sheetName val="TDT_P11-P14"/>
      <sheetName val="Chi_phi_khac_"/>
      <sheetName val="Hang_muc_Chung"/>
      <sheetName val="Bia_Phu_Luc"/>
      <sheetName val="DATA_1_CHUNG"/>
      <sheetName val="Muc_luc"/>
      <sheetName val="Tra_cuu_957"/>
      <sheetName val="Tru_TT"/>
      <sheetName val="Thg_04"/>
      <sheetName val="Thg_05"/>
      <sheetName val="Thg_06"/>
      <sheetName val="Thg_07"/>
      <sheetName val="Thg_08"/>
      <sheetName val="Thg_09"/>
      <sheetName val="Thg_10"/>
      <sheetName val="Thg_11"/>
      <sheetName val="Thg_12"/>
      <sheetName val="Bia_lot"/>
      <sheetName val="DT_san_XD-So_lieu_cu"/>
      <sheetName val="DM_DU_AN"/>
      <sheetName val="DM_TP_"/>
      <sheetName val="File_Chi_tiet"/>
      <sheetName val="THPDMoi__(2)"/>
      <sheetName val="t-h_HA_THE"/>
      <sheetName val="TH_XL"/>
      <sheetName val="CHITIET_VL-NC"/>
      <sheetName val="FF-2_(1)"/>
      <sheetName val="Labour_Summary13"/>
      <sheetName val="YTD_12'2003"/>
      <sheetName val="YTD_06'2003"/>
      <sheetName val="YTD_03'2003"/>
      <sheetName val="YTD_09'2003"/>
      <sheetName val="deferred_taxes"/>
      <sheetName val="Eqpmnt_Plng"/>
      <sheetName val="TRIAL_BALANCE"/>
      <sheetName val="DPR_31st_march"/>
      <sheetName val="current_month"/>
      <sheetName val="Blng__Vs_Coll_"/>
      <sheetName val="Currency_Rate"/>
      <sheetName val="BILL_34Āᐁë_HẦM"/>
      <sheetName val="THÔNG_TIN"/>
      <sheetName val="Danh_mục_khối"/>
      <sheetName val="Danh_mục_đơn_vị_-phòng_chức_năn"/>
      <sheetName val="BẢNG_DIỄN_GIẢI_KL_(7)"/>
      <sheetName val="Probbl_-_Production"/>
      <sheetName val="w't_table"/>
      <sheetName val="CHI_PHÍ_NHÔM"/>
      <sheetName val="BILL_34Āᐁë"/>
      <sheetName val="NHOM_KINH"/>
      <sheetName val="CHITIET_VL-NC-TT1p"/>
      <sheetName val="2__BBNT_KLHT"/>
      <sheetName val="Dashboard_-_BQL_-_VHL"/>
      <sheetName val="KEILA_TP_2020-07"/>
      <sheetName val="TH_khoi_luong"/>
      <sheetName val="Chi_tiet_khoi_luong"/>
      <sheetName val="TK_thep"/>
      <sheetName val="CT_THOÁT_WC_VP"/>
      <sheetName val="CT_CẤP_WC_VP"/>
      <sheetName val="CT_THOÁT_MƯA_VP_TRỤC_LỚN"/>
      <sheetName val="CT_THOÁT_MƯA_VP_TRỤC_NHỎ"/>
      <sheetName val="CFA_(ME)"/>
      <sheetName val="MEP_Building"/>
      <sheetName val="Share_Price_2002"/>
      <sheetName val="LUONG_SCL"/>
      <sheetName val="BOM-13_11-Other(PS1+PS2)"/>
      <sheetName val="Don_gia_XD"/>
      <sheetName val="Dinh_Muc_Vat_Tu"/>
      <sheetName val="mã_"/>
      <sheetName val="Chênh_lệch_máy_thi_công"/>
      <sheetName val="Chênh_lệch_nhân_công"/>
      <sheetName val="Chênh_lệch_vật_liệu"/>
      <sheetName val="Chao_gia_T12_RE"/>
      <sheetName val="Service_Cost_"/>
      <sheetName val="Don_gia_Tay_Ninh"/>
      <sheetName val="Don_gia_Dak_Lak"/>
      <sheetName val="streeta_and_cacth_pit"/>
      <sheetName val="Daf_1"/>
      <sheetName val="DSV6 Summ"/>
      <sheetName val="NTKL"/>
      <sheetName val="Luong (TP Việt Trì)"/>
      <sheetName val="Boc KL DAT+CAT+BT"/>
      <sheetName val="Boc KL thép"/>
      <sheetName val="Bieu do nhan luc"/>
      <sheetName val="Land Dev't. Ph-1"/>
      <sheetName val="Hac.Lots"/>
      <sheetName val="4-Lane bridge"/>
      <sheetName val="Res.Lots"/>
      <sheetName val="Spine Road"/>
      <sheetName val="264"/>
      <sheetName val="BangQuiDoi"/>
      <sheetName val="CaiDat"/>
      <sheetName val="CPK"/>
      <sheetName val="Invoice"/>
      <sheetName val="Utilities"/>
      <sheetName val="Civil_B1"/>
      <sheetName val="Civil_B4"/>
      <sheetName val="CONSOIDATE 4"/>
      <sheetName val="CONSOIDATE 2"/>
      <sheetName val="1CT-CAUTHANG-TT-T13(TRIU)&lt;16&gt;16"/>
      <sheetName val="3,CT-CAUTHANG-T23-24&gt;50"/>
      <sheetName val="공사개요-C"/>
      <sheetName val="HSTV"/>
      <sheetName val="GCM"/>
      <sheetName val="GVT"/>
      <sheetName val="NC CU"/>
      <sheetName val="PLV"/>
      <sheetName val="CT_trtreo"/>
      <sheetName val="pphtAV"/>
      <sheetName val="Cuoc "/>
      <sheetName val="gia chao"/>
      <sheetName val="Vat lieu BTN"/>
      <sheetName val="B1_HT"/>
      <sheetName val="DS_GioiTinh"/>
      <sheetName val="DS_LoaiNhanVien"/>
      <sheetName val="DS_QuocTich"/>
      <sheetName val="DS_TinhTrangGiaDinh"/>
      <sheetName val="DS_TonGiao"/>
      <sheetName val="5.2.1 Đo bóc KL OLK-07"/>
      <sheetName val="DGKL_TRỤC NGOAI NHA"/>
      <sheetName val="PHG"/>
      <sheetName val="THKP"/>
      <sheetName val="BAG-2"/>
      <sheetName val="COPING"/>
      <sheetName val="Form"/>
      <sheetName val="Bill 2"/>
      <sheetName val="Bill 3"/>
      <sheetName val="Bill 4a - 1A"/>
      <sheetName val="Bill 4a (Fiber) - 1A"/>
      <sheetName val="Bill 4b"/>
      <sheetName val="Bill 4c"/>
      <sheetName val="Bill 5"/>
      <sheetName val="Bill 4a - 1B"/>
      <sheetName val="Bill 4a (Fiber) - 1B"/>
      <sheetName val="표지"/>
      <sheetName val="직종인원"/>
      <sheetName val="총원dB"/>
      <sheetName val="Bank Rev"/>
      <sheetName val="dlvoid"/>
      <sheetName val="STAX"/>
      <sheetName val="PU_ITALY_23"/>
      <sheetName val="final_list_200523"/>
      <sheetName val="Tro_giup22"/>
      <sheetName val="Labour_Summary14"/>
      <sheetName val="PU_ITALY_24"/>
      <sheetName val="final_list_200524"/>
      <sheetName val="Tro_giup23"/>
      <sheetName val="Labour_Summary15"/>
      <sheetName val="DATAENTRY"/>
      <sheetName val="Merit &amp; Market Grid"/>
      <sheetName val="BP DECLINE IT"/>
      <sheetName val="Input List"/>
      <sheetName val="SYSTEMS"/>
      <sheetName val="DBASE"/>
      <sheetName val="Valid data revised"/>
      <sheetName val="BUDGET"/>
      <sheetName val="EXPENSES"/>
      <sheetName val="DETAIL MIX % REPORT"/>
      <sheetName val="LBO"/>
      <sheetName val="BS-DET"/>
      <sheetName val="Table"/>
      <sheetName val="Fill this out first..."/>
      <sheetName val="BC chi tiết TT"/>
      <sheetName val="seido_BS"/>
      <sheetName val="RAB_AR&amp;STR10"/>
      <sheetName val="chi_tiet_TBA10"/>
      <sheetName val="chi_tiet_C10"/>
      <sheetName val="TH_DZ3512"/>
      <sheetName val="Customize_Your_Purchase_Order10"/>
      <sheetName val="Don_gia10"/>
      <sheetName val="DON_GIA_TRAM_(3)10"/>
      <sheetName val="DON_GIA_CAN_THO12"/>
      <sheetName val="7606_DZ10"/>
      <sheetName val="CHITIET_VL-NC-TT_-1p10"/>
      <sheetName val="CHITIET_VL-NC-TT-3p9"/>
      <sheetName val="TONG_HOP_VL-NC_TT10"/>
      <sheetName val="KPVC-BD_10"/>
      <sheetName val="Don_gia_chi_tiet10"/>
      <sheetName val="HĐ_ngoài9"/>
      <sheetName val="XT_Buoc_39"/>
      <sheetName val="dongia_(2)9"/>
      <sheetName val="S-curve_9"/>
      <sheetName val="So_doi_chieu_LC9"/>
      <sheetName val="Adix_A9"/>
      <sheetName val="project_management9"/>
      <sheetName val="MAIN_GATE_HOUSE9"/>
      <sheetName val="REINF_9"/>
      <sheetName val="Rates_20099"/>
      <sheetName val="Commercial_value9"/>
      <sheetName val="MH_RATE9"/>
      <sheetName val="Ky_Lam_Bridge9"/>
      <sheetName val="Provisional_Sums_Item9"/>
      <sheetName val="Gas_Pressure_Welding9"/>
      <sheetName val="General_Item&amp;General_Requireme9"/>
      <sheetName val="General_Items9"/>
      <sheetName val="Regenral_Requirements9"/>
      <sheetName val="TONG_HOP_VL-NC9"/>
      <sheetName val="Du_toan9"/>
      <sheetName val="chiet_tinh9"/>
      <sheetName val="Ng_hàng_xà+bulong9"/>
      <sheetName val="CT_vat_lieu9"/>
      <sheetName val="Bang_KL9"/>
      <sheetName val="Lcau_-_Lxuc9"/>
      <sheetName val="Đầu_vào8"/>
      <sheetName val="Equip_8"/>
      <sheetName val="A1_CN8"/>
      <sheetName val="DG_thep_ma_kem9"/>
      <sheetName val="DM_60619"/>
      <sheetName val="Trạm_biến_áp8"/>
      <sheetName val="Đơn_Giá_8"/>
      <sheetName val="Chenh_lech_vat_tu8"/>
      <sheetName val="Diện_tích8"/>
      <sheetName val="1_Khái_toán8"/>
      <sheetName val="TONG_HOP_T5_19988"/>
      <sheetName val="Chi_tiet_XD_TBA8"/>
      <sheetName val="DG_DZ9"/>
      <sheetName val="DG_TBA9"/>
      <sheetName val="CT-0_4KV8"/>
      <sheetName val="Data_Input9"/>
      <sheetName val="KL_Chi_tiết_Xây_tô8"/>
      <sheetName val="rate_material8"/>
      <sheetName val="04_-_XUONG_DET_B8"/>
      <sheetName val="Chi_tiet_KL8"/>
      <sheetName val="Tổng_hợp_KL8"/>
      <sheetName val="Bill_1_Quy_dinh_chung8"/>
      <sheetName val="1_R18_BF8"/>
      <sheetName val="6_External_works-R188"/>
      <sheetName val="07Base_Cost8"/>
      <sheetName val="_038"/>
      <sheetName val="chieu_day_san8"/>
      <sheetName val="Podium_Concrete_Works8"/>
      <sheetName val="KLCT-_TOWER8"/>
      <sheetName val="KLCT-_PODIUM8"/>
      <sheetName val="Gia_thanh_chuoi_su8"/>
      <sheetName val="Tiep_dia8"/>
      <sheetName val="Don_gia_vung_III-Can_Tho8"/>
      <sheetName val="HÐ_ngoài9"/>
      <sheetName val="6PILE__(돌출)8"/>
      <sheetName val="DETAIL_8"/>
      <sheetName val="EIRR&gt;_28"/>
      <sheetName val="Phan_khai_KLuong8"/>
      <sheetName val="Project_Data8"/>
      <sheetName val="Area_Cal8"/>
      <sheetName val="Elect_(3)8"/>
      <sheetName val="plan&amp;section_of_foundation8"/>
      <sheetName val="design_criteria8"/>
      <sheetName val="Bond_수수료_계산_포맷8"/>
      <sheetName val="ITB_COST8"/>
      <sheetName val="PAGE_18"/>
      <sheetName val="DM_678"/>
      <sheetName val="Xay_lapduongR38"/>
      <sheetName val="Đầu_tư8"/>
      <sheetName val="6787CWFASE2CASE2_00_xls8"/>
      <sheetName val="Bill_02_-_Xay_gach-Pou_8"/>
      <sheetName val="Bill_03-Chống_thấm-Pou8"/>
      <sheetName val="Bill_04-Kim_loại-Pou8"/>
      <sheetName val="Bill_05_-_Hoan_thien-Pou_8"/>
      <sheetName val="Bill_02_-_Xay_gach-Tower8"/>
      <sheetName val="Bill_03-Chống_thấm-Tower8"/>
      <sheetName val="Bill_04-Kim_loại-Tower8"/>
      <sheetName val="Bill_05_-_Hoan_thien-Tower8"/>
      <sheetName val="KL-_KHAC8"/>
      <sheetName val="BILL_3_-_KẾT_CẤU_HẦM8"/>
      <sheetName val="PTĐG_LTBT8"/>
      <sheetName val="CTG-PRECHEx1_48"/>
      <sheetName val="CTG-AB_(2)8"/>
      <sheetName val="CTG-AB_(3)8"/>
      <sheetName val="CTG-PLP-1_088"/>
      <sheetName val="Pre_Đội_nhóm8"/>
      <sheetName val="Vat_tu_XD8"/>
      <sheetName val="Tower_-_Concrete_Works8"/>
      <sheetName val="Bill-04_ket_cau_thap-_UNI8"/>
      <sheetName val="Loại_Vật_tư8"/>
      <sheetName val="TH_Vat_tu8"/>
      <sheetName val="dg_tphcm8"/>
      <sheetName val="T_KÊ_K_CẤU8"/>
      <sheetName val="Bill_01_-_CTN8"/>
      <sheetName val="Bill_2_2_Villa_2_beds8"/>
      <sheetName val="4_PTDG8"/>
      <sheetName val="A1,_May8"/>
      <sheetName val="Vat_lieu8"/>
      <sheetName val="Bang_trong_luong_rieng_thep8"/>
      <sheetName val="gia_cong_tac8"/>
      <sheetName val="Measure_13068"/>
      <sheetName val="CẤP_THOÁT_NƯỚC8"/>
      <sheetName val="Cước_VC_+_ĐM_CP_Tư_vấn8"/>
      <sheetName val="Hệ_số8"/>
      <sheetName val="THDT_goi_thau_TB8"/>
      <sheetName val="Tien_do_TV8"/>
      <sheetName val="Harga_ME_8"/>
      <sheetName val="Analisa_Gabungan8"/>
      <sheetName val="ESTI_8"/>
      <sheetName val="KL_san_lap8"/>
      <sheetName val="GV1-D13_(Casement_door)8"/>
      <sheetName val="Isolasi_Luar_Dalam8"/>
      <sheetName val="Isolasi_Luar8"/>
      <sheetName val="bridge_#_18"/>
      <sheetName val="DATA_BASE8"/>
      <sheetName val="Equipment_list_(PAC)8"/>
      <sheetName val="TH_MTC8"/>
      <sheetName val="TH_N_Cong8"/>
      <sheetName val="_Bill_5-Earthing_2_-_Add_Works8"/>
      <sheetName val="LV_data8"/>
      <sheetName val="Gia_vat_tu8"/>
      <sheetName val="Buy_vs__Lease_Car8"/>
      <sheetName val="TINH_KHOI_LUONG8"/>
      <sheetName val="Chenh_lech_ca_may8"/>
      <sheetName val="TLg_CN&amp;Laixe8"/>
      <sheetName val="TLg_CN&amp;Laixe_(2)8"/>
      <sheetName val="TLg_Laitau8"/>
      <sheetName val="TLg_Laitau_(2)8"/>
      <sheetName val="Chi_tiet8"/>
      <sheetName val="NHÀ_NHẬP_LIỆU7"/>
      <sheetName val="MÓNG_SILO7"/>
      <sheetName val="CTKL_KTX_HT7"/>
      <sheetName val="HVAC_BLOCK_B48"/>
      <sheetName val="KHOI_LUONG8"/>
      <sheetName val="13-Cốt_thép_(10mm&lt;D≤18mm)_FO167"/>
      <sheetName val="du_lieu_du_toan7"/>
      <sheetName val="Bang_3_Chi_tiet_phan_Dz8"/>
      <sheetName val="BẢNG_KHỐI_LƯỢNG_TỔNG_HỢP7"/>
      <sheetName val="CP_Khac_cuoc_VC7"/>
      <sheetName val="Budget_Code7"/>
      <sheetName val="2_Chiet_tinh7"/>
      <sheetName val="subcon_sched8"/>
      <sheetName val="PRE_(E)8"/>
      <sheetName val="D_&amp;_W_sizes7"/>
      <sheetName val="Purchase_Order7"/>
      <sheetName val="Tong_du_toan7"/>
      <sheetName val="Bill_2_-_ketcau7"/>
      <sheetName val="Chi_tiet_lan_can7"/>
      <sheetName val="BOQ_THAN7"/>
      <sheetName val="DL_ĐẦU_VÀO7"/>
      <sheetName val="Analisa_&amp;_Upah7"/>
      <sheetName val="Du_lieu8"/>
      <sheetName val="Phan_tich7"/>
      <sheetName val="Luong_NII7"/>
      <sheetName val="DINH_MUC_THI_NGHIEM7"/>
      <sheetName val="Luong_NI7"/>
      <sheetName val="CT_Thang_Mo7"/>
      <sheetName val="CT__PL7"/>
      <sheetName val="dongia__2_7"/>
      <sheetName val="Thép_CKN7"/>
      <sheetName val="GOC-KO_IN7"/>
      <sheetName val="wk_prgs5"/>
      <sheetName val="cash_budget7"/>
      <sheetName val="Don_gia_(khong_in)7"/>
      <sheetName val="DK1_Don_gia7"/>
      <sheetName val="Ma_don_vi5"/>
      <sheetName val="bang_cc5"/>
      <sheetName val="MAU_8A7"/>
      <sheetName val="MAU_8B7"/>
      <sheetName val="MAU_97"/>
      <sheetName val="MAU_107"/>
      <sheetName val="sochitiettaikhoan_7"/>
      <sheetName val="Share_price_data7"/>
      <sheetName val="19_37"/>
      <sheetName val="20_37"/>
      <sheetName val="Chieu_4_37"/>
      <sheetName val="Cow_req7"/>
      <sheetName val="TỔNG_HỢP7"/>
      <sheetName val="14-LẦN_3-CHIỀU7"/>
      <sheetName val="14-LẦN_1-SÁNG7"/>
      <sheetName val="14-LẦN_2-TRƯA7"/>
      <sheetName val="1_3+1_4-TOTAL_-_Ko_IN7"/>
      <sheetName val="2_1-LẦN_3-CHIỀU7"/>
      <sheetName val="2_1-LẦN_1-SÁNG7"/>
      <sheetName val="2_1-LẦN_2-TRƯA7"/>
      <sheetName val="2_1-TOTAL-Ko_IN7"/>
      <sheetName val="1_3(TMR_4)7"/>
      <sheetName val="CHO_DE7"/>
      <sheetName val="1_1+1_2+2_2+2_3(TMR_3)7"/>
      <sheetName val="CK1+CK2_(VS_SAN_CHOI_23)7"/>
      <sheetName val="CK1+CK2_(2)7"/>
      <sheetName val="12-16_THÁNG7"/>
      <sheetName val="CAN_SỮA7"/>
      <sheetName val="54+55+56(SAU_CAI_SỮA-6)7"/>
      <sheetName val="BÊ_71-90_NGÀY7"/>
      <sheetName val="BÊ_12-16_tháng7"/>
      <sheetName val="BÊ_6-127"/>
      <sheetName val="BÊ_1-37"/>
      <sheetName val="F01-BC_KHAU_PHAN_SANG_20_37"/>
      <sheetName val="F01-BC_KHAU_PHAN_CHIEU_19_37"/>
      <sheetName val="dinh_mưc_cty7"/>
      <sheetName val="Giá_thành7"/>
      <sheetName val="Thong_ke7"/>
      <sheetName val="Energy_for_milk_prod7"/>
      <sheetName val="DE_NGHI_XUAT_7"/>
      <sheetName val="phieu_xuat_mau7"/>
      <sheetName val="PHIEU_XUAT_CHIEU7"/>
      <sheetName val="11_rai_them_cỏ7"/>
      <sheetName val="PHU_LUC_02-_HDSD_CAC_BIEU_MAU7"/>
      <sheetName val="PhU_LUC_01-_MA_CAC_NHOM_BO7"/>
      <sheetName val="F03-BC_THUC_TRON_SANG_20_37"/>
      <sheetName val="F03-BC_THUC_TRON_CHIEU_19_37"/>
      <sheetName val="F02-BC_THEO_DOI_THUC_AN_DU7"/>
      <sheetName val="Tham_khao-_Bao_cao_xuat_thuc_a7"/>
      <sheetName val="Dlieu_dau_vao7"/>
      <sheetName val="Nhap_VT_oto5"/>
      <sheetName val="dm_3665"/>
      <sheetName val="DM_60605"/>
      <sheetName val="TB_NẶNG5"/>
      <sheetName val="Du_tru_CP-Bieu_015"/>
      <sheetName val="Dự_thầu5"/>
      <sheetName val="BANCO_(2)7"/>
      <sheetName val="MT_DPin_(2)7"/>
      <sheetName val="02__PTDG7"/>
      <sheetName val="Chiết_tính7"/>
      <sheetName val="Income_Statement7"/>
      <sheetName val="Shareholders'_Equity7"/>
      <sheetName val="VC_xd5"/>
      <sheetName val="Gia_VLTB5"/>
      <sheetName val="B_Luong5"/>
      <sheetName val="C_May5"/>
      <sheetName val="1_MONG_1-27"/>
      <sheetName val="Hao_phí5"/>
      <sheetName val="AG_Pipe_Qty_Analysis5"/>
      <sheetName val="Chi_tiet_-tong_9_thang4"/>
      <sheetName val="Don_gia_chi_tiet_DIEN_24"/>
      <sheetName val="TH_TN5"/>
      <sheetName val="Bill_No_3_-_Prov__Sum_(Ph2&amp;3)5"/>
      <sheetName val="TK_chi_tiet5"/>
      <sheetName val="Bill_2-Road_HR25"/>
      <sheetName val="Bill_3_-_Softscape_HR25"/>
      <sheetName val="Ｎｏ_135"/>
      <sheetName val="DGchitiet_5"/>
      <sheetName val="Tổng_GT5"/>
      <sheetName val="Chi_tiết_KL5"/>
      <sheetName val="ca_máy5"/>
      <sheetName val="khấu_trừ_phạt5"/>
      <sheetName val="GT__KHAU_TRU5"/>
      <sheetName val="HAO_HUT_VAT_TU_(2)5"/>
      <sheetName val="cao_độ5"/>
      <sheetName val="THEP_TAM5"/>
      <sheetName val="THEP_HÌNH5"/>
      <sheetName val="THEP_HINH5"/>
      <sheetName val="XA_GO5"/>
      <sheetName val="BANG_TRA5"/>
      <sheetName val="2_1Warehouse_15"/>
      <sheetName val="đọc_số5"/>
      <sheetName val="Data_Wall5"/>
      <sheetName val="CĂN_HỘ_T16-17_5"/>
      <sheetName val="TRỤC_ĐỨNG_THOÁT_BẨN_T15-175"/>
      <sheetName val="TRỤC_ĐỨNG_TM_T15-175"/>
      <sheetName val="CP_HMC5"/>
      <sheetName val="Structure_data5"/>
      <sheetName val="CP_Du_phong5"/>
      <sheetName val="THCP_Lap_dat5"/>
      <sheetName val="THCP_xay_dung5"/>
      <sheetName val="Tong_hop_kinh_phi5"/>
      <sheetName val="HỆ_THỐNG_PHÒNG_CHÁY_CHỮA_CHÁY5"/>
      <sheetName val="HỆ_THỐNG_CẤP_THOÁT_NƯỚC5"/>
      <sheetName val="HỆ_THỐNG_ĐHKK5"/>
      <sheetName val="MÁY_PHÁT_ĐIỆN5"/>
      <sheetName val="HỆ_THỐNG_ĐIỆN5"/>
      <sheetName val="Thiết_bị_chính5"/>
      <sheetName val="CHI_PHI5"/>
      <sheetName val="DG_14264"/>
      <sheetName val="Main_Bldg-Rev025"/>
      <sheetName val="D&amp;W_def_5"/>
      <sheetName val="Nhan_cong5"/>
      <sheetName val="Thiet_bi5"/>
      <sheetName val="Vat_tu5"/>
      <sheetName val="DM_ChiPhi5"/>
      <sheetName val="May_TC5"/>
      <sheetName val="TH_Kinh_phi5"/>
      <sheetName val="Ptvl_5"/>
      <sheetName val="Móng,_nền_5"/>
      <sheetName val="Chi_tiet_cong_no5"/>
      <sheetName val="PHÁT_SINH_TẦNG_1_5"/>
      <sheetName val="PHÁT_SINH_TẦNG_25"/>
      <sheetName val="Hầm_chuyển_psinh5"/>
      <sheetName val="Ống_thẳng5"/>
      <sheetName val="Côn_thu5"/>
      <sheetName val="Vuông_tròn5"/>
      <sheetName val="Chân_rẽ5"/>
      <sheetName val="Chạc_ba5"/>
      <sheetName val="1_Requisition(E)5"/>
      <sheetName val="Dự_toán5"/>
      <sheetName val="Đơn_Giá_TH5"/>
      <sheetName val="Nhân_công5"/>
      <sheetName val="Phân_tích5"/>
      <sheetName val="C_P_Thiết_bị5"/>
      <sheetName val="T_H_Kinh_phí5"/>
      <sheetName val="Vật_tư5"/>
      <sheetName val="Trang_bìa5"/>
      <sheetName val="gui_BKCT4"/>
      <sheetName val="1_2_Staff_Schedule4"/>
      <sheetName val="TONG_HOP5"/>
      <sheetName val="phan_tic_chi_tiet5"/>
      <sheetName val="BẢNG_ÁP_GIÁ_(in)4"/>
      <sheetName val="NT_(KL)_IN4"/>
      <sheetName val="DOM_D24"/>
      <sheetName val="nhà_ăn4"/>
      <sheetName val="Công_nhật4"/>
      <sheetName val="btkt_cột4"/>
      <sheetName val="Precios_unitarios_AXH4"/>
      <sheetName val="0__Input4"/>
      <sheetName val="Theo_doi_Doanh_thu_20174"/>
      <sheetName val="3__CNT4"/>
      <sheetName val="unit_price_list(M)4"/>
      <sheetName val="TLG_Type4"/>
      <sheetName val="TH_VL,_NC,_DDHT_Thanhphuoc4"/>
      <sheetName val="Gia_vat_lieu4"/>
      <sheetName val="Bê_tông_bảo_vệ4"/>
      <sheetName val="01__Data4"/>
      <sheetName val="Neo,_nối_cốt_thép_dầm,_cột4"/>
      <sheetName val="Uốn_móc_cốt_thép4"/>
      <sheetName val="Tiêu_chuẩn_cốt_thép4"/>
      <sheetName val="KL_THEP__GIAM_DO_DUNG_COUPLER4"/>
      <sheetName val="01_KL_THÉP_NHẬP_VỀ4"/>
      <sheetName val="2__NT_VLDV4"/>
      <sheetName val="GHI_CHU4"/>
      <sheetName val="1_BB_LMHT4"/>
      <sheetName val="So_lieu_chung4"/>
      <sheetName val="Bill_Prelim-CDT4"/>
      <sheetName val="Bill_BPTC-CDT4"/>
      <sheetName val="Chi_tiết_BPTC4"/>
      <sheetName val="Bill_BPTC-CDT_(PA_MCT_CDT)4"/>
      <sheetName val="Chi_tiết_BPTC_(PA_MCT_CDT)4"/>
      <sheetName val="1__Office4"/>
      <sheetName val="Doi_so4"/>
      <sheetName val="MTO_REV_2(ARMOR)4"/>
      <sheetName val="DANH_MỤC_HỒ_SƠ4"/>
      <sheetName val="GT_PHÁT_SINH_NGOÀI_HĐ4"/>
      <sheetName val="KL_PHÁT_SINH_4"/>
      <sheetName val="PS_NGOÀI_HĐ4"/>
      <sheetName val="GT_PHÁT_SINH_VƯỢT_HĐ4"/>
      <sheetName val="PS_TĂNG_GIẢM_TRONG_HĐ4"/>
      <sheetName val="DGCT_PHÁT_SINH4"/>
      <sheetName val="DGCT_TRẦN_NLV4"/>
      <sheetName val="DGKL_chi_tiết_NLV4"/>
      <sheetName val="DGKL_chi_tiết_NHN,NK4"/>
      <sheetName val="TG_KL4"/>
      <sheetName val="DGCT_SƠN_BẢ_TƯỜNG_NLV4"/>
      <sheetName val="DGKL_TRẦN_NHN4"/>
      <sheetName val="KHOI_LUONG15-44"/>
      <sheetName val="DM-VNT_ko_sd4"/>
      <sheetName val="Dgia_vat_tu4"/>
      <sheetName val="Don_gia_III4"/>
      <sheetName val="D÷_liÖu4"/>
      <sheetName val="B3A_-_TOWER_A4"/>
      <sheetName val="Annex_B4"/>
      <sheetName val="1_Civil_(Org)4"/>
      <sheetName val="Cotthep_NPT4"/>
      <sheetName val="vl_nc_mtc4"/>
      <sheetName val="Bảng_đo_bóc_KL_OLK-094"/>
      <sheetName val="6_3_CHI_TIET_OLK-094"/>
      <sheetName val="KL_thep_lam_sat4"/>
      <sheetName val="HRG_BHN4"/>
      <sheetName val="CĂN_ĐH4"/>
      <sheetName val="Tien_Thuong4"/>
      <sheetName val="NC_XL_6T_cuoi_01_CTy4"/>
      <sheetName val="Data_-6T_dau4"/>
      <sheetName val="Cong_6T4"/>
      <sheetName val="1_San_4"/>
      <sheetName val="Tong_hop_vat_tu4"/>
      <sheetName val="Dot_44"/>
      <sheetName val="Q_A01_2-Sh4"/>
      <sheetName val="DM_336cai_tao4"/>
      <sheetName val="Thop_Ksat4"/>
      <sheetName val="Thu_hoi_4"/>
      <sheetName val="HM_chung4"/>
      <sheetName val="CP_xd-thiet_bi4"/>
      <sheetName val="TH-TN_LD_TB4"/>
      <sheetName val="CP_xaydung4"/>
      <sheetName val="Thao_ha_phu_kien4"/>
      <sheetName val="VL-NC-MTC_ket_cau4"/>
      <sheetName val="KHOI_LUONG_TONG4"/>
      <sheetName val="TK_22KV4"/>
      <sheetName val="DM_366-17774"/>
      <sheetName val="Thi_nhiem4"/>
      <sheetName val="Gia_goc_VT-TB4"/>
      <sheetName val="Gia_vc_den_chan_CT4"/>
      <sheetName val="culy_224"/>
      <sheetName val="Luong_20504"/>
      <sheetName val="ca_may_QN4"/>
      <sheetName val="TNHC1246_4"/>
      <sheetName val="Ca_may_TT06_20104"/>
      <sheetName val="Don_gia_VLXD_dia_phuong4"/>
      <sheetName val="Bang_luong_SCL4"/>
      <sheetName val="Dinh_muc_TN14264"/>
      <sheetName val="TH_các_CC4"/>
      <sheetName val="Chi_phi_van_chuyen4"/>
      <sheetName val="Dinh_muc3"/>
      <sheetName val="2_CDPS4"/>
      <sheetName val="B-2__(DPP)4"/>
      <sheetName val="Div26_-_Elect4"/>
      <sheetName val="Heso_DZ4"/>
      <sheetName val="DG_BINH_THUAN4"/>
      <sheetName val="7_Khau_tru_4"/>
      <sheetName val="4_CĂN4"/>
      <sheetName val="DT_hợp_đồng3"/>
      <sheetName val="Bảng_KL_đợt_13"/>
      <sheetName val="Bieu_gia_HD3"/>
      <sheetName val="So_sanh3"/>
      <sheetName val="Huong_dan3"/>
      <sheetName val="Danh_mục3"/>
      <sheetName val="Summary_Sheet3"/>
      <sheetName val="Finishing-Tower_A3"/>
      <sheetName val="Finishing-Tower_B3"/>
      <sheetName val="Finishing-Tower_C3"/>
      <sheetName val="Finishing-Tower_D3"/>
      <sheetName val="MEP-Tower_A3"/>
      <sheetName val="MEP-Tower_B3"/>
      <sheetName val="MEP-Tower_C3"/>
      <sheetName val="MEP-Tower_D3"/>
      <sheetName val="Cost_Report_Sum3"/>
      <sheetName val="Detail_Cost_Sum3"/>
      <sheetName val="RVO-VO_Sum3"/>
      <sheetName val="Potential_VOs_Sum3"/>
      <sheetName val="Cash_Flow_Sum3"/>
      <sheetName val="CAP_NUOC3"/>
      <sheetName val="cấp_nước_trục_nhà_vs3"/>
      <sheetName val="THOAT_NUOC3"/>
      <sheetName val="THOAT_MUA3"/>
      <sheetName val="Cáp_phòng3"/>
      <sheetName val="TMC_ĐIỆN_Phi3"/>
      <sheetName val="TMC_Tổng3"/>
      <sheetName val="TH_Đèn_Phòng_L13"/>
      <sheetName val="TH_Đèn_Hầm_L13"/>
      <sheetName val="TỦ_MODULE_T13"/>
      <sheetName val="Financ__Overview3"/>
      <sheetName val="Don_gia_NC4"/>
      <sheetName val="gia_vt,nc,may3"/>
      <sheetName val="TINH_GIA_-_SAN_XUAT_Vertico3"/>
      <sheetName val="EQUIP_LIST3"/>
      <sheetName val="DZ_22KV3"/>
      <sheetName val="13_BANG_CT3"/>
      <sheetName val="14_MMUS_GIUA_NHIP3"/>
      <sheetName val="4_HSPBngang3"/>
      <sheetName val="6_Tinh_tai3"/>
      <sheetName val="2_NSl3"/>
      <sheetName val="17_US_CHU_tho_a_b3"/>
      <sheetName val="15_MMUS_GOI3"/>
      <sheetName val="BTK-Dai_Hoc_Kien_Giang3"/>
      <sheetName val="PV_Graph_Data3"/>
      <sheetName val="doanh_thu3"/>
      <sheetName val="Dutoan_KL3"/>
      <sheetName val="BU_LONG3"/>
      <sheetName val="5_2_1_Đo_bóc_KL_OLK-063"/>
      <sheetName val="Tổng_hợp_KPHM3"/>
      <sheetName val="GIÁ_DỰ_THẦU_30_CĂN3"/>
      <sheetName val="Kê_0,43"/>
      <sheetName val="TH_0,43"/>
      <sheetName val="Kê_223"/>
      <sheetName val="TH_223"/>
      <sheetName val="TBA_CAI_TAO3"/>
      <sheetName val="TBA_XDM3"/>
      <sheetName val="TONG_HOP_DU_TOAN3"/>
      <sheetName val="Thop_XAY_DUNG3"/>
      <sheetName val="CP_HANG_MUC_CHUNG3"/>
      <sheetName val="CHI_PHI_XD3"/>
      <sheetName val="CHI_PHI_THI_NGHIEM3"/>
      <sheetName val="VLDIEN_223"/>
      <sheetName val="Dao_dat3"/>
      <sheetName val="TH_Denbu3"/>
      <sheetName val="Do_ve_DC3"/>
      <sheetName val="TH_Bommin3"/>
      <sheetName val="CHI_PHI_THI_NGHIEM-LD_thiet_bi3"/>
      <sheetName val="Luong_TT013"/>
      <sheetName val="Camay_QB3"/>
      <sheetName val="gia_ca_may_BXD3"/>
      <sheetName val="BANG_LUONG_KY_SU3"/>
      <sheetName val="Bang_luong_NHOM_I3"/>
      <sheetName val="Bangluong_NHOM_II_3"/>
      <sheetName val="09-GIA_nhien_lieu-ko_in3"/>
      <sheetName val="Tinh_V_cot_chiem_cho3"/>
      <sheetName val="ĐM_13543"/>
      <sheetName val="KHOAN_MAU3"/>
      <sheetName val="ĐO_ĐỊA_VẬT_LÝ3"/>
      <sheetName val="khoan_tiep_dia3"/>
      <sheetName val="MB_DT_023"/>
      <sheetName val="KS_tuyen3"/>
      <sheetName val="Bang_chiet_tinh_TBA3"/>
      <sheetName val="HERD_MOVEMENTFARM15"/>
      <sheetName val="HERD_MOVEMENTFARM25"/>
      <sheetName val="CALVES_2-45"/>
      <sheetName val="Cavles_2-45"/>
      <sheetName val="CALVES_4-75"/>
      <sheetName val="HEIFER_7-12m5"/>
      <sheetName val="HEIFER_12+5"/>
      <sheetName val="FRESH_COW_2017-185"/>
      <sheetName val="HP_COW_20185"/>
      <sheetName val="LP_COW_2017-185"/>
      <sheetName val="DRY_COW5"/>
      <sheetName val="FIELD_CROPS5"/>
      <sheetName val="DG_Chi_tiet3"/>
      <sheetName val="_1710_HOINGHINLD3"/>
      <sheetName val="99_(2)3"/>
      <sheetName val="134_3"/>
      <sheetName val="DG_49703"/>
      <sheetName val="Electrical_Works3"/>
      <sheetName val="H_T__INCOMING_SYSTEM3"/>
      <sheetName val="THONG_SO3"/>
      <sheetName val="Đơn_giá_chi_tiết_TN_393"/>
      <sheetName val="DT__NHA_XUONG3"/>
      <sheetName val="4_2_1_Đo_bóc_KL_OLK-063"/>
      <sheetName val="4_1_1_CHI_TIET_OLK-063"/>
      <sheetName val="Gia_VT-TB3"/>
      <sheetName val="noi_suy_xa3"/>
      <sheetName val="noi_suy_xa_thu_hoi3"/>
      <sheetName val="Cash_Flow3"/>
      <sheetName val="Thuyết_minh3"/>
      <sheetName val="Đơn_giá_máy3"/>
      <sheetName val="Tính_giá_NC3"/>
      <sheetName val="SL_cước3"/>
      <sheetName val="¥_3"/>
      <sheetName val="Tong_DT2"/>
      <sheetName val="phan_tich_don_gia2"/>
      <sheetName val="Bán_đợt_1_trang2"/>
      <sheetName val="Tien_Luong2"/>
      <sheetName val="Bill_No_1_63"/>
      <sheetName val="Bill_No_1_103"/>
      <sheetName val="Bill_No_3_33"/>
      <sheetName val="Bill_No_1_43"/>
      <sheetName val="Bill_No_1_73"/>
      <sheetName val="Summary_Bill_No__33"/>
      <sheetName val="Unit_price2"/>
      <sheetName val="3__KC_-_PODIUM2"/>
      <sheetName val="Chiet_tinh_dz352"/>
      <sheetName val="Bù_giá_CM2"/>
      <sheetName val="Cost_List2"/>
      <sheetName val="Detail_Cost2"/>
      <sheetName val="IC_Price_New2"/>
      <sheetName val="Summary_Table2"/>
      <sheetName val="Sales_Person2"/>
      <sheetName val="Bidding_Entity2"/>
      <sheetName val="Luong_BN1"/>
      <sheetName val="Luong_TB1"/>
      <sheetName val="Ca_may_TB1"/>
      <sheetName val="Ca_máy_BN1"/>
      <sheetName val="Vật_liệu1"/>
      <sheetName val="LX_-TT051"/>
      <sheetName val="NC_Moi_TT051"/>
      <sheetName val="CHITIET_VL-NCHT1_(2)2"/>
      <sheetName val="don_gia_14261"/>
      <sheetName val="Phu_Bai_Bridge1"/>
      <sheetName val="Cau_tao_gia_xay_to1"/>
      <sheetName val="SGC_RATE1"/>
      <sheetName val="DM_DU_AN1"/>
      <sheetName val="DM_TP_1"/>
      <sheetName val="File_Chi_tiet1"/>
      <sheetName val="w't_table1"/>
      <sheetName val="Khai_toan1"/>
      <sheetName val="Phu_luc_01_1_EPC_P11-141"/>
      <sheetName val="TDT_P11-P141"/>
      <sheetName val="Chi_phi_khac_1"/>
      <sheetName val="Hang_muc_Chung1"/>
      <sheetName val="Bia_Phu_Luc1"/>
      <sheetName val="DATA_1_CHUNG1"/>
      <sheetName val="Muc_luc1"/>
      <sheetName val="Tra_cuu_9571"/>
      <sheetName val="Tru_TT1"/>
      <sheetName val="Thg_041"/>
      <sheetName val="Thg_051"/>
      <sheetName val="Thg_061"/>
      <sheetName val="Thg_071"/>
      <sheetName val="Thg_081"/>
      <sheetName val="Thg_091"/>
      <sheetName val="Thg_101"/>
      <sheetName val="Thg_111"/>
      <sheetName val="Thg_121"/>
      <sheetName val="5_2_1_Đo_bóc_KL_OLK-101"/>
      <sheetName val="DT_san_XD-So_lieu_cu1"/>
      <sheetName val="FF-2_(1)1"/>
      <sheetName val="YTD_12'20031"/>
      <sheetName val="YTD_06'20031"/>
      <sheetName val="YTD_03'20031"/>
      <sheetName val="YTD_09'20031"/>
      <sheetName val="deferred_taxes1"/>
      <sheetName val="Eqpmnt_Plng1"/>
      <sheetName val="TRIAL_BALANCE1"/>
      <sheetName val="DPR_31st_march1"/>
      <sheetName val="current_month1"/>
      <sheetName val="Blng__Vs_Coll_1"/>
      <sheetName val="THPDMoi__(2)1"/>
      <sheetName val="t-h_HA_THE1"/>
      <sheetName val="TH_XL1"/>
      <sheetName val="CHITIET_VL-NC1"/>
      <sheetName val="Chu_dau_tu1"/>
      <sheetName val="Bia_lot1"/>
      <sheetName val="THÔNG_TIN1"/>
      <sheetName val="Probbl_-_Production1"/>
      <sheetName val="BẢNG_DIỄN_GIẢI_KL_(7)1"/>
      <sheetName val="Danh_mục_khối1"/>
      <sheetName val="Danh_mục_đơn_vị_-phòng_chức_nă1"/>
      <sheetName val="Currency_Rate1"/>
      <sheetName val="Dashboard_-_BQL_-_VHL1"/>
      <sheetName val="Dinh_Muc_Vat_Tu1"/>
      <sheetName val="mã_1"/>
      <sheetName val="CHI_PHÍ_NHÔM1"/>
      <sheetName val="BILL_34Āᐁë1"/>
      <sheetName val="2__BBNT_KLHT1"/>
      <sheetName val="KEILA_TP_2020-071"/>
      <sheetName val="CFA_(ME)1"/>
      <sheetName val="MEP_Building1"/>
      <sheetName val="CHITIET_VL-NC-TT1p1"/>
      <sheetName val="LUONG_SCL1"/>
      <sheetName val="TH_khoi_luong1"/>
      <sheetName val="Chi_tiet_khoi_luong1"/>
      <sheetName val="TK_thep1"/>
      <sheetName val="CT_THOÁT_WC_VP1"/>
      <sheetName val="CT_CẤP_WC_VP1"/>
      <sheetName val="CT_THOÁT_MƯA_VP_TRỤC_LỚN1"/>
      <sheetName val="CT_THOÁT_MƯA_VP_TRỤC_NHỎ1"/>
      <sheetName val="BOM-13_11-Other(PS1+PS2)1"/>
      <sheetName val="PTdam"/>
      <sheetName val="CTG-PRECHEx1_4ꀋ"/>
      <sheetName val="CAU"/>
      <sheetName val="Cước CG"/>
      <sheetName val="노임이"/>
      <sheetName val="02. PHAN TICH"/>
      <sheetName val="03. NGAN SACH"/>
      <sheetName val="DoanhNghiệp"/>
      <sheetName val="ThôngTin"/>
      <sheetName val="0.Data"/>
      <sheetName val="0.Data_new"/>
      <sheetName val="Aging Sept"/>
      <sheetName val="Aging_Sept"/>
      <sheetName val="WEIGHT"/>
      <sheetName val="Overview"/>
      <sheetName val="調整項目マスタ"/>
      <sheetName val="DT_san_XD-So_lieu_cu2"/>
      <sheetName val="Tiên_lượng3"/>
      <sheetName val="FF-2_(1)2"/>
      <sheetName val="YTD_12'20032"/>
      <sheetName val="YTD_06'20032"/>
      <sheetName val="YTD_03'20032"/>
      <sheetName val="YTD_09'20032"/>
      <sheetName val="deferred_taxes2"/>
      <sheetName val="Eqpmnt_Plng2"/>
      <sheetName val="TRIAL_BALANCE2"/>
      <sheetName val="DPR_31st_march2"/>
      <sheetName val="current_month2"/>
      <sheetName val="Blng__Vs_Coll_2"/>
      <sheetName val="CTDZ6kv_(gd1)_2"/>
      <sheetName val="CTDZ_0_4+cto_(GD1)2"/>
      <sheetName val="CTTBA_(gd1)2"/>
      <sheetName val="03_Detailed2"/>
      <sheetName val="01_Bid_Price_summary2"/>
      <sheetName val="Home_Office_Manhours2"/>
      <sheetName val="Field_SPV_Barchart2"/>
      <sheetName val="Unit_price(Updateting)2"/>
      <sheetName val="Breakdown_(B)2"/>
      <sheetName val="U_P_Breakdown2"/>
      <sheetName val="IMF_Code2"/>
      <sheetName val="Subsidiary_Calculation2"/>
      <sheetName val="Phu_Bai_Bridge2"/>
      <sheetName val="5_2_1_Đo_bóc_KL_OLK-102"/>
      <sheetName val="BẢNG_DIỄN_GIẢI_KL_(7)2"/>
      <sheetName val="don_gia_14262"/>
      <sheetName val="Luong_BN2"/>
      <sheetName val="Luong_TB2"/>
      <sheetName val="Ca_may_TB2"/>
      <sheetName val="Ca_máy_BN2"/>
      <sheetName val="Vật_liệu2"/>
      <sheetName val="LX_-TT052"/>
      <sheetName val="NC_Moi_TT052"/>
      <sheetName val="Bia_lot2"/>
      <sheetName val="PU_ITALY_25"/>
      <sheetName val="TH_DZ3513"/>
      <sheetName val="Tro_giup24"/>
      <sheetName val="RAB_AR&amp;STR11"/>
      <sheetName val="chi_tiet_TBA11"/>
      <sheetName val="chi_tiet_C11"/>
      <sheetName val="Don_gia11"/>
      <sheetName val="DON_GIA_TRAM_(3)11"/>
      <sheetName val="XT_Buoc_310"/>
      <sheetName val="DON_GIA_CAN_THO13"/>
      <sheetName val="7606_DZ11"/>
      <sheetName val="Don_gia_chi_tiet11"/>
      <sheetName val="Customize_Your_Purchase_Order11"/>
      <sheetName val="CHITIET_VL-NC-TT_-1p11"/>
      <sheetName val="CHITIET_VL-NC-TT-3p10"/>
      <sheetName val="TONG_HOP_VL-NC_TT11"/>
      <sheetName val="KPVC-BD_11"/>
      <sheetName val="dongia_(2)10"/>
      <sheetName val="Adix_A10"/>
      <sheetName val="Ky_Lam_Bridge10"/>
      <sheetName val="Provisional_Sums_Item10"/>
      <sheetName val="Gas_Pressure_Welding10"/>
      <sheetName val="General_Item&amp;General_Requirem10"/>
      <sheetName val="General_Items10"/>
      <sheetName val="Regenral_Requirements10"/>
      <sheetName val="HĐ_ngoài10"/>
      <sheetName val="Ng_hàng_xà+bulong10"/>
      <sheetName val="chiet_tinh10"/>
      <sheetName val="S-curve_10"/>
      <sheetName val="DM_606110"/>
      <sheetName val="CT_vat_lieu10"/>
      <sheetName val="So_doi_chieu_LC10"/>
      <sheetName val="Bang_3_Chi_tiet_phan_Dz9"/>
      <sheetName val="Commercial_value10"/>
      <sheetName val="project_management10"/>
      <sheetName val="REINF_10"/>
      <sheetName val="Rates_200910"/>
      <sheetName val="Du_toan10"/>
      <sheetName val="MAIN_GATE_HOUSE10"/>
      <sheetName val="TONG_HOP_VL-NC10"/>
      <sheetName val="Bang_KL10"/>
      <sheetName val="MH_RATE10"/>
      <sheetName val="07Base_Cost9"/>
      <sheetName val="rate_material9"/>
      <sheetName val="DG_thep_ma_kem10"/>
      <sheetName val="Lcau_-_Lxuc10"/>
      <sheetName val="Equip_9"/>
      <sheetName val="A1_CN9"/>
      <sheetName val="Đầu_vào9"/>
      <sheetName val="Chi_tiet_XD_TBA9"/>
      <sheetName val="Trạm_biến_áp9"/>
      <sheetName val="Đơn_Giá_9"/>
      <sheetName val="CT-0_4KV9"/>
      <sheetName val="Chenh_lech_vat_tu9"/>
      <sheetName val="Diện_tích9"/>
      <sheetName val="1_Khái_toán9"/>
      <sheetName val="TONG_HOP_T5_19989"/>
      <sheetName val="KL_Chi_tiết_Xây_tô9"/>
      <sheetName val="DG_DZ10"/>
      <sheetName val="DG_TBA10"/>
      <sheetName val="Xay_lapduongR39"/>
      <sheetName val="HÐ_ngoài10"/>
      <sheetName val="DM_679"/>
      <sheetName val="Data_Input10"/>
      <sheetName val="Bill_1_Quy_dinh_chung9"/>
      <sheetName val="1_R18_BF9"/>
      <sheetName val="6_External_works-R189"/>
      <sheetName val="Gia_vat_tu9"/>
      <sheetName val="Elect_(3)9"/>
      <sheetName val="plan&amp;section_of_foundation9"/>
      <sheetName val="design_criteria9"/>
      <sheetName val="Bond_수수료_계산_포맷9"/>
      <sheetName val="ITB_COST9"/>
      <sheetName val="4_PTDG9"/>
      <sheetName val="final_list_200525"/>
      <sheetName val="LV_data9"/>
      <sheetName val="Chi_tiet_KL9"/>
      <sheetName val="Tổng_hợp_KL9"/>
      <sheetName val="04_-_XUONG_DET_B9"/>
      <sheetName val="Phan_khai_KLuong9"/>
      <sheetName val="_039"/>
      <sheetName val="chieu_day_san9"/>
      <sheetName val="Podium_Concrete_Works9"/>
      <sheetName val="KLCT-_TOWER9"/>
      <sheetName val="KLCT-_PODIUM9"/>
      <sheetName val="Gia_thanh_chuoi_su9"/>
      <sheetName val="Tiep_dia9"/>
      <sheetName val="Don_gia_vung_III-Can_Tho9"/>
      <sheetName val="Area_Cal9"/>
      <sheetName val="PAGE_19"/>
      <sheetName val="EIRR&gt;_29"/>
      <sheetName val="Đầu_tư9"/>
      <sheetName val="Project_Data9"/>
      <sheetName val="6787CWFASE2CASE2_00_xls9"/>
      <sheetName val="Bill_02_-_Xay_gach-Pou_9"/>
      <sheetName val="Bill_03-Chống_thấm-Pou9"/>
      <sheetName val="Bill_04-Kim_loại-Pou9"/>
      <sheetName val="Bill_05_-_Hoan_thien-Pou_9"/>
      <sheetName val="Bill_02_-_Xay_gach-Tower9"/>
      <sheetName val="Bill_03-Chống_thấm-Tower9"/>
      <sheetName val="Bill_04-Kim_loại-Tower9"/>
      <sheetName val="Bill_05_-_Hoan_thien-Tower9"/>
      <sheetName val="KL-_KHAC9"/>
      <sheetName val="BILL_3_-_KẾT_CẤU_HẦM9"/>
      <sheetName val="PTĐG_LTBT9"/>
      <sheetName val="CTG-PRECHEx1_49"/>
      <sheetName val="CTG-AB_(2)9"/>
      <sheetName val="CTG-AB_(3)9"/>
      <sheetName val="CTG-PLP-1_089"/>
      <sheetName val="Pre_Đội_nhóm9"/>
      <sheetName val="Vat_tu_XD9"/>
      <sheetName val="Tower_-_Concrete_Works9"/>
      <sheetName val="Bill-04_ket_cau_thap-_UNI9"/>
      <sheetName val="Loại_Vật_tư9"/>
      <sheetName val="TH_Vat_tu9"/>
      <sheetName val="dg_tphcm9"/>
      <sheetName val="T_KÊ_K_CẤU9"/>
      <sheetName val="Bill_01_-_CTN9"/>
      <sheetName val="Bill_2_2_Villa_2_beds9"/>
      <sheetName val="A1,_May9"/>
      <sheetName val="Vat_lieu9"/>
      <sheetName val="Bang_trong_luong_rieng_thep9"/>
      <sheetName val="6PILE__(돌출)9"/>
      <sheetName val="gia_cong_tac9"/>
      <sheetName val="Measure_13069"/>
      <sheetName val="_Bill_5-Earthing_2_-_Add_Works9"/>
      <sheetName val="Cước_VC_+_ĐM_CP_Tư_vấn9"/>
      <sheetName val="Hệ_số9"/>
      <sheetName val="Door_and_window5"/>
      <sheetName val="DETAIL_9"/>
      <sheetName val="GV1-D13_(Casement_door)9"/>
      <sheetName val="ESTI_9"/>
      <sheetName val="CẤP_THOÁT_NƯỚC9"/>
      <sheetName val="TH_MTC9"/>
      <sheetName val="TH_N_Cong9"/>
      <sheetName val="THDT_goi_thau_TB9"/>
      <sheetName val="Tien_do_TV9"/>
      <sheetName val="Harga_ME_9"/>
      <sheetName val="Analisa_Gabungan9"/>
      <sheetName val="bridge_#_19"/>
      <sheetName val="Isolasi_Luar_Dalam9"/>
      <sheetName val="Isolasi_Luar9"/>
      <sheetName val="KL_san_lap9"/>
      <sheetName val="Chi_tiet9"/>
      <sheetName val="sochitiettaikhoan_8"/>
      <sheetName val="Share_price_data8"/>
      <sheetName val="19_38"/>
      <sheetName val="20_38"/>
      <sheetName val="Chieu_4_38"/>
      <sheetName val="Cow_req8"/>
      <sheetName val="TỔNG_HỢP8"/>
      <sheetName val="14-LẦN_3-CHIỀU8"/>
      <sheetName val="14-LẦN_1-SÁNG8"/>
      <sheetName val="14-LẦN_2-TRƯA8"/>
      <sheetName val="1_3+1_4-TOTAL_-_Ko_IN8"/>
      <sheetName val="2_1-LẦN_3-CHIỀU8"/>
      <sheetName val="2_1-LẦN_1-SÁNG8"/>
      <sheetName val="2_1-LẦN_2-TRƯA8"/>
      <sheetName val="2_1-TOTAL-Ko_IN8"/>
      <sheetName val="1_3(TMR_4)8"/>
      <sheetName val="CHO_DE8"/>
      <sheetName val="1_1+1_2+2_2+2_3(TMR_3)8"/>
      <sheetName val="CK1+CK2_(VS_SAN_CHOI_23)8"/>
      <sheetName val="CK1+CK2_(2)8"/>
      <sheetName val="12-16_THÁNG8"/>
      <sheetName val="CAN_SỮA8"/>
      <sheetName val="54+55+56(SAU_CAI_SỮA-6)8"/>
      <sheetName val="BÊ_71-90_NGÀY8"/>
      <sheetName val="BÊ_12-16_tháng8"/>
      <sheetName val="BÊ_6-128"/>
      <sheetName val="BÊ_1-38"/>
      <sheetName val="F01-BC_KHAU_PHAN_SANG_20_38"/>
      <sheetName val="F01-BC_KHAU_PHAN_CHIEU_19_38"/>
      <sheetName val="dinh_mưc_cty8"/>
      <sheetName val="Giá_thành8"/>
      <sheetName val="Thong_ke8"/>
      <sheetName val="Energy_for_milk_prod8"/>
      <sheetName val="DE_NGHI_XUAT_8"/>
      <sheetName val="phieu_xuat_mau8"/>
      <sheetName val="PHIEU_XUAT_CHIEU8"/>
      <sheetName val="11_rai_them_cỏ8"/>
      <sheetName val="PHU_LUC_02-_HDSD_CAC_BIEU_MAU8"/>
      <sheetName val="PhU_LUC_01-_MA_CAC_NHOM_BO8"/>
      <sheetName val="F03-BC_THUC_TRON_SANG_20_38"/>
      <sheetName val="F03-BC_THUC_TRON_CHIEU_19_38"/>
      <sheetName val="F02-BC_THEO_DOI_THUC_AN_DU8"/>
      <sheetName val="Tham_khao-_Bao_cao_xuat_thuc_a8"/>
      <sheetName val="Chenh_lech_ca_may9"/>
      <sheetName val="TLg_CN&amp;Laixe9"/>
      <sheetName val="TLg_CN&amp;Laixe_(2)9"/>
      <sheetName val="TLg_Laitau9"/>
      <sheetName val="TLg_Laitau_(2)9"/>
      <sheetName val="KHOI_LUONG9"/>
      <sheetName val="Equipment_list_(PAC)9"/>
      <sheetName val="TINH_KHOI_LUONG9"/>
      <sheetName val="DATA_BASE9"/>
      <sheetName val="BẢNG_KHỐI_LƯỢNG_TỔNG_HỢP8"/>
      <sheetName val="Buy_vs__Lease_Car9"/>
      <sheetName val="CP_Khac_cuoc_VC8"/>
      <sheetName val="Budget_Code8"/>
      <sheetName val="CTKL_KTX_HT8"/>
      <sheetName val="2_Chiet_tinh8"/>
      <sheetName val="subcon_sched9"/>
      <sheetName val="NHÀ_NHẬP_LIỆU8"/>
      <sheetName val="MÓNG_SILO8"/>
      <sheetName val="PRE_(E)9"/>
      <sheetName val="HVAC_BLOCK_B49"/>
      <sheetName val="Tong_du_toan8"/>
      <sheetName val="Bill_2_-_ketcau8"/>
      <sheetName val="13-Cốt_thép_(10mm&lt;D≤18mm)_FO168"/>
      <sheetName val="du_lieu_du_toan8"/>
      <sheetName val="BANCO_(2)8"/>
      <sheetName val="MT_DPin_(2)8"/>
      <sheetName val="Chi_tiet_lan_can8"/>
      <sheetName val="BOQ_THAN8"/>
      <sheetName val="DL_ĐẦU_VÀO8"/>
      <sheetName val="D_&amp;_W_sizes8"/>
      <sheetName val="Analisa_&amp;_Upah8"/>
      <sheetName val="Purchase_Order8"/>
      <sheetName val="Du_lieu9"/>
      <sheetName val="Phan_tich8"/>
      <sheetName val="Luong_NII8"/>
      <sheetName val="DINH_MUC_THI_NGHIEM8"/>
      <sheetName val="Luong_NI8"/>
      <sheetName val="CT_Thang_Mo8"/>
      <sheetName val="CT__PL8"/>
      <sheetName val="dongia__2_8"/>
      <sheetName val="Thép_CKN8"/>
      <sheetName val="GOC-KO_IN8"/>
      <sheetName val="MAU_8A8"/>
      <sheetName val="MAU_8B8"/>
      <sheetName val="MAU_98"/>
      <sheetName val="MAU_108"/>
      <sheetName val="cash_budget8"/>
      <sheetName val="Dlieu_dau_vao8"/>
      <sheetName val="CHI_PHI6"/>
      <sheetName val="02__PTDG8"/>
      <sheetName val="Chiết_tính8"/>
      <sheetName val="DK1_Don_gia8"/>
      <sheetName val="Income_Statement8"/>
      <sheetName val="Shareholders'_Equity8"/>
      <sheetName val="VC_xd6"/>
      <sheetName val="Gia_VLTB6"/>
      <sheetName val="B_Luong6"/>
      <sheetName val="C_May6"/>
      <sheetName val="Don_gia_(khong_in)8"/>
      <sheetName val="1_MONG_1-28"/>
      <sheetName val="TB_NẶNG6"/>
      <sheetName val="Du_tru_CP-Bieu_016"/>
      <sheetName val="dm_3666"/>
      <sheetName val="DM_60606"/>
      <sheetName val="Dự_thầu6"/>
      <sheetName val="Nhap_VT_oto6"/>
      <sheetName val="Hao_phí6"/>
      <sheetName val="Ma_don_vi6"/>
      <sheetName val="bang_cc6"/>
      <sheetName val="Structure_data6"/>
      <sheetName val="TH_TN6"/>
      <sheetName val="Bill_No_3_-_Prov__Sum_(Ph2&amp;3)6"/>
      <sheetName val="đọc_số6"/>
      <sheetName val="CP_Du_phong6"/>
      <sheetName val="THCP_Lap_dat6"/>
      <sheetName val="THCP_xay_dung6"/>
      <sheetName val="Tong_hop_kinh_phi6"/>
      <sheetName val="CP_HMC6"/>
      <sheetName val="HỆ_THỐNG_PHÒNG_CHÁY_CHỮA_CHÁY6"/>
      <sheetName val="HỆ_THỐNG_CẤP_THOÁT_NƯỚC6"/>
      <sheetName val="HỆ_THỐNG_ĐHKK6"/>
      <sheetName val="MÁY_PHÁT_ĐIỆN6"/>
      <sheetName val="HỆ_THỐNG_ĐIỆN6"/>
      <sheetName val="Thiết_bị_chính6"/>
      <sheetName val="Ｎｏ_136"/>
      <sheetName val="DGchitiet_6"/>
      <sheetName val="wk_prgs6"/>
      <sheetName val="AG_Pipe_Qty_Analysis6"/>
      <sheetName val="2_1Warehouse_16"/>
      <sheetName val="CĂN_HỘ_T16-17_6"/>
      <sheetName val="TRỤC_ĐỨNG_THOÁT_BẨN_T15-176"/>
      <sheetName val="TRỤC_ĐỨNG_TM_T15-176"/>
      <sheetName val="TK_chi_tiet6"/>
      <sheetName val="Bill_2-Road_HR26"/>
      <sheetName val="Bill_3_-_Softscape_HR26"/>
      <sheetName val="THEP_TAM6"/>
      <sheetName val="THEP_HÌNH6"/>
      <sheetName val="THEP_HINH6"/>
      <sheetName val="XA_GO6"/>
      <sheetName val="BANG_TRA6"/>
      <sheetName val="Main_Bldg-Rev026"/>
      <sheetName val="D&amp;W_def_6"/>
      <sheetName val="Nhan_cong6"/>
      <sheetName val="Thiet_bi6"/>
      <sheetName val="Vat_tu6"/>
      <sheetName val="DM_ChiPhi6"/>
      <sheetName val="May_TC6"/>
      <sheetName val="TH_Kinh_phi6"/>
      <sheetName val="Ptvl_6"/>
      <sheetName val="Móng,_nền_6"/>
      <sheetName val="1_Requisition(E)6"/>
      <sheetName val="So_lieu_chung5"/>
      <sheetName val="Q_A01_2-Sh5"/>
      <sheetName val="DG_14265"/>
      <sheetName val="Dự_toán6"/>
      <sheetName val="Đơn_Giá_TH6"/>
      <sheetName val="Nhân_công6"/>
      <sheetName val="Phân_tích6"/>
      <sheetName val="C_P_Thiết_bị6"/>
      <sheetName val="T_H_Kinh_phí6"/>
      <sheetName val="Vật_tư6"/>
      <sheetName val="Trang_bìa6"/>
      <sheetName val="phan_tic_chi_tiet6"/>
      <sheetName val="TONG_HOP6"/>
      <sheetName val="Tổng_GT6"/>
      <sheetName val="Chi_tiết_KL6"/>
      <sheetName val="khấu_trừ_phạt6"/>
      <sheetName val="GT__KHAU_TRU6"/>
      <sheetName val="HAO_HUT_VAT_TU_(2)6"/>
      <sheetName val="cao_độ6"/>
      <sheetName val="Data_Wall6"/>
      <sheetName val="3__CNT5"/>
      <sheetName val="unit_price_list(M)5"/>
      <sheetName val="Theo_doi_Doanh_thu_20175"/>
      <sheetName val="Gia_vat_lieu5"/>
      <sheetName val="gui_BKCT5"/>
      <sheetName val="Precios_unitarios_AXH5"/>
      <sheetName val="Chi_tiet_cong_no6"/>
      <sheetName val="PHÁT_SINH_TẦNG_1_6"/>
      <sheetName val="PHÁT_SINH_TẦNG_26"/>
      <sheetName val="Hầm_chuyển_psinh6"/>
      <sheetName val="Ống_thẳng6"/>
      <sheetName val="Côn_thu6"/>
      <sheetName val="Vuông_tròn6"/>
      <sheetName val="Chân_rẽ6"/>
      <sheetName val="Chạc_ba6"/>
      <sheetName val="Danh_mục4"/>
      <sheetName val="PV_Graph_Data4"/>
      <sheetName val="1_2_Staff_Schedule5"/>
      <sheetName val="BẢNG_ÁP_GIÁ_(in)5"/>
      <sheetName val="NT_(KL)_IN5"/>
      <sheetName val="DOM_D25"/>
      <sheetName val="nhà_ăn5"/>
      <sheetName val="Công_nhật5"/>
      <sheetName val="btkt_cột5"/>
      <sheetName val="Bảng_đo_bóc_KL_OLK-095"/>
      <sheetName val="6_3_CHI_TIET_OLK-095"/>
      <sheetName val="BTK-Dai_Hoc_Kien_Giang4"/>
      <sheetName val="0__Input5"/>
      <sheetName val="TH_các_CC5"/>
      <sheetName val="Don_gia_chi_tiet_DIEN_25"/>
      <sheetName val="Chi_tiet_-tong_9_thang5"/>
      <sheetName val="TH_VL,_NC,_DDHT_Thanhphuoc5"/>
      <sheetName val="1__Office5"/>
      <sheetName val="KL_THEP__GIAM_DO_DUNG_COUPLER5"/>
      <sheetName val="01_KL_THÉP_NHẬP_VỀ5"/>
      <sheetName val="2__NT_VLDV5"/>
      <sheetName val="GHI_CHU5"/>
      <sheetName val="1_BB_LMHT5"/>
      <sheetName val="Bê_tông_bảo_vệ5"/>
      <sheetName val="01__Data5"/>
      <sheetName val="Neo,_nối_cốt_thép_dầm,_cột5"/>
      <sheetName val="Uốn_móc_cốt_thép5"/>
      <sheetName val="Tiêu_chuẩn_cốt_thép5"/>
      <sheetName val="Doi_so5"/>
      <sheetName val="1_Civil_(Org)5"/>
      <sheetName val="Bill_Prelim-CDT5"/>
      <sheetName val="Bill_BPTC-CDT5"/>
      <sheetName val="Chi_tiết_BPTC5"/>
      <sheetName val="Bill_BPTC-CDT_(PA_MCT_CDT)5"/>
      <sheetName val="Chi_tiết_BPTC_(PA_MCT_CDT)5"/>
      <sheetName val="Thop_Ksat5"/>
      <sheetName val="Thu_hoi_5"/>
      <sheetName val="HM_chung5"/>
      <sheetName val="CP_xd-thiet_bi5"/>
      <sheetName val="TH-TN_LD_TB5"/>
      <sheetName val="CP_xaydung5"/>
      <sheetName val="Thao_ha_phu_kien5"/>
      <sheetName val="VL-NC-MTC_ket_cau5"/>
      <sheetName val="KHOI_LUONG_TONG5"/>
      <sheetName val="TK_22KV5"/>
      <sheetName val="DM_366-17775"/>
      <sheetName val="Thi_nhiem5"/>
      <sheetName val="Gia_goc_VT-TB5"/>
      <sheetName val="Gia_vc_den_chan_CT5"/>
      <sheetName val="culy_225"/>
      <sheetName val="Luong_20505"/>
      <sheetName val="ca_may_QN5"/>
      <sheetName val="TNHC1246_5"/>
      <sheetName val="Ca_may_TT06_20105"/>
      <sheetName val="Don_gia_VLXD_dia_phuong5"/>
      <sheetName val="Bang_luong_SCL5"/>
      <sheetName val="Dinh_muc_TN14265"/>
      <sheetName val="DM_336cai_tao5"/>
      <sheetName val="MTO_REV_2(ARMOR)5"/>
      <sheetName val="Dutoan_KL4"/>
      <sheetName val="doanh_thu4"/>
      <sheetName val="KHOI_LUONG15-45"/>
      <sheetName val="DANH_MỤC_HỒ_SƠ5"/>
      <sheetName val="GT_PHÁT_SINH_NGOÀI_HĐ5"/>
      <sheetName val="KL_PHÁT_SINH_5"/>
      <sheetName val="PS_NGOÀI_HĐ5"/>
      <sheetName val="GT_PHÁT_SINH_VƯỢT_HĐ5"/>
      <sheetName val="PS_TĂNG_GIẢM_TRONG_HĐ5"/>
      <sheetName val="DGCT_PHÁT_SINH5"/>
      <sheetName val="DGCT_TRẦN_NLV5"/>
      <sheetName val="DGKL_chi_tiết_NLV5"/>
      <sheetName val="DGKL_chi_tiết_NHN,NK5"/>
      <sheetName val="TG_KL5"/>
      <sheetName val="DGCT_SƠN_BẢ_TƯỜNG_NLV5"/>
      <sheetName val="DGKL_TRẦN_NHN5"/>
      <sheetName val="KL_thep_lam_sat5"/>
      <sheetName val="DM-VNT_ko_sd5"/>
      <sheetName val="B3A_-_TOWER_A5"/>
      <sheetName val="Annex_B5"/>
      <sheetName val="Cotthep_NPT5"/>
      <sheetName val="vl_nc_mtc5"/>
      <sheetName val="Tien_Thuong5"/>
      <sheetName val="NC_XL_6T_cuoi_01_CTy5"/>
      <sheetName val="Data_-6T_dau5"/>
      <sheetName val="Cong_6T5"/>
      <sheetName val="TLG_Type5"/>
      <sheetName val="Tong_hop_vat_tu5"/>
      <sheetName val="1_San_5"/>
      <sheetName val="Dot_45"/>
      <sheetName val="HRG_BHN5"/>
      <sheetName val="CĂN_ĐH5"/>
      <sheetName val="Chi_phi_van_chuyen5"/>
      <sheetName val="Dgia_vat_tu5"/>
      <sheetName val="Don_gia_III5"/>
      <sheetName val="D÷_liÖu5"/>
      <sheetName val="DT_hợp_đồng4"/>
      <sheetName val="Bảng_KL_đợt_14"/>
      <sheetName val="2_CDPS5"/>
      <sheetName val="Summary_Sheet4"/>
      <sheetName val="Finishing-Tower_A4"/>
      <sheetName val="Finishing-Tower_B4"/>
      <sheetName val="Finishing-Tower_C4"/>
      <sheetName val="Finishing-Tower_D4"/>
      <sheetName val="MEP-Tower_A4"/>
      <sheetName val="MEP-Tower_B4"/>
      <sheetName val="MEP-Tower_C4"/>
      <sheetName val="MEP-Tower_D4"/>
      <sheetName val="Cost_Report_Sum4"/>
      <sheetName val="Detail_Cost_Sum4"/>
      <sheetName val="RVO-VO_Sum4"/>
      <sheetName val="Potential_VOs_Sum4"/>
      <sheetName val="Cash_Flow_Sum4"/>
      <sheetName val="Heso_DZ5"/>
      <sheetName val="Bieu_gia_HD4"/>
      <sheetName val="Div26_-_Elect5"/>
      <sheetName val="7_Khau_tru_5"/>
      <sheetName val="4_CĂN5"/>
      <sheetName val="DG_BINH_THUAN5"/>
      <sheetName val="GIÁ_DỰ_THẦU_30_CĂN4"/>
      <sheetName val="DG_Chi_tiet4"/>
      <sheetName val="Kê_0,44"/>
      <sheetName val="TH_0,44"/>
      <sheetName val="Kê_224"/>
      <sheetName val="TH_224"/>
      <sheetName val="TBA_CAI_TAO4"/>
      <sheetName val="TBA_XDM4"/>
      <sheetName val="TONG_HOP_DU_TOAN4"/>
      <sheetName val="Thop_XAY_DUNG4"/>
      <sheetName val="CP_HANG_MUC_CHUNG4"/>
      <sheetName val="CHI_PHI_XD4"/>
      <sheetName val="CHI_PHI_THI_NGHIEM4"/>
      <sheetName val="VLDIEN_224"/>
      <sheetName val="Dao_dat4"/>
      <sheetName val="TH_Denbu4"/>
      <sheetName val="Do_ve_DC4"/>
      <sheetName val="TH_Bommin4"/>
      <sheetName val="CHI_PHI_THI_NGHIEM-LD_thiet_bi4"/>
      <sheetName val="Luong_TT014"/>
      <sheetName val="Camay_QB4"/>
      <sheetName val="gia_ca_may_BXD4"/>
      <sheetName val="BANG_LUONG_KY_SU4"/>
      <sheetName val="Bang_luong_NHOM_I4"/>
      <sheetName val="Bangluong_NHOM_II_4"/>
      <sheetName val="09-GIA_nhien_lieu-ko_in4"/>
      <sheetName val="Tinh_V_cot_chiem_cho4"/>
      <sheetName val="ĐM_13544"/>
      <sheetName val="KHOAN_MAU4"/>
      <sheetName val="ĐO_ĐỊA_VẬT_LÝ4"/>
      <sheetName val="khoan_tiep_dia4"/>
      <sheetName val="DZ_22KV4"/>
      <sheetName val="_1710_HOINGHINLD4"/>
      <sheetName val="99_(2)4"/>
      <sheetName val="134_4"/>
      <sheetName val="DG_49704"/>
      <sheetName val="Don_gia_NC5"/>
      <sheetName val="B-2__(DPP)5"/>
      <sheetName val="CAP_NUOC4"/>
      <sheetName val="cấp_nước_trục_nhà_vs4"/>
      <sheetName val="THOAT_NUOC4"/>
      <sheetName val="THOAT_MUA4"/>
      <sheetName val="Cáp_phòng4"/>
      <sheetName val="TMC_ĐIỆN_Phi4"/>
      <sheetName val="TMC_Tổng4"/>
      <sheetName val="TH_Đèn_Phòng_L14"/>
      <sheetName val="TH_Đèn_Hầm_L14"/>
      <sheetName val="TỦ_MODULE_T14"/>
      <sheetName val="Financ__Overview4"/>
      <sheetName val="13_BANG_CT4"/>
      <sheetName val="14_MMUS_GIUA_NHIP4"/>
      <sheetName val="4_HSPBngang4"/>
      <sheetName val="6_Tinh_tai4"/>
      <sheetName val="2_NSl4"/>
      <sheetName val="17_US_CHU_tho_a_b4"/>
      <sheetName val="15_MMUS_GOI4"/>
      <sheetName val="TINH_GIA_-_SAN_XUAT_Vertico4"/>
      <sheetName val="gia_vt,nc,may4"/>
      <sheetName val="Huong_dan4"/>
      <sheetName val="Tổng_hợp_KPHM4"/>
      <sheetName val="5_2_1_Đo_bóc_KL_OLK-064"/>
      <sheetName val="MB_DT_024"/>
      <sheetName val="Dinh_muc4"/>
      <sheetName val="KS_tuyen4"/>
      <sheetName val="Bang_chiet_tinh_TBA4"/>
      <sheetName val="4_2_1_Đo_bóc_KL_OLK-064"/>
      <sheetName val="4_1_1_CHI_TIET_OLK-064"/>
      <sheetName val="Cash_Flow4"/>
      <sheetName val="So_sanh4"/>
      <sheetName val="HERD_MOVEMENTFARM16"/>
      <sheetName val="HERD_MOVEMENTFARM26"/>
      <sheetName val="CALVES_2-46"/>
      <sheetName val="Cavles_2-46"/>
      <sheetName val="CALVES_4-76"/>
      <sheetName val="HEIFER_7-12m6"/>
      <sheetName val="HEIFER_12+6"/>
      <sheetName val="FRESH_COW_2017-186"/>
      <sheetName val="HP_COW_20186"/>
      <sheetName val="LP_COW_2017-186"/>
      <sheetName val="DRY_COW6"/>
      <sheetName val="FIELD_CROPS6"/>
      <sheetName val="Tong_DT3"/>
      <sheetName val="phan_tich_don_gia3"/>
      <sheetName val="DT_san_XD-So_lieu_cu3"/>
      <sheetName val="EQUIP_LIST4"/>
      <sheetName val="Electrical_Works4"/>
      <sheetName val="H_T__INCOMING_SYSTEM4"/>
      <sheetName val="BU_LONG4"/>
      <sheetName val="THONG_SO4"/>
      <sheetName val="Đơn_giá_chi_tiết_TN_394"/>
      <sheetName val="DT__NHA_XUONG4"/>
      <sheetName val="Gia_VT-TB4"/>
      <sheetName val="noi_suy_xa4"/>
      <sheetName val="noi_suy_xa_thu_hoi4"/>
      <sheetName val="Tính_giá_NC4"/>
      <sheetName val="Tiên_lượng4"/>
      <sheetName val="SL_cước4"/>
      <sheetName val="Thuyết_minh4"/>
      <sheetName val="Đơn_giá_máy4"/>
      <sheetName val="¥_4"/>
      <sheetName val="FF-2_(1)3"/>
      <sheetName val="Labour_Summary16"/>
      <sheetName val="YTD_12'20033"/>
      <sheetName val="YTD_06'20033"/>
      <sheetName val="YTD_03'20033"/>
      <sheetName val="YTD_09'20033"/>
      <sheetName val="deferred_taxes3"/>
      <sheetName val="Eqpmnt_Plng3"/>
      <sheetName val="TRIAL_BALANCE3"/>
      <sheetName val="DPR_31st_march3"/>
      <sheetName val="current_month3"/>
      <sheetName val="Blng__Vs_Coll_3"/>
      <sheetName val="Unit_price3"/>
      <sheetName val="Bill_No_1_64"/>
      <sheetName val="Bill_No_1_104"/>
      <sheetName val="Bill_No_3_34"/>
      <sheetName val="Bill_No_1_44"/>
      <sheetName val="Bill_No_1_74"/>
      <sheetName val="Summary_Bill_No__34"/>
      <sheetName val="Bán_đợt_1_trang3"/>
      <sheetName val="Chiet_tinh_dz353"/>
      <sheetName val="3__KC_-_PODIUM3"/>
      <sheetName val="CTDZ6kv_(gd1)_3"/>
      <sheetName val="CTDZ_0_4+cto_(GD1)3"/>
      <sheetName val="CTTBA_(gd1)3"/>
      <sheetName val="03_Detailed3"/>
      <sheetName val="01_Bid_Price_summary3"/>
      <sheetName val="Home_Office_Manhours3"/>
      <sheetName val="Field_SPV_Barchart3"/>
      <sheetName val="Tien_Luong3"/>
      <sheetName val="Unit_price(Updateting)3"/>
      <sheetName val="Cost_List3"/>
      <sheetName val="Detail_Cost3"/>
      <sheetName val="IC_Price_New3"/>
      <sheetName val="Summary_Table3"/>
      <sheetName val="Sales_Person3"/>
      <sheetName val="Bidding_Entity3"/>
      <sheetName val="CHITIET_VL-NCHT1_(2)3"/>
      <sheetName val="Bù_giá_CM3"/>
      <sheetName val="Breakdown_(B)3"/>
      <sheetName val="U_P_Breakdown3"/>
      <sheetName val="IMF_Code3"/>
      <sheetName val="Subsidiary_Calculation3"/>
      <sheetName val="Phu_Bai_Bridge3"/>
      <sheetName val="5_2_1_Đo_bóc_KL_OLK-103"/>
      <sheetName val="BẢNG_DIỄN_GIẢI_KL_(7)3"/>
      <sheetName val="don_gia_14263"/>
      <sheetName val="Luong_BN3"/>
      <sheetName val="Luong_TB3"/>
      <sheetName val="Ca_may_TB3"/>
      <sheetName val="Ca_máy_BN3"/>
      <sheetName val="Vật_liệu3"/>
      <sheetName val="LX_-TT053"/>
      <sheetName val="NC_Moi_TT053"/>
      <sheetName val="Bia_lot3"/>
      <sheetName val="PU_ITALY_26"/>
      <sheetName val="TH_DZ3514"/>
      <sheetName val="Tro_giup25"/>
      <sheetName val="RAB_AR&amp;STR12"/>
      <sheetName val="chi_tiet_TBA12"/>
      <sheetName val="chi_tiet_C12"/>
      <sheetName val="Customize_Your_Purchase_Order12"/>
      <sheetName val="CHITIET_VL-NC-TT_-1p12"/>
      <sheetName val="CHITIET_VL-NC-TT-3p11"/>
      <sheetName val="TONG_HOP_VL-NC_TT12"/>
      <sheetName val="KPVC-BD_12"/>
      <sheetName val="Don_gia12"/>
      <sheetName val="DON_GIA_TRAM_(3)12"/>
      <sheetName val="DON_GIA_CAN_THO14"/>
      <sheetName val="Don_gia_chi_tiet12"/>
      <sheetName val="HĐ_ngoài11"/>
      <sheetName val="XT_Buoc_311"/>
      <sheetName val="dongia_(2)11"/>
      <sheetName val="7606_DZ12"/>
      <sheetName val="project_management11"/>
      <sheetName val="Adix_A11"/>
      <sheetName val="S-curve_11"/>
      <sheetName val="REINF_11"/>
      <sheetName val="Rates_200911"/>
      <sheetName val="So_doi_chieu_LC11"/>
      <sheetName val="MAIN_GATE_HOUSE11"/>
      <sheetName val="Commercial_value11"/>
      <sheetName val="Du_toan11"/>
      <sheetName val="Ky_Lam_Bridge11"/>
      <sheetName val="Provisional_Sums_Item11"/>
      <sheetName val="Gas_Pressure_Welding11"/>
      <sheetName val="General_Item&amp;General_Requirem11"/>
      <sheetName val="General_Items11"/>
      <sheetName val="Regenral_Requirements11"/>
      <sheetName val="chiet_tinh11"/>
      <sheetName val="Ng_hàng_xà+bulong11"/>
      <sheetName val="MH_RATE11"/>
      <sheetName val="TONG_HOP_VL-NC11"/>
      <sheetName val="Bang_KL11"/>
      <sheetName val="Đầu_vào10"/>
      <sheetName val="Lcau_-_Lxuc11"/>
      <sheetName val="Chi_tiet_XD_TBA10"/>
      <sheetName val="DM_606111"/>
      <sheetName val="DG_thep_ma_kem11"/>
      <sheetName val="CT_vat_lieu11"/>
      <sheetName val="Equip_10"/>
      <sheetName val="A1_CN10"/>
      <sheetName val="TONG_HOP_T5_199810"/>
      <sheetName val="Chenh_lech_vat_tu10"/>
      <sheetName val="Trạm_biến_áp10"/>
      <sheetName val="Đơn_Giá_10"/>
      <sheetName val="Diện_tích10"/>
      <sheetName val="1_Khái_toán10"/>
      <sheetName val="CT-0_4KV10"/>
      <sheetName val="DG_DZ11"/>
      <sheetName val="DG_TBA11"/>
      <sheetName val="rate_material10"/>
      <sheetName val="KL_Chi_tiết_Xây_tô10"/>
      <sheetName val="07Base_Cost10"/>
      <sheetName val="GV1-D13_(Casement_door)10"/>
      <sheetName val="Bill_1_Quy_dinh_chung10"/>
      <sheetName val="1_R18_BF10"/>
      <sheetName val="6_External_works-R1810"/>
      <sheetName val="Phan_khai_KLuong10"/>
      <sheetName val="Chi_tiet_KL10"/>
      <sheetName val="Tổng_hợp_KL10"/>
      <sheetName val="04_-_XUONG_DET_B10"/>
      <sheetName val="_0310"/>
      <sheetName val="chieu_day_san10"/>
      <sheetName val="Podium_Concrete_Works10"/>
      <sheetName val="KLCT-_TOWER10"/>
      <sheetName val="KLCT-_PODIUM10"/>
      <sheetName val="Area_Cal10"/>
      <sheetName val="Gia_thanh_chuoi_su10"/>
      <sheetName val="Tiep_dia10"/>
      <sheetName val="Don_gia_vung_III-Can_Tho10"/>
      <sheetName val="Loại_Vật_tư10"/>
      <sheetName val="Elect_(3)10"/>
      <sheetName val="plan&amp;section_of_foundation10"/>
      <sheetName val="design_criteria10"/>
      <sheetName val="Bond_수수료_계산_포맷10"/>
      <sheetName val="ITB_COST10"/>
      <sheetName val="PAGE_110"/>
      <sheetName val="Xay_lapduongR310"/>
      <sheetName val="DM_6710"/>
      <sheetName val="Project_Data10"/>
      <sheetName val="6787CWFASE2CASE2_00_xls10"/>
      <sheetName val="Đầu_tư10"/>
      <sheetName val="EIRR&gt;_210"/>
      <sheetName val="Bill_02_-_Xay_gach-Pou_10"/>
      <sheetName val="Bill_03-Chống_thấm-Pou10"/>
      <sheetName val="Bill_04-Kim_loại-Pou10"/>
      <sheetName val="Bill_05_-_Hoan_thien-Pou_10"/>
      <sheetName val="Bill_02_-_Xay_gach-Tower10"/>
      <sheetName val="Bill_03-Chống_thấm-Tower10"/>
      <sheetName val="Bill_04-Kim_loại-Tower10"/>
      <sheetName val="Bill_05_-_Hoan_thien-Tower10"/>
      <sheetName val="KL-_KHAC10"/>
      <sheetName val="BILL_3_-_KẾT_CẤU_HẦM10"/>
      <sheetName val="PTĐG_LTBT10"/>
      <sheetName val="CTG-PRECHEx1_410"/>
      <sheetName val="CTG-AB_(2)10"/>
      <sheetName val="CTG-AB_(3)10"/>
      <sheetName val="CTG-PLP-1_0810"/>
      <sheetName val="Pre_Đội_nhóm10"/>
      <sheetName val="Vat_tu_XD10"/>
      <sheetName val="Tower_-_Concrete_Works10"/>
      <sheetName val="Bill-04_ket_cau_thap-_UNI10"/>
      <sheetName val="dg_tphcm10"/>
      <sheetName val="T_KÊ_K_CẤU10"/>
      <sheetName val="gia_cong_tac10"/>
      <sheetName val="4_PTDG10"/>
      <sheetName val="A1,_May10"/>
      <sheetName val="Vat_lieu10"/>
      <sheetName val="Data_Input11"/>
      <sheetName val="Measure_130610"/>
      <sheetName val="HÐ_ngoài11"/>
      <sheetName val="6PILE__(돌출)10"/>
      <sheetName val="Bill_01_-_CTN10"/>
      <sheetName val="Bill_2_2_Villa_2_beds10"/>
      <sheetName val="Analisa_Gabungan10"/>
      <sheetName val="Isolasi_Luar_Dalam10"/>
      <sheetName val="Isolasi_Luar10"/>
      <sheetName val="Harga_ME_10"/>
      <sheetName val="TH_N_Cong10"/>
      <sheetName val="ESTI_10"/>
      <sheetName val="KL_san_lap10"/>
      <sheetName val="TH_Vat_tu10"/>
      <sheetName val="_Bill_5-Earthing_2_-_Add_Work10"/>
      <sheetName val="Chenh_lech_ca_may10"/>
      <sheetName val="TLg_CN&amp;Laixe10"/>
      <sheetName val="TLg_CN&amp;Laixe_(2)10"/>
      <sheetName val="TLg_Laitau10"/>
      <sheetName val="TLg_Laitau_(2)10"/>
      <sheetName val="Bang_trong_luong_rieng_thep10"/>
      <sheetName val="Cước_VC_+_ĐM_CP_Tư_vấn10"/>
      <sheetName val="Hệ_số10"/>
      <sheetName val="DETAIL_10"/>
      <sheetName val="final_list_200526"/>
      <sheetName val="LV_data10"/>
      <sheetName val="Gia_vat_tu10"/>
      <sheetName val="CẤP_THOÁT_NƯỚC10"/>
      <sheetName val="THDT_goi_thau_TB10"/>
      <sheetName val="Tien_do_TV10"/>
      <sheetName val="bridge_#_110"/>
      <sheetName val="Bang_3_Chi_tiet_phan_Dz10"/>
      <sheetName val="KHOI_LUONG10"/>
      <sheetName val="TH_MTC10"/>
      <sheetName val="CTKL_KTX_HT9"/>
      <sheetName val="Buy_vs__Lease_Car10"/>
      <sheetName val="DATA_BASE10"/>
      <sheetName val="Equipment_list_(PAC)10"/>
      <sheetName val="TINH_KHOI_LUONG10"/>
      <sheetName val="Chi_tiet10"/>
      <sheetName val="subcon_sched10"/>
      <sheetName val="NHÀ_NHẬP_LIỆU9"/>
      <sheetName val="MÓNG_SILO9"/>
      <sheetName val="PRE_(E)10"/>
      <sheetName val="HVAC_BLOCK_B410"/>
      <sheetName val="2_Chiet_tinh9"/>
      <sheetName val="BẢNG_KHỐI_LƯỢNG_TỔNG_HỢP9"/>
      <sheetName val="CP_Khac_cuoc_VC9"/>
      <sheetName val="Budget_Code9"/>
      <sheetName val="Tong_du_toan9"/>
      <sheetName val="Bill_2_-_ketcau9"/>
      <sheetName val="Chi_tiet_lan_can9"/>
      <sheetName val="13-Cốt_thép_(10mm&lt;D≤18mm)_FO169"/>
      <sheetName val="du_lieu_du_toan9"/>
      <sheetName val="BOQ_THAN9"/>
      <sheetName val="DL_ĐẦU_VÀO9"/>
      <sheetName val="Purchase_Order9"/>
      <sheetName val="D_&amp;_W_sizes9"/>
      <sheetName val="Analisa_&amp;_Upah9"/>
      <sheetName val="Du_lieu10"/>
      <sheetName val="Phan_tich9"/>
      <sheetName val="Luong_NII9"/>
      <sheetName val="DINH_MUC_THI_NGHIEM9"/>
      <sheetName val="Luong_NI9"/>
      <sheetName val="CT_Thang_Mo9"/>
      <sheetName val="CT__PL9"/>
      <sheetName val="cash_budget9"/>
      <sheetName val="dongia__2_9"/>
      <sheetName val="GOC-KO_IN9"/>
      <sheetName val="MAU_8A9"/>
      <sheetName val="MAU_8B9"/>
      <sheetName val="MAU_99"/>
      <sheetName val="MAU_109"/>
      <sheetName val="Thép_CKN9"/>
      <sheetName val="sochitiettaikhoan_9"/>
      <sheetName val="Share_price_data9"/>
      <sheetName val="19_39"/>
      <sheetName val="20_39"/>
      <sheetName val="Chieu_4_39"/>
      <sheetName val="Cow_req9"/>
      <sheetName val="TỔNG_HỢP9"/>
      <sheetName val="14-LẦN_3-CHIỀU9"/>
      <sheetName val="14-LẦN_1-SÁNG9"/>
      <sheetName val="14-LẦN_2-TRƯA9"/>
      <sheetName val="1_3+1_4-TOTAL_-_Ko_IN9"/>
      <sheetName val="2_1-LẦN_3-CHIỀU9"/>
      <sheetName val="2_1-LẦN_1-SÁNG9"/>
      <sheetName val="2_1-LẦN_2-TRƯA9"/>
      <sheetName val="2_1-TOTAL-Ko_IN9"/>
      <sheetName val="1_3(TMR_4)9"/>
      <sheetName val="CHO_DE9"/>
      <sheetName val="1_1+1_2+2_2+2_3(TMR_3)9"/>
      <sheetName val="CK1+CK2_(VS_SAN_CHOI_23)9"/>
      <sheetName val="CK1+CK2_(2)9"/>
      <sheetName val="12-16_THÁNG9"/>
      <sheetName val="CAN_SỮA9"/>
      <sheetName val="54+55+56(SAU_CAI_SỮA-6)9"/>
      <sheetName val="BÊ_71-90_NGÀY9"/>
      <sheetName val="BÊ_12-16_tháng9"/>
      <sheetName val="BÊ_6-129"/>
      <sheetName val="BÊ_1-39"/>
      <sheetName val="F01-BC_KHAU_PHAN_SANG_20_39"/>
      <sheetName val="F01-BC_KHAU_PHAN_CHIEU_19_39"/>
      <sheetName val="dinh_mưc_cty9"/>
      <sheetName val="Giá_thành9"/>
      <sheetName val="Thong_ke9"/>
      <sheetName val="Energy_for_milk_prod9"/>
      <sheetName val="DE_NGHI_XUAT_9"/>
      <sheetName val="phieu_xuat_mau9"/>
      <sheetName val="PHIEU_XUAT_CHIEU9"/>
      <sheetName val="11_rai_them_cỏ9"/>
      <sheetName val="PHU_LUC_02-_HDSD_CAC_BIEU_MAU9"/>
      <sheetName val="PhU_LUC_01-_MA_CAC_NHOM_BO9"/>
      <sheetName val="F03-BC_THUC_TRON_SANG_20_39"/>
      <sheetName val="F03-BC_THUC_TRON_CHIEU_19_39"/>
      <sheetName val="F02-BC_THEO_DOI_THUC_AN_DU9"/>
      <sheetName val="Tham_khao-_Bao_cao_xuat_thuc_a9"/>
      <sheetName val="VC_xd7"/>
      <sheetName val="Gia_VLTB7"/>
      <sheetName val="B_Luong7"/>
      <sheetName val="C_May7"/>
      <sheetName val="Dlieu_dau_vao9"/>
      <sheetName val="Income_Statement9"/>
      <sheetName val="Shareholders'_Equity9"/>
      <sheetName val="BANCO_(2)9"/>
      <sheetName val="MT_DPin_(2)9"/>
      <sheetName val="02__PTDG9"/>
      <sheetName val="Chiết_tính9"/>
      <sheetName val="TB_NẶNG7"/>
      <sheetName val="Du_tru_CP-Bieu_017"/>
      <sheetName val="Don_gia_(khong_in)9"/>
      <sheetName val="DK1_Don_gia9"/>
      <sheetName val="1_MONG_1-29"/>
      <sheetName val="THEP_TAM7"/>
      <sheetName val="THEP_HÌNH7"/>
      <sheetName val="THEP_HINH7"/>
      <sheetName val="XA_GO7"/>
      <sheetName val="BANG_TRA7"/>
      <sheetName val="wk_prgs7"/>
      <sheetName val="Ma_don_vi7"/>
      <sheetName val="bang_cc7"/>
      <sheetName val="dm_3667"/>
      <sheetName val="DM_60607"/>
      <sheetName val="Dự_thầu7"/>
      <sheetName val="Nhap_VT_oto7"/>
      <sheetName val="Hao_phí7"/>
      <sheetName val="Structure_data7"/>
      <sheetName val="đọc_số7"/>
      <sheetName val="Bill_No_3_-_Prov__Sum_(Ph2&amp;3)7"/>
      <sheetName val="TH_TN7"/>
      <sheetName val="CP_Du_phong7"/>
      <sheetName val="THCP_Lap_dat7"/>
      <sheetName val="THCP_xay_dung7"/>
      <sheetName val="Tong_hop_kinh_phi7"/>
      <sheetName val="Dự_toán7"/>
      <sheetName val="Đơn_Giá_TH7"/>
      <sheetName val="Nhân_công7"/>
      <sheetName val="Phân_tích7"/>
      <sheetName val="C_P_Thiết_bị7"/>
      <sheetName val="T_H_Kinh_phí7"/>
      <sheetName val="Vật_tư7"/>
      <sheetName val="Trang_bìa7"/>
      <sheetName val="Don_gia_chi_tiet_DIEN_26"/>
      <sheetName val="Data_Wall7"/>
      <sheetName val="2_1Warehouse_17"/>
      <sheetName val="AG_Pipe_Qty_Analysis7"/>
      <sheetName val="Main_Bldg-Rev027"/>
      <sheetName val="D&amp;W_def_7"/>
      <sheetName val="Nhan_cong7"/>
      <sheetName val="Thiet_bi7"/>
      <sheetName val="Vat_tu7"/>
      <sheetName val="DM_ChiPhi7"/>
      <sheetName val="May_TC7"/>
      <sheetName val="TH_Kinh_phi7"/>
      <sheetName val="Ptvl_7"/>
      <sheetName val="Ｎｏ_137"/>
      <sheetName val="DGchitiet_7"/>
      <sheetName val="CP_HMC7"/>
      <sheetName val="HỆ_THỐNG_PHÒNG_CHÁY_CHỮA_CHÁY7"/>
      <sheetName val="HỆ_THỐNG_CẤP_THOÁT_NƯỚC7"/>
      <sheetName val="HỆ_THỐNG_ĐHKK7"/>
      <sheetName val="MÁY_PHÁT_ĐIỆN7"/>
      <sheetName val="HỆ_THỐNG_ĐIỆN7"/>
      <sheetName val="Thiết_bị_chính7"/>
      <sheetName val="CHI_PHI7"/>
      <sheetName val="TK_chi_tiet7"/>
      <sheetName val="Bill_2-Road_HR27"/>
      <sheetName val="Bill_3_-_Softscape_HR27"/>
      <sheetName val="CĂN_HỘ_T16-17_7"/>
      <sheetName val="TRỤC_ĐỨNG_THOÁT_BẨN_T15-177"/>
      <sheetName val="TRỤC_ĐỨNG_TM_T15-177"/>
      <sheetName val="Móng,_nền_7"/>
      <sheetName val="1_Requisition(E)7"/>
      <sheetName val="TONG_HOP7"/>
      <sheetName val="Tổng_GT7"/>
      <sheetName val="Chi_tiết_KL7"/>
      <sheetName val="khấu_trừ_phạt7"/>
      <sheetName val="GT__KHAU_TRU7"/>
      <sheetName val="HAO_HUT_VAT_TU_(2)7"/>
      <sheetName val="cao_độ7"/>
      <sheetName val="phan_tic_chi_tiet7"/>
      <sheetName val="DG_14266"/>
      <sheetName val="Theo_doi_Doanh_thu_20176"/>
      <sheetName val="KL_THEP__GIAM_DO_DUNG_COUPLER6"/>
      <sheetName val="01_KL_THÉP_NHẬP_VỀ6"/>
      <sheetName val="2__NT_VLDV6"/>
      <sheetName val="GHI_CHU6"/>
      <sheetName val="1_BB_LMHT6"/>
      <sheetName val="gui_BKCT6"/>
      <sheetName val="Gia_vat_lieu6"/>
      <sheetName val="Precios_unitarios_AXH6"/>
      <sheetName val="Chi_tiet_cong_no7"/>
      <sheetName val="PHÁT_SINH_TẦNG_1_7"/>
      <sheetName val="PHÁT_SINH_TẦNG_27"/>
      <sheetName val="Hầm_chuyển_psinh7"/>
      <sheetName val="Ống_thẳng7"/>
      <sheetName val="Côn_thu7"/>
      <sheetName val="Vuông_tròn7"/>
      <sheetName val="Chân_rẽ7"/>
      <sheetName val="Chạc_ba7"/>
      <sheetName val="MB_DT_025"/>
      <sheetName val="3__CNT6"/>
      <sheetName val="unit_price_list(M)6"/>
      <sheetName val="So_lieu_chung6"/>
      <sheetName val="TH_VL,_NC,_DDHT_Thanhphuoc6"/>
      <sheetName val="Chi_tiet_-tong_9_thang6"/>
      <sheetName val="BẢNG_ÁP_GIÁ_(in)6"/>
      <sheetName val="NT_(KL)_IN6"/>
      <sheetName val="DOM_D26"/>
      <sheetName val="nhà_ăn6"/>
      <sheetName val="Công_nhật6"/>
      <sheetName val="btkt_cột6"/>
      <sheetName val="Bê_tông_bảo_vệ6"/>
      <sheetName val="01__Data6"/>
      <sheetName val="Neo,_nối_cốt_thép_dầm,_cột6"/>
      <sheetName val="Uốn_móc_cốt_thép6"/>
      <sheetName val="Tiêu_chuẩn_cốt_thép6"/>
      <sheetName val="Doi_so6"/>
      <sheetName val="1_2_Staff_Schedule6"/>
      <sheetName val="0__Input6"/>
      <sheetName val="DANH_MỤC_HỒ_SƠ6"/>
      <sheetName val="GT_PHÁT_SINH_NGOÀI_HĐ6"/>
      <sheetName val="KL_PHÁT_SINH_6"/>
      <sheetName val="PS_NGOÀI_HĐ6"/>
      <sheetName val="GT_PHÁT_SINH_VƯỢT_HĐ6"/>
      <sheetName val="PS_TĂNG_GIẢM_TRONG_HĐ6"/>
      <sheetName val="DGCT_PHÁT_SINH6"/>
      <sheetName val="DGCT_TRẦN_NLV6"/>
      <sheetName val="DGKL_chi_tiết_NLV6"/>
      <sheetName val="DGKL_chi_tiết_NHN,NK6"/>
      <sheetName val="TG_KL6"/>
      <sheetName val="DGCT_SƠN_BẢ_TƯỜNG_NLV6"/>
      <sheetName val="DGKL_TRẦN_NHN6"/>
      <sheetName val="MTO_REV_2(ARMOR)6"/>
      <sheetName val="Cotthep_NPT6"/>
      <sheetName val="vl_nc_mtc6"/>
      <sheetName val="Heso_DZ6"/>
      <sheetName val="DM_336cai_tao6"/>
      <sheetName val="DG_BINH_THUAN6"/>
      <sheetName val="Tien_Thuong6"/>
      <sheetName val="NC_XL_6T_cuoi_01_CTy6"/>
      <sheetName val="Data_-6T_dau6"/>
      <sheetName val="Cong_6T6"/>
      <sheetName val="KL_thep_lam_sat6"/>
      <sheetName val="B3A_-_TOWER_A6"/>
      <sheetName val="Annex_B6"/>
      <sheetName val="Bill_Prelim-CDT6"/>
      <sheetName val="Bill_BPTC-CDT6"/>
      <sheetName val="Chi_tiết_BPTC6"/>
      <sheetName val="Bill_BPTC-CDT_(PA_MCT_CDT)6"/>
      <sheetName val="Chi_tiết_BPTC_(PA_MCT_CDT)6"/>
      <sheetName val="1_Civil_(Org)6"/>
      <sheetName val="DM-VNT_ko_sd6"/>
      <sheetName val="Bảng_đo_bóc_KL_OLK-096"/>
      <sheetName val="6_3_CHI_TIET_OLK-096"/>
      <sheetName val="1__Office6"/>
      <sheetName val="KHOI_LUONG15-46"/>
      <sheetName val="Tong_hop_vat_tu6"/>
      <sheetName val="1_San_6"/>
      <sheetName val="TLG_Type6"/>
      <sheetName val="Dgia_vat_tu6"/>
      <sheetName val="Don_gia_III6"/>
      <sheetName val="D÷_liÖu6"/>
      <sheetName val="Dot_46"/>
      <sheetName val="Thop_Ksat6"/>
      <sheetName val="Thu_hoi_6"/>
      <sheetName val="HM_chung6"/>
      <sheetName val="CP_xd-thiet_bi6"/>
      <sheetName val="TH-TN_LD_TB6"/>
      <sheetName val="CP_xaydung6"/>
      <sheetName val="Thao_ha_phu_kien6"/>
      <sheetName val="VL-NC-MTC_ket_cau6"/>
      <sheetName val="KHOI_LUONG_TONG6"/>
      <sheetName val="TK_22KV6"/>
      <sheetName val="DM_366-17776"/>
      <sheetName val="Thi_nhiem6"/>
      <sheetName val="Gia_goc_VT-TB6"/>
      <sheetName val="Gia_vc_den_chan_CT6"/>
      <sheetName val="culy_226"/>
      <sheetName val="Luong_20506"/>
      <sheetName val="ca_may_QN6"/>
      <sheetName val="TNHC1246_6"/>
      <sheetName val="Ca_may_TT06_20106"/>
      <sheetName val="Don_gia_VLXD_dia_phuong6"/>
      <sheetName val="Bang_luong_SCL6"/>
      <sheetName val="Dinh_muc_TN14266"/>
      <sheetName val="HRG_BHN6"/>
      <sheetName val="CĂN_ĐH6"/>
      <sheetName val="Chi_phi_van_chuyen6"/>
      <sheetName val="TH_các_CC6"/>
      <sheetName val="Div26_-_Elect6"/>
      <sheetName val="7_Khau_tru_6"/>
      <sheetName val="Q_A01_2-Sh6"/>
      <sheetName val="4_CĂN6"/>
      <sheetName val="2_CDPS6"/>
      <sheetName val="Don_gia_NC6"/>
      <sheetName val="DT_hợp_đồng5"/>
      <sheetName val="Bảng_KL_đợt_15"/>
      <sheetName val="Danh_mục5"/>
      <sheetName val="Bieu_gia_HD5"/>
      <sheetName val="Summary_Sheet5"/>
      <sheetName val="Finishing-Tower_A5"/>
      <sheetName val="Finishing-Tower_B5"/>
      <sheetName val="Finishing-Tower_C5"/>
      <sheetName val="Finishing-Tower_D5"/>
      <sheetName val="MEP-Tower_A5"/>
      <sheetName val="MEP-Tower_B5"/>
      <sheetName val="MEP-Tower_C5"/>
      <sheetName val="MEP-Tower_D5"/>
      <sheetName val="Cost_Report_Sum5"/>
      <sheetName val="Detail_Cost_Sum5"/>
      <sheetName val="RVO-VO_Sum5"/>
      <sheetName val="Potential_VOs_Sum5"/>
      <sheetName val="Cash_Flow_Sum5"/>
      <sheetName val="BTK-Dai_Hoc_Kien_Giang5"/>
      <sheetName val="PV_Graph_Data5"/>
      <sheetName val="doanh_thu5"/>
      <sheetName val="Dutoan_KL5"/>
      <sheetName val="CAP_NUOC5"/>
      <sheetName val="cấp_nước_trục_nhà_vs5"/>
      <sheetName val="THOAT_NUOC5"/>
      <sheetName val="THOAT_MUA5"/>
      <sheetName val="Cáp_phòng5"/>
      <sheetName val="TMC_ĐIỆN_Phi5"/>
      <sheetName val="TMC_Tổng5"/>
      <sheetName val="TH_Đèn_Phòng_L15"/>
      <sheetName val="TH_Đèn_Hầm_L15"/>
      <sheetName val="TỦ_MODULE_T15"/>
      <sheetName val="B-2__(DPP)6"/>
      <sheetName val="Huong_dan5"/>
      <sheetName val="gia_vt,nc,may5"/>
      <sheetName val="Financ__Overview5"/>
      <sheetName val="TINH_GIA_-_SAN_XUAT_Vertico5"/>
      <sheetName val="13_BANG_CT5"/>
      <sheetName val="14_MMUS_GIUA_NHIP5"/>
      <sheetName val="4_HSPBngang5"/>
      <sheetName val="6_Tinh_tai5"/>
      <sheetName val="2_NSl5"/>
      <sheetName val="17_US_CHU_tho_a_b5"/>
      <sheetName val="15_MMUS_GOI5"/>
      <sheetName val="DZ_22KV5"/>
      <sheetName val="Kê_0,45"/>
      <sheetName val="TH_0,45"/>
      <sheetName val="Kê_225"/>
      <sheetName val="TH_225"/>
      <sheetName val="TBA_CAI_TAO5"/>
      <sheetName val="TBA_XDM5"/>
      <sheetName val="TONG_HOP_DU_TOAN5"/>
      <sheetName val="Thop_XAY_DUNG5"/>
      <sheetName val="CP_HANG_MUC_CHUNG5"/>
      <sheetName val="CHI_PHI_XD5"/>
      <sheetName val="CHI_PHI_THI_NGHIEM5"/>
      <sheetName val="VLDIEN_225"/>
      <sheetName val="Dao_dat5"/>
      <sheetName val="TH_Denbu5"/>
      <sheetName val="Do_ve_DC5"/>
      <sheetName val="TH_Bommin5"/>
      <sheetName val="CHI_PHI_THI_NGHIEM-LD_thiet_bi5"/>
      <sheetName val="Luong_TT015"/>
      <sheetName val="Camay_QB5"/>
      <sheetName val="gia_ca_may_BXD5"/>
      <sheetName val="BANG_LUONG_KY_SU5"/>
      <sheetName val="Bang_luong_NHOM_I5"/>
      <sheetName val="Bangluong_NHOM_II_5"/>
      <sheetName val="09-GIA_nhien_lieu-ko_in5"/>
      <sheetName val="Tinh_V_cot_chiem_cho5"/>
      <sheetName val="ĐM_13545"/>
      <sheetName val="KHOAN_MAU5"/>
      <sheetName val="ĐO_ĐỊA_VẬT_LÝ5"/>
      <sheetName val="khoan_tiep_dia5"/>
      <sheetName val="Tổng_hợp_KPHM5"/>
      <sheetName val="Dinh_muc5"/>
      <sheetName val="GIÁ_DỰ_THẦU_30_CĂN5"/>
      <sheetName val="5_2_1_Đo_bóc_KL_OLK-065"/>
      <sheetName val="KS_tuyen5"/>
      <sheetName val="Bang_chiet_tinh_TBA5"/>
      <sheetName val="4_2_1_Đo_bóc_KL_OLK-065"/>
      <sheetName val="4_1_1_CHI_TIET_OLK-065"/>
      <sheetName val="DG_Chi_tiet5"/>
      <sheetName val="_1710_HOINGHINLD5"/>
      <sheetName val="99_(2)5"/>
      <sheetName val="134_5"/>
      <sheetName val="DG_49705"/>
      <sheetName val="Cash_Flow5"/>
      <sheetName val="BU_LONG5"/>
      <sheetName val="DT__NHA_XUONG5"/>
      <sheetName val="EQUIP_LIST5"/>
      <sheetName val="THONG_SO5"/>
      <sheetName val="Đơn_giá_chi_tiết_TN_395"/>
      <sheetName val="HERD_MOVEMENTFARM17"/>
      <sheetName val="HERD_MOVEMENTFARM27"/>
      <sheetName val="CALVES_2-47"/>
      <sheetName val="Cavles_2-47"/>
      <sheetName val="CALVES_4-77"/>
      <sheetName val="HEIFER_7-12m7"/>
      <sheetName val="HEIFER_12+7"/>
      <sheetName val="FRESH_COW_2017-187"/>
      <sheetName val="HP_COW_20187"/>
      <sheetName val="LP_COW_2017-187"/>
      <sheetName val="DRY_COW7"/>
      <sheetName val="FIELD_CROPS7"/>
      <sheetName val="So_sanh5"/>
      <sheetName val="Electrical_Works5"/>
      <sheetName val="H_T__INCOMING_SYSTEM5"/>
      <sheetName val="Tính_giá_NC5"/>
      <sheetName val="Tiên_lượng5"/>
      <sheetName val="SL_cước5"/>
      <sheetName val="¥_5"/>
      <sheetName val="Gia_VT-TB5"/>
      <sheetName val="noi_suy_xa5"/>
      <sheetName val="noi_suy_xa_thu_hoi5"/>
      <sheetName val="Thuyết_minh5"/>
      <sheetName val="Đơn_giá_máy5"/>
      <sheetName val="Tong_DT4"/>
      <sheetName val="phan_tich_don_gia4"/>
      <sheetName val="Bill_No_1_65"/>
      <sheetName val="Bill_No_1_105"/>
      <sheetName val="Bill_No_3_35"/>
      <sheetName val="Bill_No_1_45"/>
      <sheetName val="Bill_No_1_75"/>
      <sheetName val="Summary_Bill_No__35"/>
      <sheetName val="DT_san_XD-So_lieu_cu4"/>
      <sheetName val="FF-2_(1)4"/>
      <sheetName val="Labour_Summary17"/>
      <sheetName val="YTD_12'20034"/>
      <sheetName val="YTD_06'20034"/>
      <sheetName val="YTD_03'20034"/>
      <sheetName val="YTD_09'20034"/>
      <sheetName val="deferred_taxes4"/>
      <sheetName val="Eqpmnt_Plng4"/>
      <sheetName val="TRIAL_BALANCE4"/>
      <sheetName val="DPR_31st_march4"/>
      <sheetName val="current_month4"/>
      <sheetName val="Blng__Vs_Coll_4"/>
      <sheetName val="Unit_price4"/>
      <sheetName val="Bán_đợt_1_trang4"/>
      <sheetName val="Chiet_tinh_dz354"/>
      <sheetName val="3__KC_-_PODIUM4"/>
      <sheetName val="CTDZ6kv_(gd1)_4"/>
      <sheetName val="CTDZ_0_4+cto_(GD1)4"/>
      <sheetName val="CTTBA_(gd1)4"/>
      <sheetName val="03_Detailed4"/>
      <sheetName val="01_Bid_Price_summary4"/>
      <sheetName val="Home_Office_Manhours4"/>
      <sheetName val="Field_SPV_Barchart4"/>
      <sheetName val="Tien_Luong4"/>
      <sheetName val="Unit_price(Updateting)4"/>
      <sheetName val="Cost_List4"/>
      <sheetName val="Detail_Cost4"/>
      <sheetName val="IC_Price_New4"/>
      <sheetName val="Summary_Table4"/>
      <sheetName val="Sales_Person4"/>
      <sheetName val="Bidding_Entity4"/>
      <sheetName val="CHITIET_VL-NCHT1_(2)4"/>
      <sheetName val="Bù_giá_CM4"/>
      <sheetName val="Breakdown_(B)4"/>
      <sheetName val="U_P_Breakdown4"/>
      <sheetName val="IMF_Code4"/>
      <sheetName val="Subsidiary_Calculation4"/>
      <sheetName val="Phu_Bai_Bridge4"/>
      <sheetName val="5_2_1_Đo_bóc_KL_OLK-104"/>
      <sheetName val="BẢNG_DIỄN_GIẢI_KL_(7)4"/>
      <sheetName val="don_gia_14264"/>
      <sheetName val="Luong_BN4"/>
      <sheetName val="Luong_TB4"/>
      <sheetName val="Ca_may_TB4"/>
      <sheetName val="Ca_máy_BN4"/>
      <sheetName val="Vật_liệu4"/>
      <sheetName val="LX_-TT054"/>
      <sheetName val="NC_Moi_TT054"/>
      <sheetName val="Bia_lot4"/>
      <sheetName val="PU_ITALY_27"/>
      <sheetName val="TH_DZ3515"/>
      <sheetName val="Tro_giup26"/>
      <sheetName val="RAB_AR&amp;STR13"/>
      <sheetName val="chi_tiet_TBA13"/>
      <sheetName val="chi_tiet_C13"/>
      <sheetName val="Customize_Your_Purchase_Order13"/>
      <sheetName val="CHITIET_VL-NC-TT_-1p13"/>
      <sheetName val="CHITIET_VL-NC-TT-3p12"/>
      <sheetName val="TONG_HOP_VL-NC_TT13"/>
      <sheetName val="KPVC-BD_13"/>
      <sheetName val="Don_gia13"/>
      <sheetName val="DON_GIA_TRAM_(3)13"/>
      <sheetName val="DON_GIA_CAN_THO15"/>
      <sheetName val="Don_gia_chi_tiet13"/>
      <sheetName val="HĐ_ngoài12"/>
      <sheetName val="XT_Buoc_312"/>
      <sheetName val="dongia_(2)12"/>
      <sheetName val="7606_DZ13"/>
      <sheetName val="project_management12"/>
      <sheetName val="Adix_A12"/>
      <sheetName val="S-curve_12"/>
      <sheetName val="REINF_12"/>
      <sheetName val="Rates_200912"/>
      <sheetName val="So_doi_chieu_LC12"/>
      <sheetName val="MAIN_GATE_HOUSE12"/>
      <sheetName val="Commercial_value12"/>
      <sheetName val="Du_toan12"/>
      <sheetName val="Ky_Lam_Bridge12"/>
      <sheetName val="Provisional_Sums_Item12"/>
      <sheetName val="Gas_Pressure_Welding12"/>
      <sheetName val="General_Item&amp;General_Requirem12"/>
      <sheetName val="General_Items12"/>
      <sheetName val="Regenral_Requirements12"/>
      <sheetName val="chiet_tinh12"/>
      <sheetName val="Ng_hàng_xà+bulong12"/>
      <sheetName val="MH_RATE12"/>
      <sheetName val="TONG_HOP_VL-NC12"/>
      <sheetName val="Bang_KL12"/>
      <sheetName val="Đầu_vào11"/>
      <sheetName val="Lcau_-_Lxuc12"/>
      <sheetName val="Chi_tiet_XD_TBA11"/>
      <sheetName val="DM_606112"/>
      <sheetName val="DG_thep_ma_kem12"/>
      <sheetName val="CT_vat_lieu12"/>
      <sheetName val="Equip_11"/>
      <sheetName val="A1_CN11"/>
      <sheetName val="TONG_HOP_T5_199811"/>
      <sheetName val="Chenh_lech_vat_tu11"/>
      <sheetName val="Trạm_biến_áp11"/>
      <sheetName val="Đơn_Giá_11"/>
      <sheetName val="Diện_tích11"/>
      <sheetName val="1_Khái_toán11"/>
      <sheetName val="CT-0_4KV11"/>
      <sheetName val="DG_DZ12"/>
      <sheetName val="DG_TBA12"/>
      <sheetName val="rate_material11"/>
      <sheetName val="KL_Chi_tiết_Xây_tô11"/>
      <sheetName val="07Base_Cost11"/>
      <sheetName val="GV1-D13_(Casement_door)11"/>
      <sheetName val="Bill_1_Quy_dinh_chung11"/>
      <sheetName val="1_R18_BF11"/>
      <sheetName val="6_External_works-R1811"/>
      <sheetName val="Phan_khai_KLuong11"/>
      <sheetName val="Chi_tiet_KL11"/>
      <sheetName val="Tổng_hợp_KL11"/>
      <sheetName val="04_-_XUONG_DET_B11"/>
      <sheetName val="_0311"/>
      <sheetName val="chieu_day_san11"/>
      <sheetName val="Podium_Concrete_Works11"/>
      <sheetName val="KLCT-_TOWER11"/>
      <sheetName val="KLCT-_PODIUM11"/>
      <sheetName val="Area_Cal11"/>
      <sheetName val="Gia_thanh_chuoi_su11"/>
      <sheetName val="Tiep_dia11"/>
      <sheetName val="Don_gia_vung_III-Can_Tho11"/>
      <sheetName val="Loại_Vật_tư11"/>
      <sheetName val="Elect_(3)11"/>
      <sheetName val="plan&amp;section_of_foundation11"/>
      <sheetName val="design_criteria11"/>
      <sheetName val="Bond_수수료_계산_포맷11"/>
      <sheetName val="ITB_COST11"/>
      <sheetName val="PAGE_111"/>
      <sheetName val="Xay_lapduongR311"/>
      <sheetName val="DM_6711"/>
      <sheetName val="Project_Data11"/>
      <sheetName val="6787CWFASE2CASE2_00_xls11"/>
      <sheetName val="Đầu_tư11"/>
      <sheetName val="EIRR&gt;_211"/>
      <sheetName val="Bill_02_-_Xay_gach-Pou_11"/>
      <sheetName val="Bill_03-Chống_thấm-Pou11"/>
      <sheetName val="Bill_04-Kim_loại-Pou11"/>
      <sheetName val="Bill_05_-_Hoan_thien-Pou_11"/>
      <sheetName val="Bill_02_-_Xay_gach-Tower11"/>
      <sheetName val="Bill_03-Chống_thấm-Tower11"/>
      <sheetName val="Bill_04-Kim_loại-Tower11"/>
      <sheetName val="Bill_05_-_Hoan_thien-Tower11"/>
      <sheetName val="KL-_KHAC11"/>
      <sheetName val="BILL_3_-_KẾT_CẤU_HẦM11"/>
      <sheetName val="PTĐG_LTBT11"/>
      <sheetName val="CTG-PRECHEx1_411"/>
      <sheetName val="CTG-AB_(2)11"/>
      <sheetName val="CTG-AB_(3)11"/>
      <sheetName val="CTG-PLP-1_0811"/>
      <sheetName val="Pre_Đội_nhóm11"/>
      <sheetName val="Vat_tu_XD11"/>
      <sheetName val="Tower_-_Concrete_Works11"/>
      <sheetName val="Bill-04_ket_cau_thap-_UNI11"/>
      <sheetName val="dg_tphcm11"/>
      <sheetName val="T_KÊ_K_CẤU11"/>
      <sheetName val="gia_cong_tac11"/>
      <sheetName val="4_PTDG11"/>
      <sheetName val="A1,_May11"/>
      <sheetName val="Vat_lieu11"/>
      <sheetName val="Data_Input12"/>
      <sheetName val="Measure_130611"/>
      <sheetName val="HÐ_ngoài12"/>
      <sheetName val="6PILE__(돌출)11"/>
      <sheetName val="Door_and_window6"/>
      <sheetName val="Bill_01_-_CTN11"/>
      <sheetName val="Bill_2_2_Villa_2_beds11"/>
      <sheetName val="Analisa_Gabungan11"/>
      <sheetName val="Isolasi_Luar_Dalam11"/>
      <sheetName val="Isolasi_Luar11"/>
      <sheetName val="Harga_ME_11"/>
      <sheetName val="TH_N_Cong11"/>
      <sheetName val="ESTI_11"/>
      <sheetName val="KL_san_lap11"/>
      <sheetName val="TH_Vat_tu11"/>
      <sheetName val="_Bill_5-Earthing_2_-_Add_Work11"/>
      <sheetName val="Chenh_lech_ca_may11"/>
      <sheetName val="TLg_CN&amp;Laixe11"/>
      <sheetName val="TLg_CN&amp;Laixe_(2)11"/>
      <sheetName val="TLg_Laitau11"/>
      <sheetName val="TLg_Laitau_(2)11"/>
      <sheetName val="Bang_trong_luong_rieng_thep11"/>
      <sheetName val="Cước_VC_+_ĐM_CP_Tư_vấn11"/>
      <sheetName val="Hệ_số11"/>
      <sheetName val="DETAIL_11"/>
      <sheetName val="final_list_200527"/>
      <sheetName val="LV_data11"/>
      <sheetName val="Gia_vat_tu11"/>
      <sheetName val="CẤP_THOÁT_NƯỚC11"/>
      <sheetName val="THDT_goi_thau_TB11"/>
      <sheetName val="Tien_do_TV11"/>
      <sheetName val="bridge_#_111"/>
      <sheetName val="Bang_3_Chi_tiet_phan_Dz11"/>
      <sheetName val="KHOI_LUONG11"/>
      <sheetName val="TH_MTC11"/>
      <sheetName val="CTKL_KTX_HT10"/>
      <sheetName val="Buy_vs__Lease_Car11"/>
      <sheetName val="DATA_BASE11"/>
      <sheetName val="Equipment_list_(PAC)11"/>
      <sheetName val="TINH_KHOI_LUONG11"/>
      <sheetName val="Chi_tiet11"/>
      <sheetName val="subcon_sched11"/>
      <sheetName val="NHÀ_NHẬP_LIỆU10"/>
      <sheetName val="MÓNG_SILO10"/>
      <sheetName val="PRE_(E)11"/>
      <sheetName val="HVAC_BLOCK_B411"/>
      <sheetName val="2_Chiet_tinh10"/>
      <sheetName val="BẢNG_KHỐI_LƯỢNG_TỔNG_HỢP10"/>
      <sheetName val="CP_Khac_cuoc_VC10"/>
      <sheetName val="Budget_Code10"/>
      <sheetName val="Tong_du_toan10"/>
      <sheetName val="Bill_2_-_ketcau10"/>
      <sheetName val="Chi_tiet_lan_can10"/>
      <sheetName val="sochitiettaikhoan_10"/>
      <sheetName val="Share_price_data10"/>
      <sheetName val="19_310"/>
      <sheetName val="20_310"/>
      <sheetName val="Chieu_4_310"/>
      <sheetName val="Cow_req10"/>
      <sheetName val="TỔNG_HỢP10"/>
      <sheetName val="14-LẦN_3-CHIỀU10"/>
      <sheetName val="14-LẦN_1-SÁNG10"/>
      <sheetName val="14-LẦN_2-TRƯA10"/>
      <sheetName val="1_3+1_4-TOTAL_-_Ko_IN10"/>
      <sheetName val="2_1-LẦN_3-CHIỀU10"/>
      <sheetName val="2_1-LẦN_1-SÁNG10"/>
      <sheetName val="2_1-LẦN_2-TRƯA10"/>
      <sheetName val="2_1-TOTAL-Ko_IN10"/>
      <sheetName val="1_3(TMR_4)10"/>
      <sheetName val="CHO_DE10"/>
      <sheetName val="1_1+1_2+2_2+2_3(TMR_3)10"/>
      <sheetName val="CK1+CK2_(VS_SAN_CHOI_23)10"/>
      <sheetName val="CK1+CK2_(2)10"/>
      <sheetName val="12-16_THÁNG10"/>
      <sheetName val="CAN_SỮA10"/>
      <sheetName val="54+55+56(SAU_CAI_SỮA-6)10"/>
      <sheetName val="BÊ_71-90_NGÀY10"/>
      <sheetName val="BÊ_12-16_tháng10"/>
      <sheetName val="BÊ_6-1210"/>
      <sheetName val="BÊ_1-310"/>
      <sheetName val="F01-BC_KHAU_PHAN_SANG_20_310"/>
      <sheetName val="F01-BC_KHAU_PHAN_CHIEU_19_310"/>
      <sheetName val="dinh_mưc_cty10"/>
      <sheetName val="Giá_thành10"/>
      <sheetName val="Thong_ke10"/>
      <sheetName val="Energy_for_milk_prod10"/>
      <sheetName val="DE_NGHI_XUAT_10"/>
      <sheetName val="phieu_xuat_mau10"/>
      <sheetName val="PHIEU_XUAT_CHIEU10"/>
      <sheetName val="11_rai_them_cỏ10"/>
      <sheetName val="PHU_LUC_02-_HDSD_CAC_BIEU_MAU10"/>
      <sheetName val="PhU_LUC_01-_MA_CAC_NHOM_BO10"/>
      <sheetName val="F03-BC_THUC_TRON_SANG_20_310"/>
      <sheetName val="F03-BC_THUC_TRON_CHIEU_19_310"/>
      <sheetName val="F02-BC_THEO_DOI_THUC_AN_DU10"/>
      <sheetName val="Tham_khao-_Bao_cao_xuat_thuc_10"/>
      <sheetName val="13-Cốt_thép_(10mm&lt;D≤18mm)_FO110"/>
      <sheetName val="du_lieu_du_toan10"/>
      <sheetName val="BANCO_(2)10"/>
      <sheetName val="MT_DPin_(2)10"/>
      <sheetName val="BOQ_THAN10"/>
      <sheetName val="DL_ĐẦU_VÀO10"/>
      <sheetName val="D_&amp;_W_sizes10"/>
      <sheetName val="Analisa_&amp;_Upah10"/>
      <sheetName val="Purchase_Order10"/>
      <sheetName val="Du_lieu11"/>
      <sheetName val="Phan_tich10"/>
      <sheetName val="Luong_NII10"/>
      <sheetName val="DINH_MUC_THI_NGHIEM10"/>
      <sheetName val="Luong_NI10"/>
      <sheetName val="CT_Thang_Mo10"/>
      <sheetName val="CT__PL10"/>
      <sheetName val="dongia__2_10"/>
      <sheetName val="Thép_CKN10"/>
      <sheetName val="GOC-KO_IN10"/>
      <sheetName val="MAU_8A10"/>
      <sheetName val="MAU_8B10"/>
      <sheetName val="MAU_910"/>
      <sheetName val="MAU_1010"/>
      <sheetName val="cash_budget10"/>
      <sheetName val="Dlieu_dau_vao10"/>
      <sheetName val="CHI_PHI8"/>
      <sheetName val="02__PTDG10"/>
      <sheetName val="Chiết_tính10"/>
      <sheetName val="DK1_Don_gia10"/>
      <sheetName val="Income_Statement10"/>
      <sheetName val="Shareholders'_Equity10"/>
      <sheetName val="VC_xd8"/>
      <sheetName val="Gia_VLTB8"/>
      <sheetName val="B_Luong8"/>
      <sheetName val="C_May8"/>
      <sheetName val="Don_gia_(khong_in)10"/>
      <sheetName val="1_MONG_1-210"/>
      <sheetName val="TB_NẶNG8"/>
      <sheetName val="Du_tru_CP-Bieu_018"/>
      <sheetName val="dm_3668"/>
      <sheetName val="DM_60608"/>
      <sheetName val="Dự_thầu8"/>
      <sheetName val="Nhap_VT_oto8"/>
      <sheetName val="Hao_phí8"/>
      <sheetName val="Ma_don_vi8"/>
      <sheetName val="bang_cc8"/>
      <sheetName val="Structure_data8"/>
      <sheetName val="TH_TN8"/>
      <sheetName val="Bill_No_3_-_Prov__Sum_(Ph2&amp;3)8"/>
      <sheetName val="đọc_số8"/>
      <sheetName val="CP_Du_phong8"/>
      <sheetName val="THCP_Lap_dat8"/>
      <sheetName val="THCP_xay_dung8"/>
      <sheetName val="Tong_hop_kinh_phi8"/>
      <sheetName val="CP_HMC8"/>
      <sheetName val="HỆ_THỐNG_PHÒNG_CHÁY_CHỮA_CHÁY8"/>
      <sheetName val="HỆ_THỐNG_CẤP_THOÁT_NƯỚC8"/>
      <sheetName val="HỆ_THỐNG_ĐHKK8"/>
      <sheetName val="MÁY_PHÁT_ĐIỆN8"/>
      <sheetName val="HỆ_THỐNG_ĐIỆN8"/>
      <sheetName val="Thiết_bị_chính8"/>
      <sheetName val="Ｎｏ_138"/>
      <sheetName val="DGchitiet_8"/>
      <sheetName val="wk_prgs8"/>
      <sheetName val="AG_Pipe_Qty_Analysis8"/>
      <sheetName val="2_1Warehouse_18"/>
      <sheetName val="CĂN_HỘ_T16-17_8"/>
      <sheetName val="TRỤC_ĐỨNG_THOÁT_BẨN_T15-178"/>
      <sheetName val="TRỤC_ĐỨNG_TM_T15-178"/>
      <sheetName val="TK_chi_tiet8"/>
      <sheetName val="Bill_2-Road_HR28"/>
      <sheetName val="Bill_3_-_Softscape_HR28"/>
      <sheetName val="THEP_TAM8"/>
      <sheetName val="THEP_HÌNH8"/>
      <sheetName val="THEP_HINH8"/>
      <sheetName val="XA_GO8"/>
      <sheetName val="BANG_TRA8"/>
      <sheetName val="Main_Bldg-Rev028"/>
      <sheetName val="D&amp;W_def_8"/>
      <sheetName val="Nhan_cong8"/>
      <sheetName val="Thiet_bi8"/>
      <sheetName val="Vat_tu8"/>
      <sheetName val="DM_ChiPhi8"/>
      <sheetName val="May_TC8"/>
      <sheetName val="TH_Kinh_phi8"/>
      <sheetName val="Ptvl_8"/>
      <sheetName val="Móng,_nền_8"/>
      <sheetName val="1_Requisition(E)8"/>
      <sheetName val="So_lieu_chung7"/>
      <sheetName val="Q_A01_2-Sh7"/>
      <sheetName val="DG_14267"/>
      <sheetName val="Dự_toán8"/>
      <sheetName val="Đơn_Giá_TH8"/>
      <sheetName val="Nhân_công8"/>
      <sheetName val="Phân_tích8"/>
      <sheetName val="C_P_Thiết_bị8"/>
      <sheetName val="T_H_Kinh_phí8"/>
      <sheetName val="Vật_tư8"/>
      <sheetName val="Trang_bìa8"/>
      <sheetName val="phan_tic_chi_tiet8"/>
      <sheetName val="TONG_HOP8"/>
      <sheetName val="Tổng_GT8"/>
      <sheetName val="Chi_tiết_KL8"/>
      <sheetName val="khấu_trừ_phạt8"/>
      <sheetName val="GT__KHAU_TRU8"/>
      <sheetName val="HAO_HUT_VAT_TU_(2)8"/>
      <sheetName val="cao_độ8"/>
      <sheetName val="Data_Wall8"/>
      <sheetName val="3__CNT7"/>
      <sheetName val="unit_price_list(M)7"/>
      <sheetName val="Theo_doi_Doanh_thu_20177"/>
      <sheetName val="Gia_vat_lieu7"/>
      <sheetName val="gui_BKCT7"/>
      <sheetName val="Precios_unitarios_AXH7"/>
      <sheetName val="Chi_tiet_cong_no8"/>
      <sheetName val="PHÁT_SINH_TẦNG_1_8"/>
      <sheetName val="PHÁT_SINH_TẦNG_28"/>
      <sheetName val="Hầm_chuyển_psinh8"/>
      <sheetName val="Ống_thẳng8"/>
      <sheetName val="Côn_thu8"/>
      <sheetName val="Vuông_tròn8"/>
      <sheetName val="Chân_rẽ8"/>
      <sheetName val="Chạc_ba8"/>
      <sheetName val="Danh_mục6"/>
      <sheetName val="PV_Graph_Data6"/>
      <sheetName val="1_2_Staff_Schedule7"/>
      <sheetName val="BẢNG_ÁP_GIÁ_(in)7"/>
      <sheetName val="NT_(KL)_IN7"/>
      <sheetName val="DOM_D27"/>
      <sheetName val="nhà_ăn7"/>
      <sheetName val="Công_nhật7"/>
      <sheetName val="btkt_cột7"/>
      <sheetName val="Bảng_đo_bóc_KL_OLK-097"/>
      <sheetName val="6_3_CHI_TIET_OLK-097"/>
      <sheetName val="BTK-Dai_Hoc_Kien_Giang6"/>
      <sheetName val="0__Input7"/>
      <sheetName val="TH_các_CC7"/>
      <sheetName val="Don_gia_chi_tiet_DIEN_27"/>
      <sheetName val="Chi_tiet_-tong_9_thang7"/>
      <sheetName val="TH_VL,_NC,_DDHT_Thanhphuoc7"/>
      <sheetName val="1__Office7"/>
      <sheetName val="KL_THEP__GIAM_DO_DUNG_COUPLER7"/>
      <sheetName val="01_KL_THÉP_NHẬP_VỀ7"/>
      <sheetName val="2__NT_VLDV7"/>
      <sheetName val="GHI_CHU7"/>
      <sheetName val="1_BB_LMHT7"/>
      <sheetName val="Bê_tông_bảo_vệ7"/>
      <sheetName val="01__Data7"/>
      <sheetName val="Neo,_nối_cốt_thép_dầm,_cột7"/>
      <sheetName val="Uốn_móc_cốt_thép7"/>
      <sheetName val="Tiêu_chuẩn_cốt_thép7"/>
      <sheetName val="Doi_so7"/>
      <sheetName val="1_Civil_(Org)7"/>
      <sheetName val="Bill_Prelim-CDT7"/>
      <sheetName val="Bill_BPTC-CDT7"/>
      <sheetName val="Chi_tiết_BPTC7"/>
      <sheetName val="Bill_BPTC-CDT_(PA_MCT_CDT)7"/>
      <sheetName val="Chi_tiết_BPTC_(PA_MCT_CDT)7"/>
      <sheetName val="Thop_Ksat7"/>
      <sheetName val="Thu_hoi_7"/>
      <sheetName val="HM_chung7"/>
      <sheetName val="CP_xd-thiet_bi7"/>
      <sheetName val="TH-TN_LD_TB7"/>
      <sheetName val="CP_xaydung7"/>
      <sheetName val="Thao_ha_phu_kien7"/>
      <sheetName val="VL-NC-MTC_ket_cau7"/>
      <sheetName val="KHOI_LUONG_TONG7"/>
      <sheetName val="TK_22KV7"/>
      <sheetName val="DM_366-17777"/>
      <sheetName val="Thi_nhiem7"/>
      <sheetName val="Gia_goc_VT-TB7"/>
      <sheetName val="Gia_vc_den_chan_CT7"/>
      <sheetName val="culy_227"/>
      <sheetName val="Luong_20507"/>
      <sheetName val="ca_may_QN7"/>
      <sheetName val="TNHC1246_7"/>
      <sheetName val="Ca_may_TT06_20107"/>
      <sheetName val="Don_gia_VLXD_dia_phuong7"/>
      <sheetName val="Bang_luong_SCL7"/>
      <sheetName val="Dinh_muc_TN14267"/>
      <sheetName val="DM_336cai_tao7"/>
      <sheetName val="MTO_REV_2(ARMOR)7"/>
      <sheetName val="Dutoan_KL6"/>
      <sheetName val="doanh_thu6"/>
      <sheetName val="KHOI_LUONG15-47"/>
      <sheetName val="DANH_MỤC_HỒ_SƠ7"/>
      <sheetName val="GT_PHÁT_SINH_NGOÀI_HĐ7"/>
      <sheetName val="KL_PHÁT_SINH_7"/>
      <sheetName val="PS_NGOÀI_HĐ7"/>
      <sheetName val="GT_PHÁT_SINH_VƯỢT_HĐ7"/>
      <sheetName val="PS_TĂNG_GIẢM_TRONG_HĐ7"/>
      <sheetName val="DGCT_PHÁT_SINH7"/>
      <sheetName val="DGCT_TRẦN_NLV7"/>
      <sheetName val="DGKL_chi_tiết_NLV7"/>
      <sheetName val="DGKL_chi_tiết_NHN,NK7"/>
      <sheetName val="TG_KL7"/>
      <sheetName val="DGCT_SƠN_BẢ_TƯỜNG_NLV7"/>
      <sheetName val="DGKL_TRẦN_NHN7"/>
      <sheetName val="KL_thep_lam_sat7"/>
      <sheetName val="DM-VNT_ko_sd7"/>
      <sheetName val="B3A_-_TOWER_A7"/>
      <sheetName val="Annex_B7"/>
      <sheetName val="Cotthep_NPT7"/>
      <sheetName val="vl_nc_mtc7"/>
      <sheetName val="Tien_Thuong7"/>
      <sheetName val="NC_XL_6T_cuoi_01_CTy7"/>
      <sheetName val="Data_-6T_dau7"/>
      <sheetName val="Cong_6T7"/>
      <sheetName val="TLG_Type7"/>
      <sheetName val="Tong_hop_vat_tu7"/>
      <sheetName val="1_San_7"/>
      <sheetName val="Dot_47"/>
      <sheetName val="HRG_BHN7"/>
      <sheetName val="CĂN_ĐH7"/>
      <sheetName val="Chi_phi_van_chuyen7"/>
      <sheetName val="Dgia_vat_tu7"/>
      <sheetName val="Don_gia_III7"/>
      <sheetName val="D÷_liÖu7"/>
      <sheetName val="DT_hợp_đồng6"/>
      <sheetName val="Bảng_KL_đợt_16"/>
      <sheetName val="2_CDPS7"/>
      <sheetName val="Summary_Sheet6"/>
      <sheetName val="Finishing-Tower_A6"/>
      <sheetName val="Finishing-Tower_B6"/>
      <sheetName val="Finishing-Tower_C6"/>
      <sheetName val="Finishing-Tower_D6"/>
      <sheetName val="MEP-Tower_A6"/>
      <sheetName val="MEP-Tower_B6"/>
      <sheetName val="MEP-Tower_C6"/>
      <sheetName val="MEP-Tower_D6"/>
      <sheetName val="Cost_Report_Sum6"/>
      <sheetName val="Detail_Cost_Sum6"/>
      <sheetName val="RVO-VO_Sum6"/>
      <sheetName val="Potential_VOs_Sum6"/>
      <sheetName val="Cash_Flow_Sum6"/>
      <sheetName val="Heso_DZ7"/>
      <sheetName val="Bieu_gia_HD6"/>
      <sheetName val="Div26_-_Elect7"/>
      <sheetName val="7_Khau_tru_7"/>
      <sheetName val="4_CĂN7"/>
      <sheetName val="DG_BINH_THUAN7"/>
      <sheetName val="GIÁ_DỰ_THẦU_30_CĂN6"/>
      <sheetName val="DG_Chi_tiet6"/>
      <sheetName val="Kê_0,46"/>
      <sheetName val="TH_0,46"/>
      <sheetName val="Kê_226"/>
      <sheetName val="TH_226"/>
      <sheetName val="TBA_CAI_TAO6"/>
      <sheetName val="TBA_XDM6"/>
      <sheetName val="TONG_HOP_DU_TOAN6"/>
      <sheetName val="Thop_XAY_DUNG6"/>
      <sheetName val="CP_HANG_MUC_CHUNG6"/>
      <sheetName val="CHI_PHI_XD6"/>
      <sheetName val="CHI_PHI_THI_NGHIEM6"/>
      <sheetName val="VLDIEN_226"/>
      <sheetName val="Dao_dat6"/>
      <sheetName val="TH_Denbu6"/>
      <sheetName val="Do_ve_DC6"/>
      <sheetName val="TH_Bommin6"/>
      <sheetName val="CHI_PHI_THI_NGHIEM-LD_thiet_bi6"/>
      <sheetName val="Luong_TT016"/>
      <sheetName val="Camay_QB6"/>
      <sheetName val="gia_ca_may_BXD6"/>
      <sheetName val="BANG_LUONG_KY_SU6"/>
      <sheetName val="Bang_luong_NHOM_I6"/>
      <sheetName val="Bangluong_NHOM_II_6"/>
      <sheetName val="09-GIA_nhien_lieu-ko_in6"/>
      <sheetName val="Tinh_V_cot_chiem_cho6"/>
      <sheetName val="ĐM_13546"/>
      <sheetName val="KHOAN_MAU6"/>
      <sheetName val="ĐO_ĐỊA_VẬT_LÝ6"/>
      <sheetName val="khoan_tiep_dia6"/>
      <sheetName val="DZ_22KV6"/>
      <sheetName val="_1710_HOINGHINLD6"/>
      <sheetName val="99_(2)6"/>
      <sheetName val="134_6"/>
      <sheetName val="DG_49706"/>
      <sheetName val="Don_gia_NC7"/>
      <sheetName val="B-2__(DPP)7"/>
      <sheetName val="CAP_NUOC6"/>
      <sheetName val="cấp_nước_trục_nhà_vs6"/>
      <sheetName val="THOAT_NUOC6"/>
      <sheetName val="THOAT_MUA6"/>
      <sheetName val="Cáp_phòng6"/>
      <sheetName val="TMC_ĐIỆN_Phi6"/>
      <sheetName val="TMC_Tổng6"/>
      <sheetName val="TH_Đèn_Phòng_L16"/>
      <sheetName val="TH_Đèn_Hầm_L16"/>
      <sheetName val="TỦ_MODULE_T16"/>
      <sheetName val="Financ__Overview6"/>
      <sheetName val="13_BANG_CT6"/>
      <sheetName val="14_MMUS_GIUA_NHIP6"/>
      <sheetName val="4_HSPBngang6"/>
      <sheetName val="6_Tinh_tai6"/>
      <sheetName val="2_NSl6"/>
      <sheetName val="17_US_CHU_tho_a_b6"/>
      <sheetName val="15_MMUS_GOI6"/>
      <sheetName val="TINH_GIA_-_SAN_XUAT_Vertico6"/>
      <sheetName val="gia_vt,nc,may6"/>
      <sheetName val="Huong_dan6"/>
      <sheetName val="Tổng_hợp_KPHM6"/>
      <sheetName val="5_2_1_Đo_bóc_KL_OLK-066"/>
      <sheetName val="MB_DT_026"/>
      <sheetName val="Dinh_muc6"/>
      <sheetName val="KS_tuyen6"/>
      <sheetName val="Bang_chiet_tinh_TBA6"/>
      <sheetName val="4_2_1_Đo_bóc_KL_OLK-066"/>
      <sheetName val="4_1_1_CHI_TIET_OLK-066"/>
      <sheetName val="Cash_Flow6"/>
      <sheetName val="So_sanh6"/>
      <sheetName val="HERD_MOVEMENTFARM18"/>
      <sheetName val="HERD_MOVEMENTFARM28"/>
      <sheetName val="CALVES_2-48"/>
      <sheetName val="Cavles_2-48"/>
      <sheetName val="CALVES_4-78"/>
      <sheetName val="HEIFER_7-12m8"/>
      <sheetName val="HEIFER_12+8"/>
      <sheetName val="FRESH_COW_2017-188"/>
      <sheetName val="HP_COW_20188"/>
      <sheetName val="LP_COW_2017-188"/>
      <sheetName val="DRY_COW8"/>
      <sheetName val="FIELD_CROPS8"/>
      <sheetName val="Tong_DT5"/>
      <sheetName val="phan_tich_don_gia5"/>
      <sheetName val="DT_san_XD-So_lieu_cu5"/>
      <sheetName val="EQUIP_LIST6"/>
      <sheetName val="Electrical_Works6"/>
      <sheetName val="H_T__INCOMING_SYSTEM6"/>
      <sheetName val="BU_LONG6"/>
      <sheetName val="THONG_SO6"/>
      <sheetName val="Đơn_giá_chi_tiết_TN_396"/>
      <sheetName val="DT__NHA_XUONG6"/>
      <sheetName val="Gia_VT-TB6"/>
      <sheetName val="noi_suy_xa6"/>
      <sheetName val="noi_suy_xa_thu_hoi6"/>
      <sheetName val="Tính_giá_NC6"/>
      <sheetName val="Tiên_lượng6"/>
      <sheetName val="SL_cước6"/>
      <sheetName val="Thuyết_minh6"/>
      <sheetName val="Đơn_giá_máy6"/>
      <sheetName val="¥_6"/>
      <sheetName val="FF-2_(1)5"/>
      <sheetName val="Labour_Summary18"/>
      <sheetName val="YTD_12'20035"/>
      <sheetName val="YTD_06'20035"/>
      <sheetName val="YTD_03'20035"/>
      <sheetName val="YTD_09'20035"/>
      <sheetName val="deferred_taxes5"/>
      <sheetName val="Eqpmnt_Plng5"/>
      <sheetName val="TRIAL_BALANCE5"/>
      <sheetName val="DPR_31st_march5"/>
      <sheetName val="current_month5"/>
      <sheetName val="Blng__Vs_Coll_5"/>
      <sheetName val="Unit_price5"/>
      <sheetName val="Bill_No_1_66"/>
      <sheetName val="Bill_No_1_106"/>
      <sheetName val="Bill_No_3_36"/>
      <sheetName val="Bill_No_1_46"/>
      <sheetName val="Bill_No_1_76"/>
      <sheetName val="Summary_Bill_No__36"/>
      <sheetName val="Bán_đợt_1_trang5"/>
      <sheetName val="Chiet_tinh_dz355"/>
      <sheetName val="3__KC_-_PODIUM5"/>
      <sheetName val="CTDZ6kv_(gd1)_5"/>
      <sheetName val="CTDZ_0_4+cto_(GD1)5"/>
      <sheetName val="CTTBA_(gd1)5"/>
      <sheetName val="03_Detailed5"/>
      <sheetName val="01_Bid_Price_summary5"/>
      <sheetName val="Home_Office_Manhours5"/>
      <sheetName val="Field_SPV_Barchart5"/>
      <sheetName val="Tien_Luong5"/>
      <sheetName val="Unit_price(Updateting)5"/>
      <sheetName val="Cost_List5"/>
      <sheetName val="Detail_Cost5"/>
      <sheetName val="IC_Price_New5"/>
      <sheetName val="Summary_Table5"/>
      <sheetName val="Sales_Person5"/>
      <sheetName val="Bidding_Entity5"/>
      <sheetName val="CHITIET_VL-NCHT1_(2)5"/>
      <sheetName val="Bù_giá_CM5"/>
      <sheetName val="Breakdown_(B)5"/>
      <sheetName val="U_P_Breakdown5"/>
      <sheetName val="IMF_Code5"/>
      <sheetName val="Subsidiary_Calculation5"/>
      <sheetName val="Phu_Bai_Bridge5"/>
      <sheetName val="5_2_1_Đo_bóc_KL_OLK-105"/>
      <sheetName val="BẢNG_DIỄN_GIẢI_KL_(7)5"/>
      <sheetName val="don_gia_14265"/>
      <sheetName val="Luong_BN5"/>
      <sheetName val="Luong_TB5"/>
      <sheetName val="Ca_may_TB5"/>
      <sheetName val="Ca_máy_BN5"/>
      <sheetName val="Vật_liệu5"/>
      <sheetName val="LX_-TT055"/>
      <sheetName val="NC_Moi_TT055"/>
      <sheetName val="Bia_lot5"/>
      <sheetName val="PU_ITALY_28"/>
      <sheetName val="TH_DZ3516"/>
      <sheetName val="Tro_giup27"/>
      <sheetName val="RAB_AR&amp;STR14"/>
      <sheetName val="chi_tiet_TBA14"/>
      <sheetName val="chi_tiet_C14"/>
      <sheetName val="Customize_Your_Purchase_Order14"/>
      <sheetName val="CHITIET_VL-NC-TT_-1p14"/>
      <sheetName val="CHITIET_VL-NC-TT-3p13"/>
      <sheetName val="TONG_HOP_VL-NC_TT14"/>
      <sheetName val="KPVC-BD_14"/>
      <sheetName val="Don_gia14"/>
      <sheetName val="DON_GIA_TRAM_(3)14"/>
      <sheetName val="DON_GIA_CAN_THO16"/>
      <sheetName val="Don_gia_chi_tiet14"/>
      <sheetName val="HĐ_ngoài13"/>
      <sheetName val="XT_Buoc_313"/>
      <sheetName val="dongia_(2)13"/>
      <sheetName val="7606_DZ14"/>
      <sheetName val="project_management13"/>
      <sheetName val="Adix_A13"/>
      <sheetName val="S-curve_13"/>
      <sheetName val="REINF_13"/>
      <sheetName val="Rates_200913"/>
      <sheetName val="So_doi_chieu_LC13"/>
      <sheetName val="MAIN_GATE_HOUSE13"/>
      <sheetName val="Commercial_value13"/>
      <sheetName val="Du_toan13"/>
      <sheetName val="Ky_Lam_Bridge13"/>
      <sheetName val="Provisional_Sums_Item13"/>
      <sheetName val="Gas_Pressure_Welding13"/>
      <sheetName val="General_Item&amp;General_Requirem13"/>
      <sheetName val="General_Items13"/>
      <sheetName val="Regenral_Requirements13"/>
      <sheetName val="chiet_tinh13"/>
      <sheetName val="Ng_hàng_xà+bulong13"/>
      <sheetName val="MH_RATE13"/>
      <sheetName val="TONG_HOP_VL-NC13"/>
      <sheetName val="Bang_KL13"/>
      <sheetName val="Đầu_vào12"/>
      <sheetName val="Lcau_-_Lxuc13"/>
      <sheetName val="Chi_tiet_XD_TBA12"/>
      <sheetName val="DM_606113"/>
      <sheetName val="DG_thep_ma_kem13"/>
      <sheetName val="CT_vat_lieu13"/>
      <sheetName val="Equip_12"/>
      <sheetName val="A1_CN12"/>
      <sheetName val="TONG_HOP_T5_199812"/>
      <sheetName val="Chenh_lech_vat_tu12"/>
      <sheetName val="Trạm_biến_áp12"/>
      <sheetName val="Đơn_Giá_12"/>
      <sheetName val="Diện_tích12"/>
      <sheetName val="1_Khái_toán12"/>
      <sheetName val="CT-0_4KV12"/>
      <sheetName val="DG_DZ13"/>
      <sheetName val="DG_TBA13"/>
      <sheetName val="rate_material12"/>
      <sheetName val="KL_Chi_tiết_Xây_tô12"/>
      <sheetName val="07Base_Cost12"/>
      <sheetName val="GV1-D13_(Casement_door)12"/>
      <sheetName val="Bill_1_Quy_dinh_chung12"/>
      <sheetName val="1_R18_BF12"/>
      <sheetName val="6_External_works-R1812"/>
      <sheetName val="Phan_khai_KLuong12"/>
      <sheetName val="Chi_tiet_KL12"/>
      <sheetName val="Tổng_hợp_KL12"/>
      <sheetName val="04_-_XUONG_DET_B12"/>
      <sheetName val="_0312"/>
      <sheetName val="chieu_day_san12"/>
      <sheetName val="Podium_Concrete_Works12"/>
      <sheetName val="KLCT-_TOWER12"/>
      <sheetName val="KLCT-_PODIUM12"/>
      <sheetName val="Area_Cal12"/>
      <sheetName val="Gia_thanh_chuoi_su12"/>
      <sheetName val="Tiep_dia12"/>
      <sheetName val="Don_gia_vung_III-Can_Tho12"/>
      <sheetName val="Loại_Vật_tư12"/>
      <sheetName val="Elect_(3)12"/>
      <sheetName val="plan&amp;section_of_foundation12"/>
      <sheetName val="design_criteria12"/>
      <sheetName val="Bond_수수료_계산_포맷12"/>
      <sheetName val="ITB_COST12"/>
      <sheetName val="PAGE_112"/>
      <sheetName val="Xay_lapduongR312"/>
      <sheetName val="DM_6712"/>
      <sheetName val="Project_Data12"/>
      <sheetName val="6787CWFASE2CASE2_00_xls12"/>
      <sheetName val="Đầu_tư12"/>
      <sheetName val="EIRR&gt;_212"/>
      <sheetName val="Bill_02_-_Xay_gach-Pou_12"/>
      <sheetName val="Bill_03-Chống_thấm-Pou12"/>
      <sheetName val="Bill_04-Kim_loại-Pou12"/>
      <sheetName val="Bill_05_-_Hoan_thien-Pou_12"/>
      <sheetName val="Bill_02_-_Xay_gach-Tower12"/>
      <sheetName val="Bill_03-Chống_thấm-Tower12"/>
      <sheetName val="Bill_04-Kim_loại-Tower12"/>
      <sheetName val="Bill_05_-_Hoan_thien-Tower12"/>
      <sheetName val="KL-_KHAC12"/>
      <sheetName val="BILL_3_-_KẾT_CẤU_HẦM12"/>
      <sheetName val="PTĐG_LTBT12"/>
      <sheetName val="CTG-PRECHEx1_412"/>
      <sheetName val="CTG-AB_(2)12"/>
      <sheetName val="CTG-AB_(3)12"/>
      <sheetName val="CTG-PLP-1_0812"/>
      <sheetName val="Pre_Đội_nhóm12"/>
      <sheetName val="Vat_tu_XD12"/>
      <sheetName val="Tower_-_Concrete_Works12"/>
      <sheetName val="Bill-04_ket_cau_thap-_UNI12"/>
      <sheetName val="dg_tphcm12"/>
      <sheetName val="T_KÊ_K_CẤU12"/>
      <sheetName val="gia_cong_tac12"/>
      <sheetName val="4_PTDG12"/>
      <sheetName val="A1,_May12"/>
      <sheetName val="Vat_lieu12"/>
      <sheetName val="Data_Input13"/>
      <sheetName val="Measure_130612"/>
      <sheetName val="HÐ_ngoài13"/>
      <sheetName val="6PILE__(돌출)12"/>
      <sheetName val="Bill_01_-_CTN12"/>
      <sheetName val="Bill_2_2_Villa_2_beds12"/>
      <sheetName val="Analisa_Gabungan12"/>
      <sheetName val="Isolasi_Luar_Dalam12"/>
      <sheetName val="Isolasi_Luar12"/>
      <sheetName val="Harga_ME_12"/>
      <sheetName val="TH_N_Cong12"/>
      <sheetName val="ESTI_12"/>
      <sheetName val="KL_san_lap12"/>
      <sheetName val="TH_Vat_tu12"/>
      <sheetName val="_Bill_5-Earthing_2_-_Add_Work12"/>
      <sheetName val="Chenh_lech_ca_may12"/>
      <sheetName val="TLg_CN&amp;Laixe12"/>
      <sheetName val="TLg_CN&amp;Laixe_(2)12"/>
      <sheetName val="TLg_Laitau12"/>
      <sheetName val="TLg_Laitau_(2)12"/>
      <sheetName val="Bang_trong_luong_rieng_thep12"/>
      <sheetName val="Cước_VC_+_ĐM_CP_Tư_vấn12"/>
      <sheetName val="Hệ_số12"/>
      <sheetName val="DETAIL_12"/>
      <sheetName val="final_list_200528"/>
      <sheetName val="LV_data12"/>
      <sheetName val="Gia_vat_tu12"/>
      <sheetName val="CẤP_THOÁT_NƯỚC12"/>
      <sheetName val="THDT_goi_thau_TB12"/>
      <sheetName val="Tien_do_TV12"/>
      <sheetName val="bridge_#_112"/>
      <sheetName val="Bang_3_Chi_tiet_phan_Dz12"/>
      <sheetName val="KHOI_LUONG12"/>
      <sheetName val="TH_MTC12"/>
      <sheetName val="CTKL_KTX_HT11"/>
      <sheetName val="Buy_vs__Lease_Car12"/>
      <sheetName val="DATA_BASE12"/>
      <sheetName val="Equipment_list_(PAC)12"/>
      <sheetName val="TINH_KHOI_LUONG12"/>
      <sheetName val="Chi_tiet12"/>
      <sheetName val="subcon_sched12"/>
      <sheetName val="NHÀ_NHẬP_LIỆU11"/>
      <sheetName val="MÓNG_SILO11"/>
      <sheetName val="PRE_(E)12"/>
      <sheetName val="HVAC_BLOCK_B412"/>
      <sheetName val="2_Chiet_tinh11"/>
      <sheetName val="BẢNG_KHỐI_LƯỢNG_TỔNG_HỢP11"/>
      <sheetName val="CP_Khac_cuoc_VC11"/>
      <sheetName val="Budget_Code11"/>
      <sheetName val="Tong_du_toan11"/>
      <sheetName val="Bill_2_-_ketcau11"/>
      <sheetName val="Chi_tiet_lan_can11"/>
      <sheetName val="13-Cốt_thép_(10mm&lt;D≤18mm)_FO111"/>
      <sheetName val="du_lieu_du_toan11"/>
      <sheetName val="BOQ_THAN11"/>
      <sheetName val="DL_ĐẦU_VÀO11"/>
      <sheetName val="Purchase_Order11"/>
      <sheetName val="D_&amp;_W_sizes11"/>
      <sheetName val="Analisa_&amp;_Upah11"/>
      <sheetName val="Du_lieu12"/>
      <sheetName val="Phan_tich11"/>
      <sheetName val="Luong_NII11"/>
      <sheetName val="DINH_MUC_THI_NGHIEM11"/>
      <sheetName val="Luong_NI11"/>
      <sheetName val="CT_Thang_Mo11"/>
      <sheetName val="CT__PL11"/>
      <sheetName val="cash_budget11"/>
      <sheetName val="dongia__2_11"/>
      <sheetName val="GOC-KO_IN11"/>
      <sheetName val="MAU_8A11"/>
      <sheetName val="MAU_8B11"/>
      <sheetName val="MAU_911"/>
      <sheetName val="MAU_1011"/>
      <sheetName val="Thép_CKN11"/>
      <sheetName val="sochitiettaikhoan_11"/>
      <sheetName val="Share_price_data11"/>
      <sheetName val="19_311"/>
      <sheetName val="20_311"/>
      <sheetName val="Chieu_4_311"/>
      <sheetName val="Cow_req11"/>
      <sheetName val="TỔNG_HỢP11"/>
      <sheetName val="14-LẦN_3-CHIỀU11"/>
      <sheetName val="14-LẦN_1-SÁNG11"/>
      <sheetName val="14-LẦN_2-TRƯA11"/>
      <sheetName val="1_3+1_4-TOTAL_-_Ko_IN11"/>
      <sheetName val="2_1-LẦN_3-CHIỀU11"/>
      <sheetName val="2_1-LẦN_1-SÁNG11"/>
      <sheetName val="2_1-LẦN_2-TRƯA11"/>
      <sheetName val="2_1-TOTAL-Ko_IN11"/>
      <sheetName val="1_3(TMR_4)11"/>
      <sheetName val="CHO_DE11"/>
      <sheetName val="1_1+1_2+2_2+2_3(TMR_3)11"/>
      <sheetName val="CK1+CK2_(VS_SAN_CHOI_23)11"/>
      <sheetName val="CK1+CK2_(2)11"/>
      <sheetName val="12-16_THÁNG11"/>
      <sheetName val="CAN_SỮA11"/>
      <sheetName val="54+55+56(SAU_CAI_SỮA-6)11"/>
      <sheetName val="BÊ_71-90_NGÀY11"/>
      <sheetName val="BÊ_12-16_tháng11"/>
      <sheetName val="BÊ_6-1211"/>
      <sheetName val="BÊ_1-311"/>
      <sheetName val="F01-BC_KHAU_PHAN_SANG_20_311"/>
      <sheetName val="F01-BC_KHAU_PHAN_CHIEU_19_311"/>
      <sheetName val="dinh_mưc_cty11"/>
      <sheetName val="Giá_thành11"/>
      <sheetName val="Thong_ke11"/>
      <sheetName val="Energy_for_milk_prod11"/>
      <sheetName val="DE_NGHI_XUAT_11"/>
      <sheetName val="phieu_xuat_mau11"/>
      <sheetName val="PHIEU_XUAT_CHIEU11"/>
      <sheetName val="11_rai_them_cỏ11"/>
      <sheetName val="PHU_LUC_02-_HDSD_CAC_BIEU_MAU11"/>
      <sheetName val="PhU_LUC_01-_MA_CAC_NHOM_BO11"/>
      <sheetName val="F03-BC_THUC_TRON_SANG_20_311"/>
      <sheetName val="F03-BC_THUC_TRON_CHIEU_19_311"/>
      <sheetName val="F02-BC_THEO_DOI_THUC_AN_DU11"/>
      <sheetName val="Tham_khao-_Bao_cao_xuat_thuc_11"/>
      <sheetName val="VC_xd9"/>
      <sheetName val="Gia_VLTB9"/>
      <sheetName val="B_Luong9"/>
      <sheetName val="C_May9"/>
      <sheetName val="Dlieu_dau_vao11"/>
      <sheetName val="Income_Statement11"/>
      <sheetName val="Shareholders'_Equity11"/>
      <sheetName val="BANCO_(2)11"/>
      <sheetName val="MT_DPin_(2)11"/>
      <sheetName val="02__PTDG11"/>
      <sheetName val="Chiết_tính11"/>
      <sheetName val="TB_NẶNG9"/>
      <sheetName val="Du_tru_CP-Bieu_019"/>
      <sheetName val="Don_gia_(khong_in)11"/>
      <sheetName val="DK1_Don_gia11"/>
      <sheetName val="1_MONG_1-211"/>
      <sheetName val="THEP_TAM9"/>
      <sheetName val="THEP_HÌNH9"/>
      <sheetName val="THEP_HINH9"/>
      <sheetName val="XA_GO9"/>
      <sheetName val="BANG_TRA9"/>
      <sheetName val="wk_prgs9"/>
      <sheetName val="Ma_don_vi9"/>
      <sheetName val="bang_cc9"/>
      <sheetName val="dm_3669"/>
      <sheetName val="DM_60609"/>
      <sheetName val="Dự_thầu9"/>
      <sheetName val="Nhap_VT_oto9"/>
      <sheetName val="Hao_phí9"/>
      <sheetName val="Structure_data9"/>
      <sheetName val="đọc_số9"/>
      <sheetName val="Bill_No_3_-_Prov__Sum_(Ph2&amp;3)9"/>
      <sheetName val="TH_TN9"/>
      <sheetName val="CP_Du_phong9"/>
      <sheetName val="THCP_Lap_dat9"/>
      <sheetName val="THCP_xay_dung9"/>
      <sheetName val="Tong_hop_kinh_phi9"/>
      <sheetName val="Dự_toán9"/>
      <sheetName val="Đơn_Giá_TH9"/>
      <sheetName val="Nhân_công9"/>
      <sheetName val="Phân_tích9"/>
      <sheetName val="C_P_Thiết_bị9"/>
      <sheetName val="T_H_Kinh_phí9"/>
      <sheetName val="Vật_tư9"/>
      <sheetName val="Trang_bìa9"/>
      <sheetName val="Don_gia_chi_tiet_DIEN_28"/>
      <sheetName val="Data_Wall9"/>
      <sheetName val="2_1Warehouse_19"/>
      <sheetName val="AG_Pipe_Qty_Analysis9"/>
      <sheetName val="Main_Bldg-Rev029"/>
      <sheetName val="D&amp;W_def_9"/>
      <sheetName val="Nhan_cong9"/>
      <sheetName val="Thiet_bi9"/>
      <sheetName val="Vat_tu9"/>
      <sheetName val="DM_ChiPhi9"/>
      <sheetName val="May_TC9"/>
      <sheetName val="TH_Kinh_phi9"/>
      <sheetName val="Ptvl_9"/>
      <sheetName val="Ｎｏ_139"/>
      <sheetName val="DGchitiet_9"/>
      <sheetName val="CP_HMC9"/>
      <sheetName val="HỆ_THỐNG_PHÒNG_CHÁY_CHỮA_CHÁY9"/>
      <sheetName val="HỆ_THỐNG_CẤP_THOÁT_NƯỚC9"/>
      <sheetName val="HỆ_THỐNG_ĐHKK9"/>
      <sheetName val="MÁY_PHÁT_ĐIỆN9"/>
      <sheetName val="HỆ_THỐNG_ĐIỆN9"/>
      <sheetName val="Thiết_bị_chính9"/>
      <sheetName val="CHI_PHI9"/>
      <sheetName val="TK_chi_tiet9"/>
      <sheetName val="Bill_2-Road_HR29"/>
      <sheetName val="Bill_3_-_Softscape_HR29"/>
      <sheetName val="CĂN_HỘ_T16-17_9"/>
      <sheetName val="TRỤC_ĐỨNG_THOÁT_BẨN_T15-179"/>
      <sheetName val="TRỤC_ĐỨNG_TM_T15-179"/>
      <sheetName val="Móng,_nền_9"/>
      <sheetName val="1_Requisition(E)9"/>
      <sheetName val="TONG_HOP9"/>
      <sheetName val="Tổng_GT9"/>
      <sheetName val="Chi_tiết_KL9"/>
      <sheetName val="khấu_trừ_phạt9"/>
      <sheetName val="GT__KHAU_TRU9"/>
      <sheetName val="HAO_HUT_VAT_TU_(2)9"/>
      <sheetName val="cao_độ9"/>
      <sheetName val="phan_tic_chi_tiet9"/>
      <sheetName val="DG_14268"/>
      <sheetName val="Theo_doi_Doanh_thu_20178"/>
      <sheetName val="KL_THEP__GIAM_DO_DUNG_COUPLER8"/>
      <sheetName val="01_KL_THÉP_NHẬP_VỀ8"/>
      <sheetName val="2__NT_VLDV8"/>
      <sheetName val="GHI_CHU8"/>
      <sheetName val="1_BB_LMHT8"/>
      <sheetName val="gui_BKCT8"/>
      <sheetName val="Gia_vat_lieu8"/>
      <sheetName val="Precios_unitarios_AXH8"/>
      <sheetName val="Chi_tiet_cong_no9"/>
      <sheetName val="PHÁT_SINH_TẦNG_1_9"/>
      <sheetName val="PHÁT_SINH_TẦNG_29"/>
      <sheetName val="Hầm_chuyển_psinh9"/>
      <sheetName val="Ống_thẳng9"/>
      <sheetName val="Côn_thu9"/>
      <sheetName val="Vuông_tròn9"/>
      <sheetName val="Chân_rẽ9"/>
      <sheetName val="Chạc_ba9"/>
      <sheetName val="MB_DT_027"/>
      <sheetName val="3__CNT8"/>
      <sheetName val="unit_price_list(M)8"/>
      <sheetName val="So_lieu_chung8"/>
      <sheetName val="TH_VL,_NC,_DDHT_Thanhphuoc8"/>
      <sheetName val="Chi_tiet_-tong_9_thang8"/>
      <sheetName val="BẢNG_ÁP_GIÁ_(in)8"/>
      <sheetName val="NT_(KL)_IN8"/>
      <sheetName val="DOM_D28"/>
      <sheetName val="nhà_ăn8"/>
      <sheetName val="Công_nhật8"/>
      <sheetName val="btkt_cột8"/>
      <sheetName val="Bê_tông_bảo_vệ8"/>
      <sheetName val="01__Data8"/>
      <sheetName val="Neo,_nối_cốt_thép_dầm,_cột8"/>
      <sheetName val="Uốn_móc_cốt_thép8"/>
      <sheetName val="Tiêu_chuẩn_cốt_thép8"/>
      <sheetName val="Doi_so8"/>
      <sheetName val="1_2_Staff_Schedule8"/>
      <sheetName val="0__Input8"/>
      <sheetName val="DANH_MỤC_HỒ_SƠ8"/>
      <sheetName val="GT_PHÁT_SINH_NGOÀI_HĐ8"/>
      <sheetName val="KL_PHÁT_SINH_8"/>
      <sheetName val="PS_NGOÀI_HĐ8"/>
      <sheetName val="GT_PHÁT_SINH_VƯỢT_HĐ8"/>
      <sheetName val="PS_TĂNG_GIẢM_TRONG_HĐ8"/>
      <sheetName val="DGCT_PHÁT_SINH8"/>
      <sheetName val="DGCT_TRẦN_NLV8"/>
      <sheetName val="DGKL_chi_tiết_NLV8"/>
      <sheetName val="DGKL_chi_tiết_NHN,NK8"/>
      <sheetName val="TG_KL8"/>
      <sheetName val="DGCT_SƠN_BẢ_TƯỜNG_NLV8"/>
      <sheetName val="DGKL_TRẦN_NHN8"/>
      <sheetName val="MTO_REV_2(ARMOR)8"/>
      <sheetName val="Cotthep_NPT8"/>
      <sheetName val="vl_nc_mtc8"/>
      <sheetName val="Heso_DZ8"/>
      <sheetName val="DM_336cai_tao8"/>
      <sheetName val="DG_BINH_THUAN8"/>
      <sheetName val="Tien_Thuong8"/>
      <sheetName val="NC_XL_6T_cuoi_01_CTy8"/>
      <sheetName val="Data_-6T_dau8"/>
      <sheetName val="Cong_6T8"/>
      <sheetName val="KL_thep_lam_sat8"/>
      <sheetName val="B3A_-_TOWER_A8"/>
      <sheetName val="Annex_B8"/>
      <sheetName val="Bill_Prelim-CDT8"/>
      <sheetName val="Bill_BPTC-CDT8"/>
      <sheetName val="Chi_tiết_BPTC8"/>
      <sheetName val="Bill_BPTC-CDT_(PA_MCT_CDT)8"/>
      <sheetName val="Chi_tiết_BPTC_(PA_MCT_CDT)8"/>
      <sheetName val="1_Civil_(Org)8"/>
      <sheetName val="DM-VNT_ko_sd8"/>
      <sheetName val="Bảng_đo_bóc_KL_OLK-098"/>
      <sheetName val="6_3_CHI_TIET_OLK-098"/>
      <sheetName val="1__Office8"/>
      <sheetName val="KHOI_LUONG15-48"/>
      <sheetName val="Tong_hop_vat_tu8"/>
      <sheetName val="1_San_8"/>
      <sheetName val="TLG_Type8"/>
      <sheetName val="Dgia_vat_tu8"/>
      <sheetName val="Don_gia_III8"/>
      <sheetName val="D÷_liÖu8"/>
      <sheetName val="Dot_48"/>
      <sheetName val="Thop_Ksat8"/>
      <sheetName val="Thu_hoi_8"/>
      <sheetName val="HM_chung8"/>
      <sheetName val="CP_xd-thiet_bi8"/>
      <sheetName val="TH-TN_LD_TB8"/>
      <sheetName val="CP_xaydung8"/>
      <sheetName val="Thao_ha_phu_kien8"/>
      <sheetName val="VL-NC-MTC_ket_cau8"/>
      <sheetName val="KHOI_LUONG_TONG8"/>
      <sheetName val="TK_22KV8"/>
      <sheetName val="DM_366-17778"/>
      <sheetName val="Thi_nhiem8"/>
      <sheetName val="Gia_goc_VT-TB8"/>
      <sheetName val="Gia_vc_den_chan_CT8"/>
      <sheetName val="culy_228"/>
      <sheetName val="Luong_20508"/>
      <sheetName val="ca_may_QN8"/>
      <sheetName val="TNHC1246_8"/>
      <sheetName val="Ca_may_TT06_20108"/>
      <sheetName val="Don_gia_VLXD_dia_phuong8"/>
      <sheetName val="Bang_luong_SCL8"/>
      <sheetName val="Dinh_muc_TN14268"/>
      <sheetName val="HRG_BHN8"/>
      <sheetName val="CĂN_ĐH8"/>
      <sheetName val="Chi_phi_van_chuyen8"/>
      <sheetName val="TH_các_CC8"/>
      <sheetName val="Div26_-_Elect8"/>
      <sheetName val="7_Khau_tru_8"/>
      <sheetName val="Q_A01_2-Sh8"/>
      <sheetName val="4_CĂN8"/>
      <sheetName val="2_CDPS8"/>
      <sheetName val="Don_gia_NC8"/>
      <sheetName val="DT_hợp_đồng7"/>
      <sheetName val="Bảng_KL_đợt_17"/>
      <sheetName val="Danh_mục7"/>
      <sheetName val="Bieu_gia_HD7"/>
      <sheetName val="Summary_Sheet7"/>
      <sheetName val="Finishing-Tower_A7"/>
      <sheetName val="Finishing-Tower_B7"/>
      <sheetName val="Finishing-Tower_C7"/>
      <sheetName val="Finishing-Tower_D7"/>
      <sheetName val="MEP-Tower_A7"/>
      <sheetName val="MEP-Tower_B7"/>
      <sheetName val="MEP-Tower_C7"/>
      <sheetName val="MEP-Tower_D7"/>
      <sheetName val="Cost_Report_Sum7"/>
      <sheetName val="Detail_Cost_Sum7"/>
      <sheetName val="RVO-VO_Sum7"/>
      <sheetName val="Potential_VOs_Sum7"/>
      <sheetName val="Cash_Flow_Sum7"/>
      <sheetName val="BTK-Dai_Hoc_Kien_Giang7"/>
      <sheetName val="PV_Graph_Data7"/>
      <sheetName val="doanh_thu7"/>
      <sheetName val="Dutoan_KL7"/>
      <sheetName val="CAP_NUOC7"/>
      <sheetName val="cấp_nước_trục_nhà_vs7"/>
      <sheetName val="THOAT_NUOC7"/>
      <sheetName val="THOAT_MUA7"/>
      <sheetName val="Cáp_phòng7"/>
      <sheetName val="TMC_ĐIỆN_Phi7"/>
      <sheetName val="TMC_Tổng7"/>
      <sheetName val="TH_Đèn_Phòng_L17"/>
      <sheetName val="TH_Đèn_Hầm_L17"/>
      <sheetName val="TỦ_MODULE_T17"/>
      <sheetName val="B-2__(DPP)8"/>
      <sheetName val="Huong_dan7"/>
      <sheetName val="gia_vt,nc,may7"/>
      <sheetName val="Financ__Overview7"/>
      <sheetName val="TINH_GIA_-_SAN_XUAT_Vertico7"/>
      <sheetName val="13_BANG_CT7"/>
      <sheetName val="14_MMUS_GIUA_NHIP7"/>
      <sheetName val="4_HSPBngang7"/>
      <sheetName val="6_Tinh_tai7"/>
      <sheetName val="2_NSl7"/>
      <sheetName val="17_US_CHU_tho_a_b7"/>
      <sheetName val="15_MMUS_GOI7"/>
      <sheetName val="DZ_22KV7"/>
      <sheetName val="Kê_0,47"/>
      <sheetName val="TH_0,47"/>
      <sheetName val="Kê_227"/>
      <sheetName val="TH_227"/>
      <sheetName val="TBA_CAI_TAO7"/>
      <sheetName val="TBA_XDM7"/>
      <sheetName val="TONG_HOP_DU_TOAN7"/>
      <sheetName val="Thop_XAY_DUNG7"/>
      <sheetName val="CP_HANG_MUC_CHUNG7"/>
      <sheetName val="CHI_PHI_XD7"/>
      <sheetName val="CHI_PHI_THI_NGHIEM7"/>
      <sheetName val="VLDIEN_227"/>
      <sheetName val="Dao_dat7"/>
      <sheetName val="TH_Denbu7"/>
      <sheetName val="Do_ve_DC7"/>
      <sheetName val="TH_Bommin7"/>
      <sheetName val="CHI_PHI_THI_NGHIEM-LD_thiet_bi7"/>
      <sheetName val="Luong_TT017"/>
      <sheetName val="Camay_QB7"/>
      <sheetName val="gia_ca_may_BXD7"/>
      <sheetName val="BANG_LUONG_KY_SU7"/>
      <sheetName val="Bang_luong_NHOM_I7"/>
      <sheetName val="Bangluong_NHOM_II_7"/>
      <sheetName val="09-GIA_nhien_lieu-ko_in7"/>
      <sheetName val="Tinh_V_cot_chiem_cho7"/>
      <sheetName val="ĐM_13547"/>
      <sheetName val="KHOAN_MAU7"/>
      <sheetName val="ĐO_ĐỊA_VẬT_LÝ7"/>
      <sheetName val="khoan_tiep_dia7"/>
      <sheetName val="Tổng_hợp_KPHM7"/>
      <sheetName val="Dinh_muc7"/>
      <sheetName val="GIÁ_DỰ_THẦU_30_CĂN7"/>
      <sheetName val="5_2_1_Đo_bóc_KL_OLK-067"/>
      <sheetName val="KS_tuyen7"/>
      <sheetName val="Bang_chiet_tinh_TBA7"/>
      <sheetName val="4_2_1_Đo_bóc_KL_OLK-067"/>
      <sheetName val="4_1_1_CHI_TIET_OLK-067"/>
      <sheetName val="DG_Chi_tiet7"/>
      <sheetName val="_1710_HOINGHINLD7"/>
      <sheetName val="99_(2)7"/>
      <sheetName val="134_7"/>
      <sheetName val="DG_49707"/>
      <sheetName val="Cash_Flow7"/>
      <sheetName val="BU_LONG7"/>
      <sheetName val="DT__NHA_XUONG7"/>
      <sheetName val="EQUIP_LIST7"/>
      <sheetName val="THONG_SO7"/>
      <sheetName val="Đơn_giá_chi_tiết_TN_397"/>
      <sheetName val="HERD_MOVEMENTFARM19"/>
      <sheetName val="HERD_MOVEMENTFARM29"/>
      <sheetName val="CALVES_2-49"/>
      <sheetName val="Cavles_2-49"/>
      <sheetName val="CALVES_4-79"/>
      <sheetName val="HEIFER_7-12m9"/>
      <sheetName val="HEIFER_12+9"/>
      <sheetName val="FRESH_COW_2017-189"/>
      <sheetName val="HP_COW_20189"/>
      <sheetName val="LP_COW_2017-189"/>
      <sheetName val="DRY_COW9"/>
      <sheetName val="FIELD_CROPS9"/>
      <sheetName val="So_sanh7"/>
      <sheetName val="Electrical_Works7"/>
      <sheetName val="H_T__INCOMING_SYSTEM7"/>
      <sheetName val="Tính_giá_NC7"/>
      <sheetName val="Tiên_lượng7"/>
      <sheetName val="SL_cước7"/>
      <sheetName val="¥_7"/>
      <sheetName val="Gia_VT-TB7"/>
      <sheetName val="noi_suy_xa7"/>
      <sheetName val="noi_suy_xa_thu_hoi7"/>
      <sheetName val="Thuyết_minh7"/>
      <sheetName val="Đơn_giá_máy7"/>
      <sheetName val="Tong_DT6"/>
      <sheetName val="phan_tich_don_gia6"/>
      <sheetName val="Bill_No_1_67"/>
      <sheetName val="Bill_No_1_107"/>
      <sheetName val="Bill_No_3_37"/>
      <sheetName val="Bill_No_1_47"/>
      <sheetName val="Bill_No_1_77"/>
      <sheetName val="Summary_Bill_No__37"/>
      <sheetName val="DT_san_XD-So_lieu_cu6"/>
      <sheetName val="FF-2_(1)6"/>
      <sheetName val="Labour_Summary19"/>
      <sheetName val="YTD_12'20036"/>
      <sheetName val="YTD_06'20036"/>
      <sheetName val="YTD_03'20036"/>
      <sheetName val="YTD_09'20036"/>
      <sheetName val="deferred_taxes6"/>
      <sheetName val="Eqpmnt_Plng6"/>
      <sheetName val="TRIAL_BALANCE6"/>
      <sheetName val="DPR_31st_march6"/>
      <sheetName val="current_month6"/>
      <sheetName val="Blng__Vs_Coll_6"/>
      <sheetName val="Unit_price6"/>
      <sheetName val="Bán_đợt_1_trang6"/>
      <sheetName val="Chiet_tinh_dz356"/>
      <sheetName val="3__KC_-_PODIUM6"/>
      <sheetName val="CTDZ6kv_(gd1)_6"/>
      <sheetName val="CTDZ_0_4+cto_(GD1)6"/>
      <sheetName val="CTTBA_(gd1)6"/>
      <sheetName val="03_Detailed6"/>
      <sheetName val="01_Bid_Price_summary6"/>
      <sheetName val="Home_Office_Manhours6"/>
      <sheetName val="Field_SPV_Barchart6"/>
      <sheetName val="Tien_Luong6"/>
      <sheetName val="Unit_price(Updateting)6"/>
      <sheetName val="Cost_List6"/>
      <sheetName val="Detail_Cost6"/>
      <sheetName val="IC_Price_New6"/>
      <sheetName val="Summary_Table6"/>
      <sheetName val="Sales_Person6"/>
      <sheetName val="Bidding_Entity6"/>
      <sheetName val="CHITIET_VL-NCHT1_(2)6"/>
      <sheetName val="Bù_giá_CM6"/>
      <sheetName val="Breakdown_(B)6"/>
      <sheetName val="U_P_Breakdown6"/>
      <sheetName val="IMF_Code6"/>
      <sheetName val="Subsidiary_Calculation6"/>
      <sheetName val="Phu_Bai_Bridge6"/>
      <sheetName val="5_2_1_Đo_bóc_KL_OLK-106"/>
      <sheetName val="BẢNG_DIỄN_GIẢI_KL_(7)6"/>
      <sheetName val="don_gia_14266"/>
      <sheetName val="Luong_BN6"/>
      <sheetName val="Luong_TB6"/>
      <sheetName val="Ca_may_TB6"/>
      <sheetName val="Ca_máy_BN6"/>
      <sheetName val="Vật_liệu6"/>
      <sheetName val="LX_-TT056"/>
      <sheetName val="NC_Moi_TT056"/>
      <sheetName val="Bia_lot6"/>
      <sheetName val="Chu_dau_tu2"/>
      <sheetName val="Cau_tao_gia_xay_to2"/>
      <sheetName val="THÔNG_TIN2"/>
      <sheetName val="THPDMoi__(2)2"/>
      <sheetName val="t-h_HA_THE2"/>
      <sheetName val="TH_XL2"/>
      <sheetName val="CHITIET_VL-NC2"/>
      <sheetName val="ctiet-KVThanhTri-YUR"/>
      <sheetName val="242_3 summaryOPC"/>
      <sheetName val="afis"/>
      <sheetName val="TAKE-OFF"/>
      <sheetName val="Elemental Breakdown+20%"/>
      <sheetName val="Khoi luong kenh dan"/>
      <sheetName val="Thep_Be TN(tai_C10)"/>
      <sheetName val="De11A"/>
      <sheetName val="MTO REV.0"/>
      <sheetName val="NPCPP-70-DS-017"/>
      <sheetName val="Input - Facilities"/>
      <sheetName val="Norms"/>
      <sheetName val="BP CAPEX MoD-100% Area 4 USD"/>
      <sheetName val="Committed Items"/>
      <sheetName val="XL4Poppy (2)"/>
      <sheetName val="XL4Poppy_(2)"/>
      <sheetName val="rc"/>
      <sheetName val="L-Mechanical"/>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6. Scope of work "/>
      <sheetName val="4.6 Phân tích nhân sự "/>
      <sheetName val="4.5 Mức độ tham gia dự án"/>
      <sheetName val="토목주소"/>
      <sheetName val="프랜트면허"/>
      <sheetName val="List of Staff"/>
      <sheetName val="_ QUOTATION.xlsx"/>
      <sheetName val="1.1General"/>
      <sheetName val="sales current month"/>
      <sheetName val="View Variance"/>
      <sheetName val="Gia giao VL den HT"/>
      <sheetName val="Charts"/>
      <sheetName val="XREF"/>
      <sheetName val="Fixed asset register"/>
      <sheetName val="YTD"/>
      <sheetName val="repeatative rejection"/>
      <sheetName val="ﾃﾞ-ﾀ"/>
      <sheetName val="Dec-18"/>
      <sheetName val="Lists"/>
      <sheetName val="General Info"/>
      <sheetName val="Setup"/>
      <sheetName val="Full PBD"/>
      <sheetName val="BOM"/>
      <sheetName val="Dep"/>
      <sheetName val="Non-Statistical Sampling"/>
      <sheetName val="98FORECAST (1)"/>
      <sheetName val="Sch 18 Bank"/>
      <sheetName val="Stock details"/>
      <sheetName val="Part A General"/>
      <sheetName val="DDT_TDS_TCS"/>
      <sheetName val="FRINGE_BENEFIT_INFO"/>
      <sheetName val="OTHER_INFORMATION"/>
      <sheetName val="GENERAL2"/>
      <sheetName val="80G"/>
      <sheetName val="QUANTITATIVE_DETAILS"/>
      <sheetName val="IT_FBT_DDTP"/>
      <sheetName val="PART_C"/>
      <sheetName val=" "/>
      <sheetName val="行动跟踪"/>
      <sheetName val="DNDN"/>
      <sheetName val="DO AM DT"/>
      <sheetName val="01. Nha xuong"/>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Define finishing"/>
      <sheetName val="GGBC"/>
      <sheetName val="THONG SO KICH THUOC"/>
      <sheetName val="Hs_TMDT"/>
      <sheetName val="TMDT"/>
      <sheetName val="B15"/>
      <sheetName val="B16"/>
      <sheetName val="B17"/>
      <sheetName val="B4-D3"/>
      <sheetName val="B8"/>
      <sheetName val="CSDL"/>
      <sheetName val="pt10Èn"/>
      <sheetName val="he so dong thoi"/>
      <sheetName val="OVER VIEW"/>
      <sheetName val="MD"/>
      <sheetName val="比率"/>
      <sheetName val="数据库"/>
      <sheetName val="Link HG"/>
      <sheetName val="Breech_Duct"/>
      <sheetName val="THDT_goi_thauџTB2"/>
      <sheetName val="1.설계조건"/>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BILL 34Āᐁë_x0001_ HẦM"/>
      <sheetName val="LinerWt"/>
      <sheetName val="chi tiet TS theo so lieu ktoan"/>
      <sheetName val="DWA"/>
      <sheetName val="Pile-RT2B"/>
      <sheetName val="ippd1B_old"/>
      <sheetName val="plywood"/>
      <sheetName val="Listes Caractéristiques"/>
      <sheetName val="Liste Référentiel"/>
      <sheetName val="STF-SDL"/>
      <sheetName val="GI"/>
      <sheetName val="salary"/>
      <sheetName val="Bond"/>
      <sheetName val="Exchange"/>
      <sheetName val="Column"/>
      <sheetName val="Bill 4_1a___"/>
      <sheetName val="CF -Update 31Jul06"/>
      <sheetName val="Executive Summary"/>
      <sheetName val="DINH_MUCџTHI_NGHIEM3"/>
      <sheetName val="BILL 34Āᐁë_x0000__x0000__x0001__x0000__x0000__x0000_ HẦM"/>
      <sheetName val="CMS"/>
      <sheetName val="CuttingList"/>
      <sheetName val="Expediting"/>
      <sheetName val="INVENTORY"/>
      <sheetName val="MIR"/>
      <sheetName val="MIRStatus"/>
      <sheetName val="REM"/>
      <sheetName val="RevLog"/>
      <sheetName val="SUM_MIR"/>
      <sheetName val="U0030S03"/>
      <sheetName val="EQFRM2"/>
      <sheetName val="Tabel_Berat"/>
      <sheetName val="Real_Cost"/>
      <sheetName val="bill_qty"/>
      <sheetName val="REKAP_ARSITEKTUR_"/>
      <sheetName val="RAB_ADMINISTRASI_PUSAT_(1)"/>
      <sheetName val="Data_Umum_Penawaran"/>
      <sheetName val="Tabel_Berat1"/>
      <sheetName val="Real_Cost1"/>
      <sheetName val="bill_qty1"/>
      <sheetName val="REKAP_ARSITEKTUR_1"/>
      <sheetName val="RAB_ADMINISTRASI_PUSAT_(1)1"/>
      <sheetName val="Data_Umum_Penawaran1"/>
      <sheetName val="EE-PROP"/>
      <sheetName val="PaintBreak"/>
      <sheetName val="INSSUBCON"/>
      <sheetName val="DWTables"/>
      <sheetName val="S"/>
      <sheetName val="PCV"/>
      <sheetName val="Eng_Hrs"/>
      <sheetName val="B.1 Engineering"/>
      <sheetName val="29"/>
      <sheetName val="RAB"/>
      <sheetName val="Mobilisasi &amp; Demob"/>
      <sheetName val="B.2.5 Proc &amp; Constr Civil1"/>
      <sheetName val="B.2.3 Proc &amp; Constr Electrical"/>
      <sheetName val="B.2.4 Proc &amp; Constr Instru"/>
      <sheetName val="B.2.1 Proc &amp; Constr Mech "/>
      <sheetName val="B.2.2 Proc &amp; Constr Pipe "/>
      <sheetName val="Work Permit"/>
      <sheetName val="Agregat Halus &amp; Kasar"/>
      <sheetName val="Data Tower"/>
      <sheetName val="CT -THVLNC"/>
      <sheetName val="4)유동표"/>
      <sheetName val="Price"/>
      <sheetName val="KL T16 BÀN GIAO 19.4"/>
      <sheetName val="proj"/>
      <sheetName val="TONGKE3p "/>
      <sheetName val="TNHCHINH"/>
      <sheetName val="VCV-BE-TONG"/>
      <sheetName val="NKCT"/>
      <sheetName val="Data (2)"/>
      <sheetName val="Char"/>
      <sheetName val="Book 1 Summary"/>
      <sheetName val="Civil"/>
      <sheetName val="1-Backfilling"/>
      <sheetName val="Thang 01"/>
      <sheetName val="Thống kê"/>
      <sheetName val="BAN IN"/>
      <sheetName val="DMKH"/>
      <sheetName val="DNTT"/>
      <sheetName val="ca_máy6"/>
      <sheetName val="Da xay dung"/>
      <sheetName val="ADJ 2011"/>
      <sheetName val="NOVA MEDIC"/>
      <sheetName val="DGKL MEDIC"/>
      <sheetName val="cable, lighting, switch"/>
      <sheetName val="ĐỢT 1"/>
      <sheetName val="ThiNghiemDZ04"/>
      <sheetName val="Bldg Brkdown"/>
      <sheetName val="DS Cty"/>
      <sheetName val="mahang"/>
      <sheetName val="MAHANG BHLD"/>
      <sheetName val="LUONGKHOAN"/>
      <sheetName val="CHITIETHOADON.TT"/>
      <sheetName val="mahang chinh sua moi nhat"/>
      <sheetName val="Request"/>
      <sheetName val="NHOM KINH "/>
      <sheetName val="INNOVA"/>
      <sheetName val="begin"/>
      <sheetName val="data-ma2"/>
      <sheetName val="TCVN 1651-2008"/>
      <sheetName val="QMCT"/>
      <sheetName val="Technal"/>
      <sheetName val="DG VL KS"/>
      <sheetName val="DTXL( 270)"/>
      <sheetName val="SCOPE OF WORK"/>
      <sheetName val="THÁNG 05"/>
      <sheetName val="Noise insl"/>
      <sheetName val="Hot-Piping"/>
      <sheetName val="Dynamic Ranges"/>
      <sheetName val="Cal"/>
      <sheetName val="공문"/>
      <sheetName val="struktur"/>
      <sheetName val="DIEN TICH"/>
      <sheetName val="Dgia_vat_tŵ7"/>
      <sheetName val="sht1"/>
      <sheetName val="sht2"/>
      <sheetName val="sht3"/>
      <sheetName val="bar nor"/>
      <sheetName val="table1"/>
      <sheetName val="conc nor"/>
      <sheetName val="conc frus"/>
      <sheetName val="conc trap"/>
      <sheetName val="bar frus"/>
      <sheetName val="bar trap"/>
      <sheetName val="DPVT"/>
      <sheetName val="도로경계단위"/>
      <sheetName val="Beam reinfocement schedule"/>
      <sheetName val="Thong so dam"/>
      <sheetName val="Wall Block C"/>
      <sheetName val="General Schedule"/>
      <sheetName val="DSCTEMP"/>
      <sheetName val="금액내역서"/>
      <sheetName val="Factor F Data"/>
      <sheetName val="SELISIH HARGA"/>
      <sheetName val="BBM-03"/>
      <sheetName val="(40)G&amp;A"/>
      <sheetName val="Assumption"/>
      <sheetName val="Chart"/>
      <sheetName val="02. THONG_TIN_CHUNG"/>
      <sheetName val="07. DINH_MUC HBC"/>
      <sheetName val="2. Tổng hợp"/>
      <sheetName val="List Equip"/>
      <sheetName val="LabCost"/>
      <sheetName val="MatCost"/>
      <sheetName val="Concrete"/>
      <sheetName val="Process C (1-166)"/>
      <sheetName val="BUSPLAN"/>
      <sheetName val="H.Satuan"/>
      <sheetName val="EQ_an"/>
      <sheetName val="NP"/>
      <sheetName val="대비표"/>
      <sheetName val="PNT"/>
      <sheetName val="Progress measurement Procedure"/>
      <sheetName val="STAF"/>
      <sheetName val="rekapan"/>
      <sheetName val="DataTeknis"/>
      <sheetName val="AC"/>
      <sheetName val="Bahan "/>
      <sheetName val="Aggr"/>
      <sheetName val="4_MVAC"/>
      <sheetName val="bhn FINAL"/>
      <sheetName val="Ana. PU"/>
      <sheetName val="AHSP"/>
      <sheetName val="B - Norelec"/>
      <sheetName val="Total-Mem"/>
      <sheetName val="BM DATA SHEET"/>
      <sheetName val="Agg Halus &amp; Kasar"/>
      <sheetName val="2.5.Ducts (2)"/>
      <sheetName val="S N"/>
      <sheetName val="4.3 Scope of work "/>
      <sheetName val="THCP thiet bi"/>
      <sheetName val="dsnt"/>
      <sheetName val="dat"/>
      <sheetName val="TonDau"/>
      <sheetName val="ﾄﾞﾊﾞｲFUEL GAS追見"/>
      <sheetName val="2002년12월"/>
      <sheetName val="PipeSummary"/>
      <sheetName val="合成単価作成表_BLDG"/>
      <sheetName val="Process"/>
      <sheetName val="2020 RFS Summary"/>
      <sheetName val="Well Construction Summary"/>
      <sheetName val="Subsurface"/>
      <sheetName val="Offshore"/>
      <sheetName val="Logistics"/>
      <sheetName val="RFS 2020 - Details and Notes"/>
      <sheetName val="Product"/>
      <sheetName val="PU_ITALY_29"/>
      <sheetName val="TH_DZ3517"/>
      <sheetName val="Tro_giup28"/>
      <sheetName val="RAB_AR&amp;STR15"/>
      <sheetName val="chi_tiet_TBA15"/>
      <sheetName val="chi_tiet_C15"/>
      <sheetName val="Customize_Your_Purchase_Order15"/>
      <sheetName val="CHITIET_VL-NC-TT_-1p15"/>
      <sheetName val="CHITIET_VL-NC-TT-3p14"/>
      <sheetName val="TONG_HOP_VL-NC_TT15"/>
      <sheetName val="KPVC-BD_15"/>
      <sheetName val="Don_gia15"/>
      <sheetName val="DON_GIA_TRAM_(3)15"/>
      <sheetName val="DON_GIA_CAN_THO17"/>
      <sheetName val="Don_gia_chi_tiet15"/>
      <sheetName val="HĐ_ngoài14"/>
      <sheetName val="XT_Buoc_314"/>
      <sheetName val="dongia_(2)14"/>
      <sheetName val="7606_DZ15"/>
      <sheetName val="project_management14"/>
      <sheetName val="Adix_A14"/>
      <sheetName val="S-curve_14"/>
      <sheetName val="REINF_14"/>
      <sheetName val="Rates_200914"/>
      <sheetName val="So_doi_chieu_LC14"/>
      <sheetName val="MAIN_GATE_HOUSE14"/>
      <sheetName val="Commercial_value14"/>
      <sheetName val="Du_toan14"/>
      <sheetName val="Ky_Lam_Bridge14"/>
      <sheetName val="Provisional_Sums_Item14"/>
      <sheetName val="Gas_Pressure_Welding14"/>
      <sheetName val="General_Item&amp;General_Requirem14"/>
      <sheetName val="General_Items14"/>
      <sheetName val="Regenral_Requirements14"/>
      <sheetName val="chiet_tinh14"/>
      <sheetName val="Ng_hàng_xà+bulong14"/>
      <sheetName val="MH_RATE14"/>
      <sheetName val="TONG_HOP_VL-NC14"/>
      <sheetName val="Bang_KL14"/>
      <sheetName val="Đầu_vào13"/>
      <sheetName val="Lcau_-_Lxuc14"/>
      <sheetName val="Chi_tiet_XD_TBA13"/>
      <sheetName val="DM_606114"/>
      <sheetName val="DG_thep_ma_kem14"/>
      <sheetName val="CT_vat_lieu14"/>
      <sheetName val="Equip_13"/>
      <sheetName val="A1_CN13"/>
      <sheetName val="TONG_HOP_T5_199813"/>
      <sheetName val="Chenh_lech_vat_tu13"/>
      <sheetName val="Trạm_biến_áp13"/>
      <sheetName val="Đơn_Giá_13"/>
      <sheetName val="Diện_tích13"/>
      <sheetName val="1_Khái_toán13"/>
      <sheetName val="CT-0_4KV13"/>
      <sheetName val="DG_DZ14"/>
      <sheetName val="DG_TBA14"/>
      <sheetName val="rate_material13"/>
      <sheetName val="KL_Chi_tiết_Xây_tô13"/>
      <sheetName val="07Base_Cost13"/>
      <sheetName val="GV1-D13_(Casement_door)13"/>
      <sheetName val="Bill_1_Quy_dinh_chung13"/>
      <sheetName val="1_R18_BF13"/>
      <sheetName val="6_External_works-R1813"/>
      <sheetName val="Phan_khai_KLuong13"/>
      <sheetName val="Chi_tiet_KL13"/>
      <sheetName val="Tổng_hợp_KL13"/>
      <sheetName val="04_-_XUONG_DET_B13"/>
      <sheetName val="_0313"/>
      <sheetName val="chieu_day_san13"/>
      <sheetName val="Podium_Concrete_Works13"/>
      <sheetName val="KLCT-_TOWER13"/>
      <sheetName val="KLCT-_PODIUM13"/>
      <sheetName val="Area_Cal13"/>
      <sheetName val="Gia_thanh_chuoi_su13"/>
      <sheetName val="Tiep_dia13"/>
      <sheetName val="Don_gia_vung_III-Can_Tho13"/>
      <sheetName val="Loại_Vật_tư13"/>
      <sheetName val="Elect_(3)13"/>
      <sheetName val="plan&amp;section_of_foundation13"/>
      <sheetName val="design_criteria13"/>
      <sheetName val="Bond_수수료_계산_포맷13"/>
      <sheetName val="ITB_COST13"/>
      <sheetName val="PAGE_113"/>
      <sheetName val="Xay_lapduongR313"/>
      <sheetName val="DM_6713"/>
      <sheetName val="Project_Data13"/>
      <sheetName val="6787CWFASE2CASE2_00_xls13"/>
      <sheetName val="Đầu_tư13"/>
      <sheetName val="EIRR&gt;_213"/>
      <sheetName val="Bill_02_-_Xay_gach-Pou_13"/>
      <sheetName val="Bill_03-Chống_thấm-Pou13"/>
      <sheetName val="Bill_04-Kim_loại-Pou13"/>
      <sheetName val="Bill_05_-_Hoan_thien-Pou_13"/>
      <sheetName val="Bill_02_-_Xay_gach-Tower13"/>
      <sheetName val="Bill_03-Chống_thấm-Tower13"/>
      <sheetName val="Bill_04-Kim_loại-Tower13"/>
      <sheetName val="Bill_05_-_Hoan_thien-Tower13"/>
      <sheetName val="KL-_KHAC13"/>
      <sheetName val="BILL_3_-_KẾT_CẤU_HẦM13"/>
      <sheetName val="PTĐG_LTBT13"/>
      <sheetName val="CTG-PRECHEx1_413"/>
      <sheetName val="CTG-AB_(2)13"/>
      <sheetName val="CTG-AB_(3)13"/>
      <sheetName val="CTG-PLP-1_0813"/>
      <sheetName val="Pre_Đội_nhóm13"/>
      <sheetName val="Vat_tu_XD13"/>
      <sheetName val="Tower_-_Concrete_Works13"/>
      <sheetName val="Bill-04_ket_cau_thap-_UNI13"/>
      <sheetName val="dg_tphcm13"/>
      <sheetName val="T_KÊ_K_CẤU13"/>
      <sheetName val="gia_cong_tac13"/>
      <sheetName val="4_PTDG13"/>
      <sheetName val="A1,_May13"/>
      <sheetName val="Vat_lieu13"/>
      <sheetName val="Data_Input14"/>
      <sheetName val="Measure_130613"/>
      <sheetName val="HÐ_ngoài14"/>
      <sheetName val="6PILE__(돌출)13"/>
      <sheetName val="Bill_01_-_CTN13"/>
      <sheetName val="Bill_2_2_Villa_2_beds13"/>
      <sheetName val="Analisa_Gabungan13"/>
      <sheetName val="Isolasi_Luar_Dalam13"/>
      <sheetName val="Isolasi_Luar13"/>
      <sheetName val="Harga_ME_13"/>
      <sheetName val="TH_N_Cong13"/>
      <sheetName val="ESTI_13"/>
      <sheetName val="KL_san_lap13"/>
      <sheetName val="TH_Vat_tu13"/>
      <sheetName val="_Bill_5-Earthing_2_-_Add_Work13"/>
      <sheetName val="Chenh_lech_ca_may13"/>
      <sheetName val="TLg_CN&amp;Laixe13"/>
      <sheetName val="TLg_CN&amp;Laixe_(2)13"/>
      <sheetName val="TLg_Laitau13"/>
      <sheetName val="TLg_Laitau_(2)13"/>
      <sheetName val="Bang_trong_luong_rieng_thep13"/>
      <sheetName val="Cước_VC_+_ĐM_CP_Tư_vấn13"/>
      <sheetName val="Hệ_số13"/>
      <sheetName val="DETAIL_13"/>
      <sheetName val="final_list_200529"/>
      <sheetName val="LV_data13"/>
      <sheetName val="Gia_vat_tu13"/>
      <sheetName val="CẤP_THOÁT_NƯỚC13"/>
      <sheetName val="THDT_goi_thau_TB13"/>
      <sheetName val="Tien_do_TV13"/>
      <sheetName val="bridge_#_113"/>
      <sheetName val="Bang_3_Chi_tiet_phan_Dz13"/>
      <sheetName val="KHOI_LUONG13"/>
      <sheetName val="TH_MTC13"/>
      <sheetName val="CTKL_KTX_HT12"/>
      <sheetName val="Buy_vs__Lease_Car13"/>
      <sheetName val="DATA_BASE13"/>
      <sheetName val="Equipment_list_(PAC)13"/>
      <sheetName val="TINH_KHOI_LUONG13"/>
      <sheetName val="Chi_tiet13"/>
      <sheetName val="subcon_sched13"/>
      <sheetName val="NHÀ_NHẬP_LIỆU12"/>
      <sheetName val="MÓNG_SILO12"/>
      <sheetName val="PRE_(E)13"/>
      <sheetName val="HVAC_BLOCK_B413"/>
      <sheetName val="2_Chiet_tinh12"/>
      <sheetName val="BẢNG_KHỐI_LƯỢNG_TỔNG_HỢP12"/>
      <sheetName val="CP_Khac_cuoc_VC12"/>
      <sheetName val="Budget_Code12"/>
      <sheetName val="Tong_du_toan12"/>
      <sheetName val="Bill_2_-_ketcau12"/>
      <sheetName val="Chi_tiet_lan_can12"/>
      <sheetName val="13-Cốt_thép_(10mm&lt;D≤18mm)_FO112"/>
      <sheetName val="du_lieu_du_toan12"/>
      <sheetName val="BOQ_THAN12"/>
      <sheetName val="DL_ĐẦU_VÀO12"/>
      <sheetName val="Purchase_Order12"/>
      <sheetName val="D_&amp;_W_sizes12"/>
      <sheetName val="Analisa_&amp;_Upah12"/>
      <sheetName val="Du_lieu13"/>
      <sheetName val="Phan_tich12"/>
      <sheetName val="Luong_NII12"/>
      <sheetName val="DINH_MUC_THI_NGHIEM12"/>
      <sheetName val="Luong_NI12"/>
      <sheetName val="CT_Thang_Mo12"/>
      <sheetName val="CT__PL12"/>
      <sheetName val="cash_budget12"/>
      <sheetName val="dongia__2_12"/>
      <sheetName val="GOC-KO_IN12"/>
      <sheetName val="MAU_8A12"/>
      <sheetName val="MAU_8B12"/>
      <sheetName val="MAU_912"/>
      <sheetName val="MAU_1012"/>
      <sheetName val="Thép_CKN12"/>
      <sheetName val="sochitiettaikhoan_12"/>
      <sheetName val="Share_price_data12"/>
      <sheetName val="19_312"/>
      <sheetName val="20_312"/>
      <sheetName val="Chieu_4_312"/>
      <sheetName val="Cow_req12"/>
      <sheetName val="TỔNG_HỢP12"/>
      <sheetName val="14-LẦN_3-CHIỀU12"/>
      <sheetName val="14-LẦN_1-SÁNG12"/>
      <sheetName val="14-LẦN_2-TRƯA12"/>
      <sheetName val="1_3+1_4-TOTAL_-_Ko_IN12"/>
      <sheetName val="2_1-LẦN_3-CHIỀU12"/>
      <sheetName val="2_1-LẦN_1-SÁNG12"/>
      <sheetName val="2_1-LẦN_2-TRƯA12"/>
      <sheetName val="2_1-TOTAL-Ko_IN12"/>
      <sheetName val="1_3(TMR_4)12"/>
      <sheetName val="CHO_DE12"/>
      <sheetName val="1_1+1_2+2_2+2_3(TMR_3)12"/>
      <sheetName val="CK1+CK2_(VS_SAN_CHOI_23)12"/>
      <sheetName val="CK1+CK2_(2)12"/>
      <sheetName val="12-16_THÁNG12"/>
      <sheetName val="CAN_SỮA12"/>
      <sheetName val="54+55+56(SAU_CAI_SỮA-6)12"/>
      <sheetName val="BÊ_71-90_NGÀY12"/>
      <sheetName val="BÊ_12-16_tháng12"/>
      <sheetName val="BÊ_6-1212"/>
      <sheetName val="BÊ_1-312"/>
      <sheetName val="F01-BC_KHAU_PHAN_SANG_20_312"/>
      <sheetName val="F01-BC_KHAU_PHAN_CHIEU_19_312"/>
      <sheetName val="dinh_mưc_cty12"/>
      <sheetName val="Giá_thành12"/>
      <sheetName val="Thong_ke12"/>
      <sheetName val="Energy_for_milk_prod12"/>
      <sheetName val="DE_NGHI_XUAT_12"/>
      <sheetName val="phieu_xuat_mau12"/>
      <sheetName val="PHIEU_XUAT_CHIEU12"/>
      <sheetName val="11_rai_them_cỏ12"/>
      <sheetName val="PHU_LUC_02-_HDSD_CAC_BIEU_MAU12"/>
      <sheetName val="PhU_LUC_01-_MA_CAC_NHOM_BO12"/>
      <sheetName val="F03-BC_THUC_TRON_SANG_20_312"/>
      <sheetName val="F03-BC_THUC_TRON_CHIEU_19_312"/>
      <sheetName val="F02-BC_THEO_DOI_THUC_AN_DU12"/>
      <sheetName val="Tham_khao-_Bao_cao_xuat_thuc_12"/>
      <sheetName val="VC_xd10"/>
      <sheetName val="Gia_VLTB10"/>
      <sheetName val="B_Luong10"/>
      <sheetName val="C_May10"/>
      <sheetName val="Dlieu_dau_vao12"/>
      <sheetName val="Income_Statement12"/>
      <sheetName val="Shareholders'_Equity12"/>
      <sheetName val="BANCO_(2)12"/>
      <sheetName val="MT_DPin_(2)12"/>
      <sheetName val="02__PTDG12"/>
      <sheetName val="Chiết_tính12"/>
      <sheetName val="TB_NẶNG10"/>
      <sheetName val="Du_tru_CP-Bieu_0110"/>
      <sheetName val="Don_gia_(khong_in)12"/>
      <sheetName val="DK1_Don_gia12"/>
      <sheetName val="1_MONG_1-212"/>
      <sheetName val="THEP_TAM10"/>
      <sheetName val="THEP_HÌNH10"/>
      <sheetName val="THEP_HINH10"/>
      <sheetName val="XA_GO10"/>
      <sheetName val="BANG_TRA10"/>
      <sheetName val="wk_prgs10"/>
      <sheetName val="Ma_don_vi10"/>
      <sheetName val="bang_cc10"/>
      <sheetName val="dm_36610"/>
      <sheetName val="DM_606010"/>
      <sheetName val="Dự_thầu10"/>
      <sheetName val="Nhap_VT_oto10"/>
      <sheetName val="Hao_phí10"/>
      <sheetName val="Structure_data10"/>
      <sheetName val="đọc_số10"/>
      <sheetName val="Bill_No_3_-_Prov__Sum_(Ph2&amp;3)10"/>
      <sheetName val="TH_TN10"/>
      <sheetName val="CP_Du_phong10"/>
      <sheetName val="THCP_Lap_dat10"/>
      <sheetName val="THCP_xay_dung10"/>
      <sheetName val="Tong_hop_kinh_phi10"/>
      <sheetName val="Dự_toán10"/>
      <sheetName val="Đơn_Giá_TH10"/>
      <sheetName val="Nhân_công10"/>
      <sheetName val="Phân_tích10"/>
      <sheetName val="C_P_Thiết_bị10"/>
      <sheetName val="T_H_Kinh_phí10"/>
      <sheetName val="Vật_tư10"/>
      <sheetName val="Trang_bìa10"/>
      <sheetName val="Don_gia_chi_tiet_DIEN_29"/>
      <sheetName val="Data_Wall10"/>
      <sheetName val="2_1Warehouse_110"/>
      <sheetName val="AG_Pipe_Qty_Analysis10"/>
      <sheetName val="Main_Bldg-Rev0210"/>
      <sheetName val="D&amp;W_def_10"/>
      <sheetName val="Nhan_cong10"/>
      <sheetName val="Thiet_bi10"/>
      <sheetName val="Vat_tu10"/>
      <sheetName val="DM_ChiPhi10"/>
      <sheetName val="May_TC10"/>
      <sheetName val="TH_Kinh_phi10"/>
      <sheetName val="Ptvl_10"/>
      <sheetName val="Ｎｏ_1310"/>
      <sheetName val="DGchitiet_10"/>
      <sheetName val="CP_HMC10"/>
      <sheetName val="HỆ_THỐNG_PHÒNG_CHÁY_CHỮA_CHÁY10"/>
      <sheetName val="HỆ_THỐNG_CẤP_THOÁT_NƯỚC10"/>
      <sheetName val="HỆ_THỐNG_ĐHKK10"/>
      <sheetName val="MÁY_PHÁT_ĐIỆN10"/>
      <sheetName val="HỆ_THỐNG_ĐIỆN10"/>
      <sheetName val="Thiết_bị_chính10"/>
      <sheetName val="CHI_PHI10"/>
      <sheetName val="TK_chi_tiet10"/>
      <sheetName val="Bill_2-Road_HR210"/>
      <sheetName val="Bill_3_-_Softscape_HR210"/>
      <sheetName val="CĂN_HỘ_T16-17_10"/>
      <sheetName val="TRỤC_ĐỨNG_THOÁT_BẨN_T15-1710"/>
      <sheetName val="TRỤC_ĐỨNG_TM_T15-1710"/>
      <sheetName val="Móng,_nền_10"/>
      <sheetName val="1_Requisition(E)10"/>
      <sheetName val="TONG_HOP10"/>
      <sheetName val="Tổng_GT10"/>
      <sheetName val="Chi_tiết_KL10"/>
      <sheetName val="khấu_trừ_phạt10"/>
      <sheetName val="GT__KHAU_TRU10"/>
      <sheetName val="HAO_HUT_VAT_TU_(2)10"/>
      <sheetName val="cao_độ10"/>
      <sheetName val="phan_tic_chi_tiet10"/>
      <sheetName val="DG_14269"/>
      <sheetName val="Theo_doi_Doanh_thu_20179"/>
      <sheetName val="KL_THEP__GIAM_DO_DUNG_COUPLER9"/>
      <sheetName val="01_KL_THÉP_NHẬP_VỀ9"/>
      <sheetName val="2__NT_VLDV9"/>
      <sheetName val="GHI_CHU9"/>
      <sheetName val="1_BB_LMHT9"/>
      <sheetName val="gui_BKCT9"/>
      <sheetName val="Gia_vat_lieu9"/>
      <sheetName val="Precios_unitarios_AXH9"/>
      <sheetName val="Chi_tiet_cong_no10"/>
      <sheetName val="PHÁT_SINH_TẦNG_1_10"/>
      <sheetName val="PHÁT_SINH_TẦNG_210"/>
      <sheetName val="Hầm_chuyển_psinh10"/>
      <sheetName val="Ống_thẳng10"/>
      <sheetName val="Côn_thu10"/>
      <sheetName val="Vuông_tròn10"/>
      <sheetName val="Chân_rẽ10"/>
      <sheetName val="Chạc_ba10"/>
      <sheetName val="MB_DT_028"/>
      <sheetName val="3__CNT9"/>
      <sheetName val="unit_price_list(M)9"/>
      <sheetName val="So_lieu_chung9"/>
      <sheetName val="TH_VL,_NC,_DDHT_Thanhphuoc9"/>
      <sheetName val="Chi_tiet_-tong_9_thang9"/>
      <sheetName val="BẢNG_ÁP_GIÁ_(in)9"/>
      <sheetName val="NT_(KL)_IN9"/>
      <sheetName val="DOM_D29"/>
      <sheetName val="nhà_ăn9"/>
      <sheetName val="Công_nhật9"/>
      <sheetName val="btkt_cột9"/>
      <sheetName val="Bê_tông_bảo_vệ9"/>
      <sheetName val="01__Data9"/>
      <sheetName val="Neo,_nối_cốt_thép_dầm,_cột9"/>
      <sheetName val="Uốn_móc_cốt_thép9"/>
      <sheetName val="Tiêu_chuẩn_cốt_thép9"/>
      <sheetName val="Doi_so9"/>
      <sheetName val="1_2_Staff_Schedule9"/>
      <sheetName val="0__Input9"/>
      <sheetName val="DANH_MỤC_HỒ_SƠ9"/>
      <sheetName val="GT_PHÁT_SINH_NGOÀI_HĐ9"/>
      <sheetName val="KL_PHÁT_SINH_9"/>
      <sheetName val="PS_NGOÀI_HĐ9"/>
      <sheetName val="GT_PHÁT_SINH_VƯỢT_HĐ9"/>
      <sheetName val="PS_TĂNG_GIẢM_TRONG_HĐ9"/>
      <sheetName val="DGCT_PHÁT_SINH9"/>
      <sheetName val="DGCT_TRẦN_NLV9"/>
      <sheetName val="DGKL_chi_tiết_NLV9"/>
      <sheetName val="DGKL_chi_tiết_NHN,NK9"/>
      <sheetName val="TG_KL9"/>
      <sheetName val="DGCT_SƠN_BẢ_TƯỜNG_NLV9"/>
      <sheetName val="DGKL_TRẦN_NHN9"/>
      <sheetName val="MTO_REV_2(ARMOR)9"/>
      <sheetName val="Cotthep_NPT9"/>
      <sheetName val="vl_nc_mtc9"/>
      <sheetName val="Heso_DZ9"/>
      <sheetName val="DM_336cai_tao9"/>
      <sheetName val="DG_BINH_THUAN9"/>
      <sheetName val="Tien_Thuong9"/>
      <sheetName val="NC_XL_6T_cuoi_01_CTy9"/>
      <sheetName val="Data_-6T_dau9"/>
      <sheetName val="Cong_6T9"/>
      <sheetName val="KL_thep_lam_sat9"/>
      <sheetName val="B3A_-_TOWER_A9"/>
      <sheetName val="Annex_B9"/>
      <sheetName val="Bill_Prelim-CDT9"/>
      <sheetName val="Bill_BPTC-CDT9"/>
      <sheetName val="Chi_tiết_BPTC9"/>
      <sheetName val="Bill_BPTC-CDT_(PA_MCT_CDT)9"/>
      <sheetName val="Chi_tiết_BPTC_(PA_MCT_CDT)9"/>
      <sheetName val="1_Civil_(Org)9"/>
      <sheetName val="DM-VNT_ko_sd9"/>
      <sheetName val="Bảng_đo_bóc_KL_OLK-099"/>
      <sheetName val="6_3_CHI_TIET_OLK-099"/>
      <sheetName val="1__Office9"/>
      <sheetName val="KHOI_LUONG15-49"/>
      <sheetName val="Tong_hop_vat_tu9"/>
      <sheetName val="1_San_9"/>
      <sheetName val="TLG_Type9"/>
      <sheetName val="Dgia_vat_tu9"/>
      <sheetName val="Don_gia_III9"/>
      <sheetName val="D÷_liÖu9"/>
      <sheetName val="Dot_49"/>
      <sheetName val="Thop_Ksat9"/>
      <sheetName val="Thu_hoi_9"/>
      <sheetName val="HM_chung9"/>
      <sheetName val="CP_xd-thiet_bi9"/>
      <sheetName val="TH-TN_LD_TB9"/>
      <sheetName val="CP_xaydung9"/>
      <sheetName val="Thao_ha_phu_kien9"/>
      <sheetName val="VL-NC-MTC_ket_cau9"/>
      <sheetName val="KHOI_LUONG_TONG9"/>
      <sheetName val="TK_22KV9"/>
      <sheetName val="DM_366-17779"/>
      <sheetName val="Thi_nhiem9"/>
      <sheetName val="Gia_goc_VT-TB9"/>
      <sheetName val="Gia_vc_den_chan_CT9"/>
      <sheetName val="culy_229"/>
      <sheetName val="Luong_20509"/>
      <sheetName val="ca_may_QN9"/>
      <sheetName val="TNHC1246_9"/>
      <sheetName val="Ca_may_TT06_20109"/>
      <sheetName val="Don_gia_VLXD_dia_phuong9"/>
      <sheetName val="Bang_luong_SCL9"/>
      <sheetName val="Dinh_muc_TN14269"/>
      <sheetName val="HRG_BHN9"/>
      <sheetName val="CĂN_ĐH9"/>
      <sheetName val="Chi_phi_van_chuyen9"/>
      <sheetName val="TH_các_CC9"/>
      <sheetName val="Div26_-_Elect9"/>
      <sheetName val="7_Khau_tru_9"/>
      <sheetName val="Q_A01_2-Sh9"/>
      <sheetName val="4_CĂN9"/>
      <sheetName val="2_CDPS9"/>
      <sheetName val="Don_gia_NC9"/>
      <sheetName val="DT_hợp_đồng8"/>
      <sheetName val="Bảng_KL_đợt_18"/>
      <sheetName val="Danh_mục8"/>
      <sheetName val="Bieu_gia_HD8"/>
      <sheetName val="Summary_Sheet8"/>
      <sheetName val="Finishing-Tower_A8"/>
      <sheetName val="Finishing-Tower_B8"/>
      <sheetName val="Finishing-Tower_C8"/>
      <sheetName val="Finishing-Tower_D8"/>
      <sheetName val="MEP-Tower_A8"/>
      <sheetName val="MEP-Tower_B8"/>
      <sheetName val="MEP-Tower_C8"/>
      <sheetName val="MEP-Tower_D8"/>
      <sheetName val="Cost_Report_Sum8"/>
      <sheetName val="Detail_Cost_Sum8"/>
      <sheetName val="RVO-VO_Sum8"/>
      <sheetName val="Potential_VOs_Sum8"/>
      <sheetName val="Cash_Flow_Sum8"/>
      <sheetName val="BTK-Dai_Hoc_Kien_Giang8"/>
      <sheetName val="PV_Graph_Data8"/>
      <sheetName val="doanh_thu8"/>
      <sheetName val="Dutoan_KL8"/>
      <sheetName val="CAP_NUOC8"/>
      <sheetName val="cấp_nước_trục_nhà_vs8"/>
      <sheetName val="THOAT_NUOC8"/>
      <sheetName val="THOAT_MUA8"/>
      <sheetName val="Cáp_phòng8"/>
      <sheetName val="TMC_ĐIỆN_Phi8"/>
      <sheetName val="TMC_Tổng8"/>
      <sheetName val="TH_Đèn_Phòng_L18"/>
      <sheetName val="TH_Đèn_Hầm_L18"/>
      <sheetName val="TỦ_MODULE_T18"/>
      <sheetName val="B-2__(DPP)9"/>
      <sheetName val="Huong_dan8"/>
      <sheetName val="gia_vt,nc,may8"/>
      <sheetName val="Financ__Overview8"/>
      <sheetName val="TINH_GIA_-_SAN_XUAT_Vertico8"/>
      <sheetName val="13_BANG_CT8"/>
      <sheetName val="14_MMUS_GIUA_NHIP8"/>
      <sheetName val="4_HSPBngang8"/>
      <sheetName val="6_Tinh_tai8"/>
      <sheetName val="2_NSl8"/>
      <sheetName val="17_US_CHU_tho_a_b8"/>
      <sheetName val="15_MMUS_GOI8"/>
      <sheetName val="DZ_22KV8"/>
      <sheetName val="Kê_0,48"/>
      <sheetName val="TH_0,48"/>
      <sheetName val="Kê_228"/>
      <sheetName val="TH_228"/>
      <sheetName val="TBA_CAI_TAO8"/>
      <sheetName val="TBA_XDM8"/>
      <sheetName val="TONG_HOP_DU_TOAN8"/>
      <sheetName val="Thop_XAY_DUNG8"/>
      <sheetName val="CP_HANG_MUC_CHUNG8"/>
      <sheetName val="CHI_PHI_XD8"/>
      <sheetName val="CHI_PHI_THI_NGHIEM8"/>
      <sheetName val="VLDIEN_228"/>
      <sheetName val="Dao_dat8"/>
      <sheetName val="TH_Denbu8"/>
      <sheetName val="Do_ve_DC8"/>
      <sheetName val="TH_Bommin8"/>
      <sheetName val="CHI_PHI_THI_NGHIEM-LD_thiet_bi8"/>
      <sheetName val="Luong_TT018"/>
      <sheetName val="Camay_QB8"/>
      <sheetName val="gia_ca_may_BXD8"/>
      <sheetName val="BANG_LUONG_KY_SU8"/>
      <sheetName val="Bang_luong_NHOM_I8"/>
      <sheetName val="Bangluong_NHOM_II_8"/>
      <sheetName val="09-GIA_nhien_lieu-ko_in8"/>
      <sheetName val="Tinh_V_cot_chiem_cho8"/>
      <sheetName val="ĐM_13548"/>
      <sheetName val="KHOAN_MAU8"/>
      <sheetName val="ĐO_ĐỊA_VẬT_LÝ8"/>
      <sheetName val="khoan_tiep_dia8"/>
      <sheetName val="Tổng_hợp_KPHM8"/>
      <sheetName val="Dinh_muc8"/>
      <sheetName val="GIÁ_DỰ_THẦU_30_CĂN8"/>
      <sheetName val="5_2_1_Đo_bóc_KL_OLK-068"/>
      <sheetName val="KS_tuyen8"/>
      <sheetName val="Bang_chiet_tinh_TBA8"/>
      <sheetName val="4_2_1_Đo_bóc_KL_OLK-068"/>
      <sheetName val="4_1_1_CHI_TIET_OLK-068"/>
      <sheetName val="DG_Chi_tiet8"/>
      <sheetName val="_1710_HOINGHINLD8"/>
      <sheetName val="99_(2)8"/>
      <sheetName val="134_8"/>
      <sheetName val="DG_49708"/>
      <sheetName val="Cash_Flow8"/>
      <sheetName val="BU_LONG8"/>
      <sheetName val="DT__NHA_XUONG8"/>
      <sheetName val="EQUIP_LIST8"/>
      <sheetName val="THONG_SO8"/>
      <sheetName val="Đơn_giá_chi_tiết_TN_398"/>
      <sheetName val="HERD_MOVEMENTFARM110"/>
      <sheetName val="HERD_MOVEMENTFARM210"/>
      <sheetName val="CALVES_2-410"/>
      <sheetName val="Cavles_2-410"/>
      <sheetName val="CALVES_4-710"/>
      <sheetName val="HEIFER_7-12m10"/>
      <sheetName val="HEIFER_12+10"/>
      <sheetName val="FRESH_COW_2017-1810"/>
      <sheetName val="HP_COW_201810"/>
      <sheetName val="LP_COW_2017-1810"/>
      <sheetName val="DRY_COW10"/>
      <sheetName val="FIELD_CROPS10"/>
      <sheetName val="So_sanh8"/>
      <sheetName val="Electrical_Works8"/>
      <sheetName val="H_T__INCOMING_SYSTEM8"/>
      <sheetName val="Tính_giá_NC8"/>
      <sheetName val="Tiên_lượng8"/>
      <sheetName val="SL_cước8"/>
      <sheetName val="¥_8"/>
      <sheetName val="Gia_VT-TB8"/>
      <sheetName val="noi_suy_xa8"/>
      <sheetName val="noi_suy_xa_thu_hoi8"/>
      <sheetName val="Thuyết_minh8"/>
      <sheetName val="Đơn_giá_máy8"/>
      <sheetName val="Tong_DT7"/>
      <sheetName val="phan_tich_don_gia7"/>
      <sheetName val="Bill_No_1_68"/>
      <sheetName val="Bill_No_1_108"/>
      <sheetName val="Bill_No_3_38"/>
      <sheetName val="Bill_No_1_48"/>
      <sheetName val="Bill_No_1_78"/>
      <sheetName val="Summary_Bill_No__38"/>
      <sheetName val="DT_san_XD-So_lieu_cu7"/>
      <sheetName val="FF-2_(1)7"/>
      <sheetName val="Labour_Summary20"/>
      <sheetName val="YTD_12'20037"/>
      <sheetName val="YTD_06'20037"/>
      <sheetName val="YTD_03'20037"/>
      <sheetName val="YTD_09'20037"/>
      <sheetName val="deferred_taxes7"/>
      <sheetName val="Eqpmnt_Plng7"/>
      <sheetName val="TRIAL_BALANCE7"/>
      <sheetName val="DPR_31st_march7"/>
      <sheetName val="current_month7"/>
      <sheetName val="Blng__Vs_Coll_7"/>
      <sheetName val="Unit_price7"/>
      <sheetName val="Bán_đợt_1_trang7"/>
      <sheetName val="Chiet_tinh_dz357"/>
      <sheetName val="3__KC_-_PODIUM7"/>
      <sheetName val="CTDZ6kv_(gd1)_7"/>
      <sheetName val="CTDZ_0_4+cto_(GD1)7"/>
      <sheetName val="CTTBA_(gd1)7"/>
      <sheetName val="03_Detailed7"/>
      <sheetName val="01_Bid_Price_summary7"/>
      <sheetName val="Home_Office_Manhours7"/>
      <sheetName val="Field_SPV_Barchart7"/>
      <sheetName val="Tien_Luong7"/>
      <sheetName val="Unit_price(Updateting)7"/>
      <sheetName val="Cost_List7"/>
      <sheetName val="Detail_Cost7"/>
      <sheetName val="IC_Price_New7"/>
      <sheetName val="Summary_Table7"/>
      <sheetName val="Sales_Person7"/>
      <sheetName val="Bidding_Entity7"/>
      <sheetName val="CHITIET_VL-NCHT1_(2)7"/>
      <sheetName val="Bù_giá_CM7"/>
      <sheetName val="Breakdown_(B)7"/>
      <sheetName val="U_P_Breakdown7"/>
      <sheetName val="IMF_Code7"/>
      <sheetName val="Subsidiary_Calculation7"/>
      <sheetName val="Phu_Bai_Bridge7"/>
      <sheetName val="5_2_1_Đo_bóc_KL_OLK-107"/>
      <sheetName val="BẢNG_DIỄN_GIẢI_KL_(7)7"/>
      <sheetName val="don_gia_14267"/>
      <sheetName val="Luong_BN7"/>
      <sheetName val="Luong_TB7"/>
      <sheetName val="Ca_may_TB7"/>
      <sheetName val="Ca_máy_BN7"/>
      <sheetName val="Vật_liệu7"/>
      <sheetName val="LX_-TT057"/>
      <sheetName val="NC_Moi_TT057"/>
      <sheetName val="Bia_lot7"/>
      <sheetName val="Chu_dau_tu3"/>
      <sheetName val="Cau_tao_gia_xay_to3"/>
      <sheetName val="THÔNG_TIN3"/>
      <sheetName val="THPDMoi__(2)3"/>
      <sheetName val="t-h_HA_THE3"/>
      <sheetName val="TH_XL3"/>
      <sheetName val="CHITIET_VL-NC3"/>
      <sheetName val="MTP"/>
      <sheetName val="3.공통공사대비"/>
      <sheetName val="Nhập_liệu"/>
      <sheetName val="Auto_Monthly_Inputs_"/>
      <sheetName val="DSV6_Summ"/>
      <sheetName val="Luong_(TP_Việt_Trì)"/>
      <sheetName val="DG_"/>
      <sheetName val="Gia_NC_theo_TT05"/>
      <sheetName val="Land_Dev't__Ph-1"/>
      <sheetName val="Hac_Lots"/>
      <sheetName val="4-Lane_bridge"/>
      <sheetName val="Res_Lots"/>
      <sheetName val="Spine_Road"/>
      <sheetName val="Bank_Rev"/>
      <sheetName val="Merit_&amp;_Market_Grid"/>
      <sheetName val="BP_DECLINE_IT"/>
      <sheetName val="Input_List"/>
      <sheetName val="Valid_data_revised"/>
      <sheetName val="DETAIL_MIX_%_REPORT"/>
      <sheetName val="Fill_this_out_first___"/>
      <sheetName val="BC_chi_tiết_TT"/>
      <sheetName val="MTO_REV_0"/>
      <sheetName val="Committed_Items"/>
      <sheetName val="Corner_Arch"/>
      <sheetName val="End_Arch"/>
      <sheetName val="Intermediate_Arch"/>
      <sheetName val="reinforcement_675"/>
      <sheetName val="ext_wall_fin_qty"/>
      <sheetName val="SL_Plum_"/>
      <sheetName val="Physical_Schedule_3D"/>
      <sheetName val="Hrg_Readymix"/>
      <sheetName val="Cuoc_"/>
      <sheetName val="gia_chao"/>
      <sheetName val="Vat_lieu_BTN"/>
      <sheetName val="Shape"/>
      <sheetName val="Gen"/>
      <sheetName val="Thong tin"/>
      <sheetName val="BTDC B360"/>
      <sheetName val="HN"/>
      <sheetName val="Danh muc LIST"/>
      <sheetName val="TTC"/>
      <sheetName val="KTV"/>
      <sheetName val="BS_IN"/>
      <sheetName val="PL_IN"/>
      <sheetName val="LCGT"/>
      <sheetName val="CF (DR)_IN"/>
      <sheetName val="CSKT"/>
      <sheetName val="TM01-TM"/>
      <sheetName val="Vay"/>
      <sheetName val="PL 02 - Vay"/>
      <sheetName val="PL 03 - Von"/>
      <sheetName val="BS_B341"/>
      <sheetName val="CP yếu tố"/>
      <sheetName val="BS_A510"/>
      <sheetName val="PL_A510"/>
      <sheetName val="RT_A510"/>
      <sheetName val="PL_B342"/>
      <sheetName val="BTKDC_B370"/>
      <sheetName val="TB_B350"/>
      <sheetName val="00000000"/>
      <sheetName val="BS 420"/>
      <sheetName val="PL 420"/>
      <sheetName val="RT 420"/>
      <sheetName val="A710"/>
      <sheetName val="BTDC_B360 "/>
      <sheetName val="Table of contents"/>
      <sheetName val="BOD"/>
      <sheetName val="11. Loans"/>
      <sheetName val="413-Vay"/>
      <sheetName val="SLA cost distr FEB 2020"/>
      <sheetName val="Legal entities details"/>
      <sheetName val="Invoice base FEB 2020"/>
      <sheetName val="Le317 into 8050"/>
      <sheetName val="Changelog"/>
      <sheetName val="Basic principles to the distr."/>
      <sheetName val="Cost elements"/>
      <sheetName val="Ref rate change"/>
      <sheetName val="Synergi life credit"/>
      <sheetName val="Change in NH"/>
      <sheetName val="NPS to O&amp;G"/>
      <sheetName val="Adj entries "/>
      <sheetName val="Annexure 1"/>
      <sheetName val="Annexure 2"/>
      <sheetName val="Updated 2018 COA"/>
      <sheetName val="IC Listing"/>
      <sheetName val="Vadislines"/>
      <sheetName val="Other"/>
      <sheetName val="SPS"/>
      <sheetName val="Bang khoi luong"/>
      <sheetName val="M"/>
      <sheetName val="NC HY"/>
      <sheetName val="NC HN"/>
      <sheetName val="PhaDoMong"/>
      <sheetName val="bdkdt"/>
      <sheetName val="PTDG-CL"/>
      <sheetName val="GVL-tuyến"/>
      <sheetName val="GVL-BTN"/>
      <sheetName val="BXLDL"/>
      <sheetName val="Bill rekap"/>
      <sheetName val="Cash Flow bulanan"/>
      <sheetName val="CươcVC tinh"/>
      <sheetName val="QG"/>
      <sheetName val="TH khối lượng phải làm"/>
      <sheetName val="Giá VL, NC, M"/>
      <sheetName val="Lương 2135 nhóm I"/>
      <sheetName val="Luong 2050 hà NAm"/>
      <sheetName val="Lương2045 nhóm I"/>
      <sheetName val="May 3 huyện"/>
      <sheetName val="May yên mô"/>
      <sheetName val="Phân tich ĐG"/>
      <sheetName val="PLV mới"/>
      <sheetName val="May TT11(TB)"/>
      <sheetName val="May TT11 (HP)"/>
      <sheetName val="May TT11(NB)"/>
      <sheetName val="May TT11(NĐ)"/>
      <sheetName val="Lương theo TT17(Thái Bình)"/>
      <sheetName val="Lương theo TT17 (HP)"/>
      <sheetName val="Lương theo TT17 (Ninh Bình)"/>
      <sheetName val="Lương theo TT17 (Nam Định)"/>
      <sheetName val="Don vi"/>
      <sheetName val="PTDM"/>
      <sheetName val="Door_and_window7"/>
      <sheetName val="Khai_toan2"/>
      <sheetName val="Phu_luc_01_1_EPC_P11-142"/>
      <sheetName val="TDT_P11-P142"/>
      <sheetName val="Chi_phi_khac_2"/>
      <sheetName val="Hang_muc_Chung2"/>
      <sheetName val="Bia_Phu_Luc2"/>
      <sheetName val="DATA_1_CHUNG2"/>
      <sheetName val="Muc_luc2"/>
      <sheetName val="Tra_cuu_9572"/>
      <sheetName val="SGC_RATE2"/>
      <sheetName val="Tru_TT2"/>
      <sheetName val="Thg_042"/>
      <sheetName val="Thg_052"/>
      <sheetName val="Thg_062"/>
      <sheetName val="Thg_072"/>
      <sheetName val="Thg_082"/>
      <sheetName val="Thg_092"/>
      <sheetName val="Thg_102"/>
      <sheetName val="Thg_112"/>
      <sheetName val="Thg_122"/>
      <sheetName val="Dashboard_-_BQL_-_VHL2"/>
      <sheetName val="DM_DU_AN2"/>
      <sheetName val="DM_TP_2"/>
      <sheetName val="File_Chi_tiet2"/>
      <sheetName val="w't_table2"/>
      <sheetName val="Danh_mục_khối2"/>
      <sheetName val="Danh_mục_đơn_vị_-phòng_chức_nă2"/>
      <sheetName val="Probbl_-_Production2"/>
      <sheetName val="KEILA_TP_2020-072"/>
      <sheetName val="Currency_Rate2"/>
      <sheetName val="CHI_PHÍ_NHÔM2"/>
      <sheetName val="BILL_34Āᐁë2"/>
      <sheetName val="2__BBNT_KLHT2"/>
      <sheetName val="CFA_(ME)2"/>
      <sheetName val="MEP_Building2"/>
      <sheetName val="CHITIET_VL-NC-TT1p2"/>
      <sheetName val="BOM-13_11-Other(PS1+PS2)2"/>
      <sheetName val="Dinh_Muc_Vat_Tu2"/>
      <sheetName val="mã_2"/>
      <sheetName val="LUONG_SCL2"/>
      <sheetName val="DO_AM_DT"/>
      <sheetName val="01__Nha_xuong"/>
      <sheetName val="Boc_KL_DAT+CAT+BT"/>
      <sheetName val="Boc_KL_thép"/>
      <sheetName val="Bieu_do_nhan_luc"/>
      <sheetName val="TH_khoi_luong2"/>
      <sheetName val="Chi_tiet_khoi_luong2"/>
      <sheetName val="TK_thep2"/>
      <sheetName val="CT_THOÁT_WC_VP2"/>
      <sheetName val="CT_CẤP_WC_VP2"/>
      <sheetName val="CT_THOÁT_MƯA_VP_TRỤC_LỚN2"/>
      <sheetName val="CT_THOÁT_MƯA_VP_TRỤC_NHỎ2"/>
      <sheetName val="Chênh_lệch_máy_thi_công1"/>
      <sheetName val="Chênh_lệch_nhân_công1"/>
      <sheetName val="Chênh_lệch_vật_liệu1"/>
      <sheetName val="NHOM_KINH1"/>
      <sheetName val="Chao_gia_T12_RE1"/>
      <sheetName val="Don_gia_XD1"/>
      <sheetName val="Share_Price_20021"/>
      <sheetName val="Aging_Sept1"/>
      <sheetName val="0_Data"/>
      <sheetName val="0_Data_new"/>
      <sheetName val="Service_Cost_1"/>
      <sheetName val="Don_gia_Tay_Ninh1"/>
      <sheetName val="Don_gia_Dak_Lak1"/>
      <sheetName val="streeta_and_cacth_pit1"/>
      <sheetName val="Daf_11"/>
      <sheetName val="Input_-_Facilities"/>
      <sheetName val="BP_CAPEX_MoD-100%_Area_4_USD"/>
      <sheetName val="PHẦN_KIẾN_TRÚC"/>
      <sheetName val="DGKL_TRỤC_NGOAI_NHA"/>
      <sheetName val="Sum_ELE__CAP_S1-4__"/>
      <sheetName val="5_2_1_Đo_bóc_KL_OLK-07"/>
      <sheetName val="Elemental_Breakdown+20%"/>
      <sheetName val="Bill_2"/>
      <sheetName val="Bill_3"/>
      <sheetName val="Bill_4a_-_1A"/>
      <sheetName val="Bill_4a_(Fiber)_-_1A"/>
      <sheetName val="Bill_4b"/>
      <sheetName val="Bill_4c"/>
      <sheetName val="Bill_5"/>
      <sheetName val="Bill_4a_-_1B"/>
      <sheetName val="Bill_4a_(Fiber)_-_1B"/>
      <sheetName val="242_3_summaryOPC"/>
      <sheetName val="1_1General"/>
      <sheetName val="CONSOIDATE_4"/>
      <sheetName val="CONSOIDATE_2"/>
      <sheetName val="Cước_CG"/>
      <sheetName val="02__PHAN_TICH"/>
      <sheetName val="03__NGAN_SACH"/>
      <sheetName val="Dai_tu"/>
      <sheetName val="6__Scope_of_work_"/>
      <sheetName val="4_6_Phân_tích_nhân_sự_"/>
      <sheetName val="4_5_Mức_độ_tham_gia_dự_án"/>
      <sheetName val="So_sanh_gia"/>
      <sheetName val="Luong_2622EVN"/>
      <sheetName val="Define_finishing"/>
      <sheetName val="NC_CU"/>
      <sheetName val="0,SO_LIEU_DAU_VAO"/>
      <sheetName val="Da_xay_dung"/>
      <sheetName val="Piano Montaggio PO-02 bozza2"/>
      <sheetName val="_SYSTEM_CODE"/>
      <sheetName val="Project Info."/>
      <sheetName val="_COST_DATA_LOOKUP"/>
      <sheetName val="Cost Summary - USD"/>
      <sheetName val="_DISCOUNT_DATA_LOOKUP"/>
      <sheetName val="Price Summary - Offshore"/>
      <sheetName val="Factory &amp; Import Material"/>
      <sheetName val="_FOREX"/>
      <sheetName val="Labour Hours Upload"/>
      <sheetName val="_LEEGOO_COST"/>
      <sheetName val="_LEEGOO_TECH_SPEC"/>
      <sheetName val="_OC_SETTINGS"/>
      <sheetName val="_SHAPE_SALES_COST"/>
      <sheetName val="_SHAPE_SALES_TECH_SPEC"/>
      <sheetName val="_SYSTEM_COST_LOOKUP"/>
      <sheetName val="_TECH_DATA_LOOKUP"/>
      <sheetName val="Technical Info."/>
      <sheetName val="PM Cost"/>
      <sheetName val="_UPLOAD_TABLE"/>
      <sheetName val="SED INPUT"/>
      <sheetName val="Summary - Budget"/>
      <sheetName val="Rate Analysis"/>
      <sheetName val="KL Chi tiết BV dự thầu"/>
      <sheetName val="KL chi tiết BV thi công"/>
      <sheetName val="DG_1"/>
      <sheetName val="Ca may"/>
      <sheetName val="Loại cọc P2"/>
      <sheetName val="TT04"/>
      <sheetName val="CDSPS"/>
      <sheetName val="NH-KY"/>
      <sheetName val="TK SX"/>
      <sheetName val="ma-pt"/>
      <sheetName val="Bearing Capacity"/>
      <sheetName val="Eq. Mobilization"/>
      <sheetName val="CẤP_THO"/>
      <sheetName val="Work-Condition"/>
      <sheetName val="PNT-QUOT-#3"/>
      <sheetName val="Tonghop theo Vendor"/>
      <sheetName val="PTcphoi"/>
      <sheetName val="Giahientruong"/>
      <sheetName val="Ten"/>
      <sheetName val="GIA NC, CM"/>
      <sheetName val="GIA VL"/>
      <sheetName val="13.Luong"/>
      <sheetName val="Be tong"/>
      <sheetName val="Vendor"/>
      <sheetName val="TLR"/>
      <sheetName val="BILL 34Āᐁë_x0001_"/>
      <sheetName val="ALL"/>
      <sheetName val="Dot_1"/>
      <sheetName val="Dot_2"/>
      <sheetName val="Dot_3"/>
      <sheetName val="KL_Tke"/>
      <sheetName val="Dot_1&gt;4"/>
      <sheetName val="KL CHI TIẾT (2)"/>
      <sheetName val="5.Gia"/>
      <sheetName val="Danh sach KV2"/>
      <sheetName val="Danh sach doan KT"/>
      <sheetName val="H11-01-change"/>
      <sheetName val="H11-02"/>
      <sheetName val="H11-03-change"/>
      <sheetName val="H12-01"/>
      <sheetName val="H12-02"/>
      <sheetName val="H12-03-change"/>
      <sheetName val="H12-04"/>
      <sheetName val="H13-01-change"/>
      <sheetName val="H13-02"/>
      <sheetName val="H13-03"/>
      <sheetName val="H13-04"/>
      <sheetName val="PLHD doi cot ham 0101-04"/>
      <sheetName val="Don gia vung III"/>
      <sheetName val="Don gia III"/>
      <sheetName val="Don gia CT"/>
      <sheetName val="Tra_bang"/>
      <sheetName val="1.INPUT"/>
      <sheetName val="Phan tich vat tu"/>
      <sheetName val="Dongia7606_8001_4167"/>
      <sheetName val="ĐM4970_2016(lapdatĐZ)"/>
      <sheetName val="ĐM4970_2016(Lap dat TBA)"/>
      <sheetName val="Gia Nhan công"/>
      <sheetName val="Đon gia 228 sua chua"/>
      <sheetName val="ĐM01_2000(thinghiem ĐZTTĐL)"/>
      <sheetName val="ĐM1781_2007(T.N đien ĐZ&amp;TBA)"/>
      <sheetName val="Cuoc van chuyen"/>
      <sheetName val="TTPTai"/>
      <sheetName val="DLC DIEN AP"/>
      <sheetName val="SL dau tien"/>
      <sheetName val="HSKVUC"/>
      <sheetName val="DanhSach11"/>
      <sheetName val="Danhsach 12"/>
      <sheetName val="CP NC-MTC XD"/>
      <sheetName val="GOC"/>
      <sheetName val="MTL__INTER"/>
      <sheetName val="共機計算"/>
      <sheetName val="共機J"/>
      <sheetName val="VINYL"/>
      <sheetName val="TTL"/>
      <sheetName val="DMTL"/>
      <sheetName val="물량표(신)"/>
      <sheetName val="TTTram"/>
      <sheetName val="Giacuoc"/>
      <sheetName val="Du lieu ban dau"/>
      <sheetName val="GZ.TP"/>
      <sheetName val="GZ.VT"/>
      <sheetName val="6.9 DM CTP"/>
      <sheetName val="FORM-16"/>
      <sheetName val="KEYFIG"/>
      <sheetName val="Inventory data"/>
      <sheetName val="sales_current_month"/>
      <sheetName val="View_Variance"/>
      <sheetName val="Inventory_data"/>
      <sheetName val="sales_current_month1"/>
      <sheetName val="View_Variance1"/>
      <sheetName val="Inventory_data1"/>
      <sheetName val="F-200"/>
      <sheetName val="F-300"/>
      <sheetName val="FORECAST x FAMILIA"/>
      <sheetName val="RIMEAbyBU"/>
      <sheetName val="sales_current_month2"/>
      <sheetName val="View_Variance2"/>
      <sheetName val="Inventory_data2"/>
      <sheetName val="Space Analysis"/>
      <sheetName val="sales_current_month3"/>
      <sheetName val="View_Variance3"/>
      <sheetName val="Inventory_data3"/>
      <sheetName val="FORECAST_x_FAMILIA"/>
      <sheetName val="Space_Analysis"/>
      <sheetName val="sales_current_month4"/>
      <sheetName val="View_Variance4"/>
      <sheetName val="Inventory_data4"/>
      <sheetName val="FORECAST_x_FAMILIA1"/>
      <sheetName val="Space_Analysis1"/>
      <sheetName val="sales_current_month5"/>
      <sheetName val="View_Variance5"/>
      <sheetName val="Inventory_data5"/>
      <sheetName val="FORECAST_x_FAMILIA2"/>
      <sheetName val="Space_Analysis2"/>
      <sheetName val="sales_current_month6"/>
      <sheetName val="View_Variance6"/>
      <sheetName val="Inventory_data6"/>
      <sheetName val="FORECAST_x_FAMILIA3"/>
      <sheetName val="Space_Analysis3"/>
      <sheetName val="sales_current_month7"/>
      <sheetName val="View_Variance7"/>
      <sheetName val="Inventory_data7"/>
      <sheetName val="FORECAST_x_FAMILIA4"/>
      <sheetName val="Space_Analysis4"/>
      <sheetName val="sales_current_month8"/>
      <sheetName val="View_Variance8"/>
      <sheetName val="Inventory_data8"/>
      <sheetName val="FORECAST_x_FAMILIA5"/>
      <sheetName val="Space_Analysis5"/>
      <sheetName val="sales_current_month9"/>
      <sheetName val="View_Variance9"/>
      <sheetName val="Inventory_data9"/>
      <sheetName val="FORECAST_x_FAMILIA6"/>
      <sheetName val="Space_Analysis6"/>
      <sheetName val="sales_current_month11"/>
      <sheetName val="View_Variance11"/>
      <sheetName val="Inventory_data11"/>
      <sheetName val="FORECAST_x_FAMILIA8"/>
      <sheetName val="Space_Analysis8"/>
      <sheetName val="sales_current_month10"/>
      <sheetName val="View_Variance10"/>
      <sheetName val="Inventory_data10"/>
      <sheetName val="FORECAST_x_FAMILIA7"/>
      <sheetName val="Space_Analysis7"/>
      <sheetName val="sales_current_month12"/>
      <sheetName val="View_Variance12"/>
      <sheetName val="Inventory_data12"/>
      <sheetName val="FORECAST_x_FAMILIA9"/>
      <sheetName val="Space_Analysis9"/>
      <sheetName val="sales_current_month13"/>
      <sheetName val="View_Variance13"/>
      <sheetName val="Inventory_data13"/>
      <sheetName val="FORECAST_x_FAMILIA10"/>
      <sheetName val="Space_Analysis10"/>
      <sheetName val="sales_current_month14"/>
      <sheetName val="View_Variance14"/>
      <sheetName val="Inventory_data14"/>
      <sheetName val="FORECAST_x_FAMILIA11"/>
      <sheetName val="Space_Analysis11"/>
      <sheetName val="sales_current_month15"/>
      <sheetName val="View_Variance15"/>
      <sheetName val="Inventory_data15"/>
      <sheetName val="FORECAST_x_FAMILIA12"/>
      <sheetName val="Space_Analysis12"/>
      <sheetName val="sales_current_month16"/>
      <sheetName val="View_Variance16"/>
      <sheetName val="Inventory_data16"/>
      <sheetName val="FORECAST_x_FAMILIA13"/>
      <sheetName val="Space_Analysis13"/>
      <sheetName val="sales_current_month17"/>
      <sheetName val="View_Variance17"/>
      <sheetName val="Inventory_data17"/>
      <sheetName val="FORECAST_x_FAMILIA14"/>
      <sheetName val="Space_Analysis14"/>
      <sheetName val="A-16"/>
      <sheetName val="A-15"/>
      <sheetName val="sales_current_month18"/>
      <sheetName val="View_Variance18"/>
      <sheetName val="Inventory_data18"/>
      <sheetName val="FORECAST_x_FAMILIA15"/>
      <sheetName val="Space_Analysis15"/>
      <sheetName val="sales_current_month19"/>
      <sheetName val="View_Variance19"/>
      <sheetName val="Inventory_data19"/>
      <sheetName val="FORECAST_x_FAMILIA16"/>
      <sheetName val="Space_Analysis16"/>
      <sheetName val="sales_current_month20"/>
      <sheetName val="View_Variance20"/>
      <sheetName val="Inventory_data20"/>
      <sheetName val="FORECAST_x_FAMILIA17"/>
      <sheetName val="Space_Analysis17"/>
      <sheetName val="sales_current_month21"/>
      <sheetName val="View_Variance21"/>
      <sheetName val="Inventory_data21"/>
      <sheetName val="FORECAST_x_FAMILIA18"/>
      <sheetName val="Space_Analysis18"/>
      <sheetName val="sales_current_month22"/>
      <sheetName val="View_Variance22"/>
      <sheetName val="Inventory_data22"/>
      <sheetName val="FORECAST_x_FAMILIA19"/>
      <sheetName val="Space_Analysis19"/>
      <sheetName val="sales_current_month23"/>
      <sheetName val="View_Variance23"/>
      <sheetName val="Inventory_data23"/>
      <sheetName val="FORECAST_x_FAMILIA20"/>
      <sheetName val="Space_Analysis20"/>
      <sheetName val="sales_current_month24"/>
      <sheetName val="View_Variance24"/>
      <sheetName val="Inventory_data24"/>
      <sheetName val="FORECAST_x_FAMILIA21"/>
      <sheetName val="Space_Analysis21"/>
      <sheetName val="Dropdown"/>
      <sheetName val="Family"/>
      <sheetName val="CADE DETAIL"/>
      <sheetName val="sales_current_month25"/>
      <sheetName val="View_Variance25"/>
      <sheetName val="Inventory_data25"/>
      <sheetName val="FORECAST_x_FAMILIA22"/>
      <sheetName val="Space_Analysis22"/>
      <sheetName val="sales_current_month26"/>
      <sheetName val="View_Variance26"/>
      <sheetName val="Inventory_data26"/>
      <sheetName val="FORECAST_x_FAMILIA23"/>
      <sheetName val="Space_Analysis23"/>
      <sheetName val="sales_current_month27"/>
      <sheetName val="View_Variance27"/>
      <sheetName val="Inventory_data27"/>
      <sheetName val="FORECAST_x_FAMILIA24"/>
      <sheetName val="Space_Analysis24"/>
      <sheetName val="CADE_DETAIL"/>
      <sheetName val="sales_current_month28"/>
      <sheetName val="View_Variance28"/>
      <sheetName val="Inventory_data28"/>
      <sheetName val="FORECAST_x_FAMILIA25"/>
      <sheetName val="Space_Analysis25"/>
      <sheetName val="CADE_DETAIL1"/>
      <sheetName val="PRB Expense Q4 2013"/>
      <sheetName val="sales_current_month29"/>
      <sheetName val="View_Variance29"/>
      <sheetName val="Inventory_data29"/>
      <sheetName val="FORECAST_x_FAMILIA26"/>
      <sheetName val="Space_Analysis26"/>
      <sheetName val="CADE_DETAIL2"/>
      <sheetName val="PU_ITALY_30"/>
      <sheetName val="sales_current_month30"/>
      <sheetName val="View_Variance30"/>
      <sheetName val="Inventory_data30"/>
      <sheetName val="FORECAST_x_FAMILIA27"/>
      <sheetName val="Space_Analysis27"/>
      <sheetName val="CADE_DETAIL3"/>
      <sheetName val="PRB_Expense_Q4_2013"/>
      <sheetName val="PU_ITALY_32"/>
      <sheetName val="sales_current_month32"/>
      <sheetName val="View_Variance32"/>
      <sheetName val="Inventory_data32"/>
      <sheetName val="FORECAST_x_FAMILIA29"/>
      <sheetName val="Space_Analysis29"/>
      <sheetName val="CADE_DETAIL5"/>
      <sheetName val="PRB_Expense_Q4_20132"/>
      <sheetName val="PU_ITALY_31"/>
      <sheetName val="sales_current_month31"/>
      <sheetName val="View_Variance31"/>
      <sheetName val="Inventory_data31"/>
      <sheetName val="FORECAST_x_FAMILIA28"/>
      <sheetName val="Space_Analysis28"/>
      <sheetName val="CADE_DETAIL4"/>
      <sheetName val="PRB_Expense_Q4_20131"/>
      <sheetName val="PU_ITALY_33"/>
      <sheetName val="sales_current_month33"/>
      <sheetName val="View_Variance33"/>
      <sheetName val="Inventory_data33"/>
      <sheetName val="FORECAST_x_FAMILIA30"/>
      <sheetName val="Space_Analysis30"/>
      <sheetName val="CADE_DETAIL6"/>
      <sheetName val="PRB_Expense_Q4_20133"/>
      <sheetName val="PU_ITALY_34"/>
      <sheetName val="sales_current_month34"/>
      <sheetName val="View_Variance34"/>
      <sheetName val="Inventory_data34"/>
      <sheetName val="FORECAST_x_FAMILIA31"/>
      <sheetName val="Space_Analysis31"/>
      <sheetName val="CADE_DETAIL7"/>
      <sheetName val="PRB_Expense_Q4_20134"/>
      <sheetName val="PU_ITALY_35"/>
      <sheetName val="sales_current_month35"/>
      <sheetName val="View_Variance35"/>
      <sheetName val="Inventory_data35"/>
      <sheetName val="FORECAST_x_FAMILIA32"/>
      <sheetName val="Space_Analysis32"/>
      <sheetName val="CADE_DETAIL8"/>
      <sheetName val="PRB_Expense_Q4_20135"/>
      <sheetName val="PU_ITALY_36"/>
      <sheetName val="sales_current_month36"/>
      <sheetName val="View_Variance36"/>
      <sheetName val="Inventory_data36"/>
      <sheetName val="FORECAST_x_FAMILIA33"/>
      <sheetName val="Space_Analysis33"/>
      <sheetName val="CADE_DETAIL9"/>
      <sheetName val="PRB_Expense_Q4_20136"/>
      <sheetName val="PU_ITALY_37"/>
      <sheetName val="sales_current_month37"/>
      <sheetName val="View_Variance37"/>
      <sheetName val="Inventory_data37"/>
      <sheetName val="FORECAST_x_FAMILIA34"/>
      <sheetName val="Space_Analysis34"/>
      <sheetName val="CADE_DETAIL10"/>
      <sheetName val="PRB_Expense_Q4_20137"/>
      <sheetName val="PU_ITALY_38"/>
      <sheetName val="sales_current_month38"/>
      <sheetName val="View_Variance38"/>
      <sheetName val="Inventory_data38"/>
      <sheetName val="FORECAST_x_FAMILIA35"/>
      <sheetName val="Space_Analysis35"/>
      <sheetName val="CADE_DETAIL11"/>
      <sheetName val="PRB_Expense_Q4_20138"/>
      <sheetName val="PU_ITALY_39"/>
      <sheetName val="sales_current_month39"/>
      <sheetName val="View_Variance39"/>
      <sheetName val="Inventory_data39"/>
      <sheetName val="FORECAST_x_FAMILIA36"/>
      <sheetName val="Space_Analysis36"/>
      <sheetName val="CADE_DETAIL12"/>
      <sheetName val="PRB_Expense_Q4_20139"/>
      <sheetName val="PU_ITALY_40"/>
      <sheetName val="sales_current_month40"/>
      <sheetName val="View_Variance40"/>
      <sheetName val="Inventory_data40"/>
      <sheetName val="FORECAST_x_FAMILIA37"/>
      <sheetName val="Space_Analysis37"/>
      <sheetName val="CADE_DETAIL13"/>
      <sheetName val="PRB_Expense_Q4_201310"/>
      <sheetName val="PU_ITALY_41"/>
      <sheetName val="sales_current_month41"/>
      <sheetName val="View_Variance41"/>
      <sheetName val="Inventory_data41"/>
      <sheetName val="FORECAST_x_FAMILIA38"/>
      <sheetName val="Space_Analysis38"/>
      <sheetName val="CADE_DETAIL14"/>
      <sheetName val="PRB_Expense_Q4_201311"/>
      <sheetName val="XPRODUCT"/>
      <sheetName val="REVENUE_405C"/>
      <sheetName val="MTD_DSD"/>
      <sheetName val="QTD_DSD"/>
      <sheetName val="CentralAreaCategories"/>
      <sheetName val="PU_ITALY_42"/>
      <sheetName val="sales_current_month42"/>
      <sheetName val="View_Variance42"/>
      <sheetName val="Inventory_data42"/>
      <sheetName val="FORECAST_x_FAMILIA39"/>
      <sheetName val="Space_Analysis39"/>
      <sheetName val="CADE_DETAIL15"/>
      <sheetName val="PRB_Expense_Q4_201312"/>
      <sheetName val="P&amp;L by Month"/>
      <sheetName val="PU_ITALY_43"/>
      <sheetName val="sales_current_month43"/>
      <sheetName val="View_Variance43"/>
      <sheetName val="Inventory_data43"/>
      <sheetName val="FORECAST_x_FAMILIA40"/>
      <sheetName val="Space_Analysis40"/>
      <sheetName val="CADE_DETAIL16"/>
      <sheetName val="PRB_Expense_Q4_201313"/>
      <sheetName val="PU_ITALY_44"/>
      <sheetName val="sales_current_month44"/>
      <sheetName val="View_Variance44"/>
      <sheetName val="Inventory_data44"/>
      <sheetName val="FORECAST_x_FAMILIA41"/>
      <sheetName val="Space_Analysis41"/>
      <sheetName val="CADE_DETAIL17"/>
      <sheetName val="PRB_Expense_Q4_201314"/>
      <sheetName val="PU_ITALY_45"/>
      <sheetName val="sales_current_month45"/>
      <sheetName val="View_Variance45"/>
      <sheetName val="Inventory_data45"/>
      <sheetName val="FORECAST_x_FAMILIA42"/>
      <sheetName val="Space_Analysis42"/>
      <sheetName val="CADE_DETAIL18"/>
      <sheetName val="PRB_Expense_Q4_201315"/>
      <sheetName val="P&amp;L_by_Month"/>
      <sheetName val="synthese"/>
      <sheetName val="DistiSwamp"/>
      <sheetName val="Khaibao"/>
      <sheetName val="ADJ - RATE"/>
      <sheetName val="DIV INC"/>
      <sheetName val="DropZone"/>
      <sheetName val="A1 - Income Statement"/>
      <sheetName val="SCB - Annexure A"/>
      <sheetName val="PL6-Revenue Bridge"/>
      <sheetName val="APR-MAR-03-04"/>
      <sheetName val="Validation"/>
      <sheetName val="유통망계획"/>
      <sheetName val="OC5-Push Diag"/>
      <sheetName val="Franchise Input"/>
      <sheetName val="Results"/>
      <sheetName val="PLGroupings"/>
      <sheetName val="Project ODC_NDEU"/>
      <sheetName val="Opening"/>
      <sheetName val="DepRate"/>
      <sheetName val="Quote-ExtMG-Y1"/>
      <sheetName val="Inter connect Revenue"/>
      <sheetName val="CONSTANTES"/>
      <sheetName val="Scraps"/>
      <sheetName val="Mth-Vana"/>
      <sheetName val="DUMP"/>
      <sheetName val="AN 2000"/>
      <sheetName val="Utilization"/>
      <sheetName val="PREV_RICAVI"/>
      <sheetName val="3.NGAN_SACH"/>
      <sheetName val="2.PHAN_TICH"/>
      <sheetName val="INDEX HẠ TẦNG"/>
      <sheetName val="CTG HẠ TẦNG"/>
      <sheetName val="DGG HẠ TẦNG"/>
      <sheetName val="DGG_LB CỌC"/>
      <sheetName val="DGG_MT CỌC"/>
      <sheetName val="INFO CỌC"/>
      <sheetName val="INDEX CỌC"/>
      <sheetName val="Assignment Schedule"/>
      <sheetName val="D"/>
      <sheetName val="SDDK"/>
      <sheetName val="CTG (GIAM)"/>
      <sheetName val="DETAIL PROGRESS CLAIM"/>
      <sheetName val="TBGIA"/>
      <sheetName val="Bảng dung trọng"/>
      <sheetName val="Tong Luong Thep"/>
      <sheetName val="Kien truc"/>
      <sheetName val="SPL4"/>
      <sheetName val="Du thau dau noi"/>
      <sheetName val="Du Thau"/>
      <sheetName val="Du thau PSBS"/>
      <sheetName val="DG theo HD PSBS"/>
      <sheetName val="Du thau TC11"/>
      <sheetName val="TongHopKL"/>
      <sheetName val="2. Summary-cash"/>
      <sheetName val="Total"/>
      <sheetName val="CDPS SAU KC"/>
      <sheetName val="Cognos_Office_Connection_Cache"/>
      <sheetName val="RENCERT"/>
      <sheetName val="RC Revenue"/>
      <sheetName val="AOP 2020"/>
      <sheetName val="START"/>
      <sheetName val="LE0030"/>
      <sheetName val="LE1000"/>
      <sheetName val="LE8530"/>
      <sheetName val="LE1330"/>
      <sheetName val="LE2030"/>
      <sheetName val="LE8030+8050"/>
      <sheetName val="LE6610"/>
      <sheetName val="LE8680"/>
      <sheetName val="LE5090"/>
      <sheetName val="LE2130"/>
      <sheetName val="END"/>
      <sheetName val="DATA LE"/>
      <sheetName val="DATA LE (LY)"/>
      <sheetName val="DATA RC"/>
      <sheetName val="DATA RC (LY)"/>
      <sheetName val="LE Test"/>
      <sheetName val="DATA (RC ORG)"/>
      <sheetName val="DATA (TESTING 1)"/>
      <sheetName val="DATA (TESTING CHRSPR)"/>
      <sheetName val="LE0041"/>
      <sheetName val="2018 VADIS"/>
      <sheetName val="Division"/>
      <sheetName val="Criteri"/>
      <sheetName val="Income Statement1"/>
      <sheetName val="Du lieu TKT"/>
      <sheetName val="단면가정"/>
      <sheetName val="SLTh_ke"/>
      <sheetName val="he_so_dong_thoi"/>
      <sheetName val="Thang_01"/>
      <sheetName val="Thống_kê"/>
      <sheetName val="BAN_IN"/>
      <sheetName val="Khoi_luong_kenh_dan"/>
      <sheetName val="Thep_Be_TN(tai_C10)"/>
      <sheetName val="Gia_giao_VL_den_HT"/>
      <sheetName val="THONG_SO_KICH_THUOC"/>
      <sheetName val="CBR"/>
      <sheetName val="Gia "/>
      <sheetName val="Luong TT05"/>
      <sheetName val="bang tien luong"/>
      <sheetName val="01-BM"/>
      <sheetName val="TÍNH TOÁN KHỐI LƯỢNG P6"/>
      <sheetName val="DM_1781"/>
      <sheetName val="DM_228"/>
      <sheetName val="FINANCIAL (FLR)"/>
      <sheetName val="Norm"/>
      <sheetName val="DG-VLIEU"/>
      <sheetName val="Gia HĐ"/>
      <sheetName val="List Danh mục nghiệm thu"/>
      <sheetName val="간접비 총괄표"/>
      <sheetName val="COG"/>
      <sheetName val="merger"/>
      <sheetName val="27850"/>
      <sheetName val="model"/>
      <sheetName val="RESPSP"/>
      <sheetName val="r_vali"/>
      <sheetName val="SNMOI"/>
      <sheetName val="NDK16X20"/>
      <sheetName val="OPY"/>
      <sheetName val="PT-OPY"/>
      <sheetName val="HidePriceList"/>
      <sheetName val="BASE GRAPHE"/>
      <sheetName val="Chiet tinh dz22"/>
      <sheetName val="Phan tich don gia de xuat - cau"/>
      <sheetName val="토공분석표"/>
      <sheetName val="Vat lieu cat song rac"/>
      <sheetName val="TAIKHOAN"/>
      <sheetName val="GIA THEP"/>
      <sheetName val="Hoi gia"/>
      <sheetName val="Window Door schedule"/>
      <sheetName val="을"/>
      <sheetName val="2.1 NonVessel"/>
      <sheetName val="Modification Cost"/>
      <sheetName val="Fuel"/>
      <sheetName val="1 Max Base - Cost_rep_base"/>
      <sheetName val="Rates2011"/>
      <sheetName val="2 NonVessel"/>
      <sheetName val="MWBSpread"/>
      <sheetName val="Cable Data"/>
      <sheetName val="CBL01"/>
      <sheetName val="DB FEE"/>
      <sheetName val="BHYT Tự Nguyện - Vinschool-Mau "/>
      <sheetName val="Tu dien"/>
      <sheetName val="T.kê"/>
      <sheetName val="sat"/>
      <sheetName val="dulieu cot"/>
      <sheetName val="Bank Bal. Dec 22"/>
      <sheetName val="MES"/>
      <sheetName val="CAN DOI - KET QUA"/>
      <sheetName val="Duties"/>
      <sheetName val="GSR"/>
      <sheetName val="GR"/>
      <sheetName val="Pivot Financials"/>
      <sheetName val="Instructions"/>
      <sheetName val="Review 2015"/>
      <sheetName val="Content"/>
      <sheetName val="ScoreCard"/>
      <sheetName val="People "/>
      <sheetName val="Production volumes"/>
      <sheetName val="KPIs"/>
      <sheetName val="Salary increase budget assump."/>
      <sheetName val="Production initiative"/>
      <sheetName val="Quality"/>
      <sheetName val="Prod. KPI - OEE%"/>
      <sheetName val="B&amp;P.KPI"/>
      <sheetName val="Customer SC"/>
      <sheetName val="Production KPIs"/>
      <sheetName val="Total losses"/>
      <sheetName val="Savings overview"/>
      <sheetName val="Prod FTE Dev."/>
      <sheetName val="Log FTE Dev."/>
      <sheetName val="Loss tree"/>
      <sheetName val="Inventory development"/>
      <sheetName val="DPO"/>
      <sheetName val="CAPEX"/>
      <sheetName val="Capex Phasing"/>
      <sheetName val="Std to Std MC only"/>
      <sheetName val="Top 20 BOM"/>
      <sheetName val="MC Development OLD"/>
      <sheetName val="PVM"/>
      <sheetName val="NMC &amp; Log Ass."/>
      <sheetName val=" Material Ass."/>
      <sheetName val="GtN"/>
      <sheetName val="COGS Dev."/>
      <sheetName val="MC Dev."/>
      <sheetName val="NMC Dev."/>
      <sheetName val="NMC Development OLD"/>
      <sheetName val="Log Dev."/>
      <sheetName val="Prod. capex overview"/>
      <sheetName val="Production - Risks &amp; Opport."/>
      <sheetName val="AOCM Overview"/>
      <sheetName val="AOCM Cost Group Summary"/>
      <sheetName val="Sievo Saving"/>
      <sheetName val="AOCM Sub-group"/>
      <sheetName val="Quality RFT"/>
      <sheetName val="Back-up "/>
      <sheetName val="Absorption Phasing"/>
      <sheetName val="One off"/>
      <sheetName val="Reporting changes"/>
      <sheetName val="Prod. KPI - OEE% by line"/>
      <sheetName val="Key dependencies"/>
      <sheetName val="Orgex and restructuring"/>
      <sheetName val="OCM"/>
      <sheetName val="ROIC"/>
      <sheetName val="COGS movement"/>
      <sheetName val="Back-up HR"/>
      <sheetName val="2016 FTE Variability"/>
      <sheetName val="Tables"/>
      <sheetName val="2.Sievo saving recon. vs bridge"/>
      <sheetName val="1. PPV recon. T04 vs bridges"/>
      <sheetName val="INPUT &amp; Guidance"/>
      <sheetName val="data for deck, thinkcell"/>
      <sheetName val="Flash call deck"/>
      <sheetName val="Supply chain bridge"/>
      <sheetName val="COS bridge"/>
      <sheetName val="3.Gross &amp; Net efficiency report"/>
      <sheetName val="PVM report"/>
      <sheetName val="Capex comments"/>
      <sheetName val="Log bridge"/>
      <sheetName val="One pager"/>
      <sheetName val="Option 1,Data(from HFM) "/>
      <sheetName val="Option 2, Data( Manual Input)"/>
      <sheetName val="FX &amp; HIERARCHY"/>
      <sheetName val="CAN_DOI_-_KET_QUA"/>
      <sheetName val="Bihar Plant FAR"/>
      <sheetName val="Verification Report"/>
      <sheetName val="SETUP1"/>
      <sheetName val="Sch2 - BalSht Summary"/>
      <sheetName val="Sch1 - P&amp;L Summary"/>
      <sheetName val="Cost of DM Water"/>
      <sheetName val="Imports-dataload"/>
      <sheetName val="Other assumptions"/>
      <sheetName val="Names"/>
      <sheetName val="Field Lists"/>
      <sheetName val="CUSTOMER GROUP WISE"/>
      <sheetName val="Other_assumptions"/>
      <sheetName val="Field_Lists"/>
      <sheetName val="Control_Panel"/>
      <sheetName val="Q4 2009 History"/>
      <sheetName val="Dashboard"/>
      <sheetName val="repeatative_rejection"/>
      <sheetName val="General_Info"/>
      <sheetName val="Full_PBD"/>
      <sheetName val="Non-Statistical_Sampling"/>
      <sheetName val="98FORECAST_(1)"/>
      <sheetName val="Fixed_asset_register"/>
      <sheetName val="Merit_&amp;_Market_Grid1"/>
      <sheetName val="OC5-Push_Diag"/>
      <sheetName val="Franchise_Input"/>
      <sheetName val="DIV_INC"/>
      <sheetName val="A1_-_Income_Statement"/>
      <sheetName val="SCB_-_Annexure_A"/>
      <sheetName val="PL6-Revenue_Bridge"/>
      <sheetName val="2020_RFS_Summary"/>
      <sheetName val="Well_Construction_Summary"/>
      <sheetName val="RFS_2020_-_Details_and_Notes"/>
      <sheetName val=" Final Balance Sheet"/>
      <sheetName val="summery-FINAL"/>
      <sheetName val="APR'02BS"/>
      <sheetName val="monthly"/>
      <sheetName val="FLASH"/>
      <sheetName val="Interest on WC"/>
      <sheetName val="Grouping"/>
      <sheetName val="Segment"/>
      <sheetName val="Month"/>
      <sheetName val="Giai trinh"/>
      <sheetName val="Sch_18_Bank"/>
      <sheetName val="Stock_details"/>
      <sheetName val="Part_A_General"/>
      <sheetName val="_"/>
      <sheetName val="Project_ODC_NDEU"/>
      <sheetName val="Inter_connect_Revenue"/>
      <sheetName val="AN_2000"/>
      <sheetName val="CAN_DOI_-_KET_QUA1"/>
      <sheetName val="Pivot_Financials"/>
      <sheetName val="Review_2015"/>
      <sheetName val="People_"/>
      <sheetName val="Production_volumes"/>
      <sheetName val="Salary_increase_budget_assump_"/>
      <sheetName val="Production_initiative"/>
      <sheetName val="Prod__KPI_-_OEE%"/>
      <sheetName val="B&amp;P_KPI"/>
      <sheetName val="Customer_SC"/>
      <sheetName val="Production_KPIs"/>
      <sheetName val="Total_losses"/>
      <sheetName val="Savings_overview"/>
      <sheetName val="Prod_FTE_Dev_"/>
      <sheetName val="Log_FTE_Dev_"/>
      <sheetName val="Loss_tree"/>
      <sheetName val="Inventory_development"/>
      <sheetName val="Capex_Phasing"/>
      <sheetName val="Std_to_Std_MC_only"/>
      <sheetName val="Top_20_BOM"/>
      <sheetName val="MC_Development_OLD"/>
      <sheetName val="NMC_&amp;_Log_Ass_"/>
      <sheetName val="_Material_Ass_"/>
      <sheetName val="COGS_Dev_"/>
      <sheetName val="MC_Dev_"/>
      <sheetName val="NMC_Dev_"/>
      <sheetName val="NMC_Development_OLD"/>
      <sheetName val="Log_Dev_"/>
      <sheetName val="Prod__capex_overview"/>
      <sheetName val="Production_-_Risks_&amp;_Opport_"/>
      <sheetName val="AOCM_Overview"/>
      <sheetName val="AOCM_Cost_Group_Summary"/>
      <sheetName val="Sievo_Saving"/>
      <sheetName val="AOCM_Sub-group"/>
      <sheetName val="Quality_RFT"/>
      <sheetName val="Back-up_"/>
      <sheetName val="Absorption_Phasing"/>
      <sheetName val="One_off"/>
      <sheetName val="Reporting_changes"/>
      <sheetName val="Prod__KPI_-_OEE%_by_line"/>
      <sheetName val="Key_dependencies"/>
      <sheetName val="Orgex_and_restructuring"/>
      <sheetName val="COGS_movement"/>
      <sheetName val="Back-up_HR"/>
      <sheetName val="2016_FTE_Variability"/>
      <sheetName val="2_Sievo_saving_recon__vs_bridge"/>
      <sheetName val="1__PPV_recon__T04_vs_bridges"/>
      <sheetName val="INPUT_&amp;_Guidance"/>
      <sheetName val="data_for_deck,_thinkcell"/>
      <sheetName val="Flash_call_deck"/>
      <sheetName val="Supply_chain_bridge"/>
      <sheetName val="COS_bridge"/>
      <sheetName val="3_Gross_&amp;_Net_efficiency_report"/>
      <sheetName val="PVM_report"/>
      <sheetName val="Capex_comments"/>
      <sheetName val="Log_bridge"/>
      <sheetName val="One_pager"/>
      <sheetName val="Option_1,Data(from_HFM)_"/>
      <sheetName val="Option_2,_Data(_Manual_Input)"/>
      <sheetName val="FX_&amp;_HIERARCHY"/>
      <sheetName val="Rebate"/>
      <sheetName val="项目计划表"/>
      <sheetName val="零购计划表"/>
      <sheetName val="KLR-GAS"/>
      <sheetName val="dssoi_dieutra"/>
      <sheetName val="DG4970"/>
      <sheetName val="DVao"/>
      <sheetName val="TT35"/>
      <sheetName val="Temp"/>
      <sheetName val="Chuong I"/>
      <sheetName val="unit weight"/>
      <sheetName val="VL-NC-M"/>
      <sheetName val="May Goc (QD2436)"/>
      <sheetName val="VC theo cuoc tinh"/>
      <sheetName val="BCVC ."/>
      <sheetName val="PTCT"/>
      <sheetName val="luong"/>
      <sheetName val="DP TRUOT GIA"/>
      <sheetName val="VL-NC-M."/>
      <sheetName val="VH"/>
      <sheetName val="bang 1 NCXD"/>
      <sheetName val="bang 1 NCXD (V.I)"/>
      <sheetName val="dg_tonghop"/>
      <sheetName val="DG THIET BI"/>
      <sheetName val="DG vat lieu"/>
      <sheetName val="Loại 2"/>
      <sheetName val="dm7606tba"/>
      <sheetName val="Chi tiet VL-NC-MTC"/>
      <sheetName val="Du thau 03xd"/>
      <sheetName val="Đơn trọng"/>
      <sheetName val="DTCT -XL.4"/>
      <sheetName val="FD"/>
      <sheetName val="EE (3)"/>
      <sheetName val="PAVEMENT"/>
      <sheetName val="TRAFFIC"/>
      <sheetName val="Beam _2_"/>
      <sheetName val="TS_Rep"/>
      <sheetName val="mep"/>
      <sheetName val="VL+NC+M"/>
      <sheetName val="TOT"/>
      <sheetName val="D.Trong"/>
      <sheetName val="PPT"/>
      <sheetName val="PTCM"/>
      <sheetName val="1651-2008"/>
      <sheetName val="DZ 35"/>
      <sheetName val="Cto"/>
      <sheetName val="VL.NC.M"/>
      <sheetName val="BK04"/>
      <sheetName val="BQD"/>
      <sheetName val="Tra Cứu"/>
      <sheetName val="Ban Qua do"/>
      <sheetName val="Dự kiến SL-NT 2013"/>
      <sheetName val="SL.HM-T1.2014"/>
      <sheetName val="A1.8"/>
      <sheetName val="Ntt_Form"/>
      <sheetName val="DGChung"/>
      <sheetName val="TT 16-2019"/>
      <sheetName val="SUMMARY QUANTITIES"/>
      <sheetName val="Data Summary"/>
      <sheetName val="Export Estimate_BASE_MDOC_2008"/>
      <sheetName val="Price Summary"/>
      <sheetName val="DA01.HD-List"/>
      <sheetName val="DM01.CDT"/>
      <sheetName val="DM02.NT"/>
      <sheetName val="NT01.HD-List"/>
      <sheetName val="PHÁT_SINH_TẦNG_290"/>
      <sheetName val="CẤP_THO_x0000__x0000__x0000__x0000__x0000__x0000__x0000_"/>
      <sheetName val="BILL 34Āᐁë_x0000__x0000__x0001_"/>
      <sheetName val="Renf_flat_center"/>
      <sheetName val="HEADER &amp; NOZZLES"/>
      <sheetName val="Noise (3)"/>
      <sheetName val="Estimation of splitter length"/>
      <sheetName val="Radiation (6)"/>
      <sheetName val="Material for Silencers (8)"/>
      <sheetName val="Rates"/>
      <sheetName val="Input (1)"/>
      <sheetName val="finishing"/>
      <sheetName val="DL1"/>
      <sheetName val="DL2"/>
      <sheetName val="MHSCT"/>
      <sheetName val="B-B"/>
      <sheetName val="Analysis"/>
      <sheetName val="C-C"/>
      <sheetName val="D-D"/>
      <sheetName val="Varible"/>
      <sheetName val="Competitors"/>
      <sheetName val="Ap"/>
      <sheetName val="Code HT CB -OT"/>
      <sheetName val="Code HT CB - PO"/>
      <sheetName val="DOOR A (4-roof)"/>
      <sheetName val="Door HT"/>
      <sheetName val="DOOR B1 (4-roof)"/>
      <sheetName val="DOOR B2 (4-roof)"/>
      <sheetName val="Door-Podium"/>
      <sheetName val="rate code"/>
      <sheetName val="Xuất DL AP"/>
      <sheetName val="Xuất DL OT"/>
      <sheetName val="Xuat DL PO"/>
      <sheetName val="Thong tin DA"/>
      <sheetName val="TH_DZ3518"/>
      <sheetName val="Tro_giup29"/>
      <sheetName val="RAB_AR&amp;STR16"/>
      <sheetName val="chi_tiet_TBA16"/>
      <sheetName val="chi_tiet_C16"/>
      <sheetName val="Customize_Your_Purchase_Order16"/>
      <sheetName val="CHITIET_VL-NC-TT_-1p16"/>
      <sheetName val="CHITIET_VL-NC-TT-3p15"/>
      <sheetName val="TONG_HOP_VL-NC_TT16"/>
      <sheetName val="KPVC-BD_16"/>
      <sheetName val="Don_gia16"/>
      <sheetName val="DON_GIA_TRAM_(3)16"/>
      <sheetName val="DON_GIA_CAN_THO18"/>
      <sheetName val="Don_gia_chi_tiet16"/>
      <sheetName val="HĐ_ngoài15"/>
      <sheetName val="XT_Buoc_315"/>
      <sheetName val="dongia_(2)15"/>
      <sheetName val="7606_DZ16"/>
      <sheetName val="project_management15"/>
      <sheetName val="Adix_A15"/>
      <sheetName val="S-curve_15"/>
      <sheetName val="REINF_15"/>
      <sheetName val="Rates_200915"/>
      <sheetName val="So_doi_chieu_LC15"/>
      <sheetName val="MAIN_GATE_HOUSE15"/>
      <sheetName val="Commercial_value15"/>
      <sheetName val="Du_toan15"/>
      <sheetName val="Ky_Lam_Bridge15"/>
      <sheetName val="Provisional_Sums_Item15"/>
      <sheetName val="Gas_Pressure_Welding15"/>
      <sheetName val="General_Item&amp;General_Requirem15"/>
      <sheetName val="General_Items15"/>
      <sheetName val="Regenral_Requirements15"/>
      <sheetName val="chiet_tinh15"/>
      <sheetName val="Ng_hàng_xà+bulong15"/>
      <sheetName val="MH_RATE15"/>
      <sheetName val="TONG_HOP_VL-NC15"/>
      <sheetName val="Bang_KL15"/>
      <sheetName val="Đầu_vào14"/>
      <sheetName val="Lcau_-_Lxuc15"/>
      <sheetName val="Chi_tiet_XD_TBA14"/>
      <sheetName val="DM_606115"/>
      <sheetName val="DG_thep_ma_kem15"/>
      <sheetName val="CT_vat_lieu15"/>
      <sheetName val="Equip_14"/>
      <sheetName val="A1_CN14"/>
      <sheetName val="TONG_HOP_T5_199814"/>
      <sheetName val="Chenh_lech_vat_tu14"/>
      <sheetName val="Trạm_biến_áp14"/>
      <sheetName val="Đơn_Giá_14"/>
      <sheetName val="Diện_tích14"/>
      <sheetName val="1_Khái_toán14"/>
      <sheetName val="CT-0_4KV14"/>
      <sheetName val="DG_DZ15"/>
      <sheetName val="DG_TBA15"/>
      <sheetName val="rate_material14"/>
      <sheetName val="KL_Chi_tiết_Xây_tô14"/>
      <sheetName val="07Base_Cost14"/>
      <sheetName val="GV1-D13_(Casement_door)14"/>
      <sheetName val="Bill_1_Quy_dinh_chung14"/>
      <sheetName val="1_R18_BF14"/>
      <sheetName val="6_External_works-R1814"/>
      <sheetName val="Phan_khai_KLuong14"/>
      <sheetName val="Chi_tiet_KL14"/>
      <sheetName val="Tổng_hợp_KL14"/>
      <sheetName val="04_-_XUONG_DET_B14"/>
      <sheetName val="_0314"/>
      <sheetName val="chieu_day_san14"/>
      <sheetName val="Podium_Concrete_Works14"/>
      <sheetName val="KLCT-_TOWER14"/>
      <sheetName val="KLCT-_PODIUM14"/>
      <sheetName val="Area_Cal14"/>
      <sheetName val="Gia_thanh_chuoi_su14"/>
      <sheetName val="Tiep_dia14"/>
      <sheetName val="Don_gia_vung_III-Can_Tho14"/>
      <sheetName val="Loại_Vật_tư14"/>
      <sheetName val="Elect_(3)14"/>
      <sheetName val="plan&amp;section_of_foundation14"/>
      <sheetName val="design_criteria14"/>
      <sheetName val="Bond_수수료_계산_포맷14"/>
      <sheetName val="ITB_COST14"/>
      <sheetName val="PAGE_114"/>
      <sheetName val="Xay_lapduongR314"/>
      <sheetName val="DM_6714"/>
      <sheetName val="Project_Data14"/>
      <sheetName val="6787CWFASE2CASE2_00_xls14"/>
      <sheetName val="Đầu_tư14"/>
      <sheetName val="EIRR&gt;_214"/>
      <sheetName val="Bill_02_-_Xay_gach-Pou_14"/>
      <sheetName val="Bill_03-Chống_thấm-Pou14"/>
      <sheetName val="Bill_04-Kim_loại-Pou14"/>
      <sheetName val="Bill_05_-_Hoan_thien-Pou_14"/>
      <sheetName val="Bill_02_-_Xay_gach-Tower14"/>
      <sheetName val="Bill_03-Chống_thấm-Tower14"/>
      <sheetName val="Bill_04-Kim_loại-Tower14"/>
      <sheetName val="Bill_05_-_Hoan_thien-Tower14"/>
      <sheetName val="KL-_KHAC14"/>
      <sheetName val="BILL_3_-_KẾT_CẤU_HẦM14"/>
      <sheetName val="PTĐG_LTBT14"/>
      <sheetName val="CTG-PRECHEx1_414"/>
      <sheetName val="CTG-AB_(2)14"/>
      <sheetName val="CTG-AB_(3)14"/>
      <sheetName val="CTG-PLP-1_0814"/>
      <sheetName val="Pre_Đội_nhóm14"/>
      <sheetName val="Vat_tu_XD14"/>
      <sheetName val="Tower_-_Concrete_Works14"/>
      <sheetName val="Bill-04_ket_cau_thap-_UNI14"/>
      <sheetName val="dg_tphcm14"/>
      <sheetName val="T_KÊ_K_CẤU14"/>
      <sheetName val="gia_cong_tac14"/>
      <sheetName val="4_PTDG14"/>
      <sheetName val="A1,_May14"/>
      <sheetName val="Vat_lieu14"/>
      <sheetName val="Data_Input15"/>
      <sheetName val="Measure_130614"/>
      <sheetName val="HÐ_ngoài15"/>
      <sheetName val="6PILE__(돌출)14"/>
      <sheetName val="Bill_01_-_CTN14"/>
      <sheetName val="Bill_2_2_Villa_2_beds14"/>
      <sheetName val="Analisa_Gabungan14"/>
      <sheetName val="Isolasi_Luar_Dalam14"/>
      <sheetName val="Isolasi_Luar14"/>
      <sheetName val="Harga_ME_14"/>
      <sheetName val="TH_N_Cong14"/>
      <sheetName val="ESTI_14"/>
      <sheetName val="KL_san_lap14"/>
      <sheetName val="TH_Vat_tu14"/>
      <sheetName val="_Bill_5-Earthing_2_-_Add_Work14"/>
      <sheetName val="Chenh_lech_ca_may14"/>
      <sheetName val="TLg_CN&amp;Laixe14"/>
      <sheetName val="TLg_CN&amp;Laixe_(2)14"/>
      <sheetName val="TLg_Laitau14"/>
      <sheetName val="TLg_Laitau_(2)14"/>
      <sheetName val="Bang_trong_luong_rieng_thep14"/>
      <sheetName val="Cước_VC_+_ĐM_CP_Tư_vấn14"/>
      <sheetName val="Hệ_số14"/>
      <sheetName val="DETAIL_14"/>
      <sheetName val="final_list_200530"/>
      <sheetName val="LV_data14"/>
      <sheetName val="Gia_vat_tu14"/>
      <sheetName val="CẤP_THOÁT_NƯỚC14"/>
      <sheetName val="THDT_goi_thau_TB14"/>
      <sheetName val="Tien_do_TV14"/>
      <sheetName val="bridge_#_114"/>
      <sheetName val="Bang_3_Chi_tiet_phan_Dz14"/>
      <sheetName val="KHOI_LUONG14"/>
      <sheetName val="TH_MTC14"/>
      <sheetName val="CTKL_KTX_HT13"/>
      <sheetName val="Buy_vs__Lease_Car14"/>
      <sheetName val="DATA_BASE14"/>
      <sheetName val="Equipment_list_(PAC)14"/>
      <sheetName val="TINH_KHOI_LUONG14"/>
      <sheetName val="Chi_tiet14"/>
      <sheetName val="subcon_sched14"/>
      <sheetName val="NHÀ_NHẬP_LIỆU13"/>
      <sheetName val="MÓNG_SILO13"/>
      <sheetName val="PRE_(E)14"/>
      <sheetName val="HVAC_BLOCK_B414"/>
      <sheetName val="2_Chiet_tinh13"/>
      <sheetName val="BẢNG_KHỐI_LƯỢNG_TỔNG_HỢP13"/>
      <sheetName val="CP_Khac_cuoc_VC13"/>
      <sheetName val="Budget_Code13"/>
      <sheetName val="Tong_du_toan13"/>
      <sheetName val="Bill_2_-_ketcau13"/>
      <sheetName val="Chi_tiet_lan_can13"/>
      <sheetName val="13-Cốt_thép_(10mm&lt;D≤18mm)_FO113"/>
      <sheetName val="du_lieu_du_toan13"/>
      <sheetName val="BOQ_THAN13"/>
      <sheetName val="DL_ĐẦU_VÀO13"/>
      <sheetName val="Purchase_Order13"/>
      <sheetName val="D_&amp;_W_sizes13"/>
      <sheetName val="Analisa_&amp;_Upah13"/>
      <sheetName val="Du_lieu14"/>
      <sheetName val="Phan_tich13"/>
      <sheetName val="Luong_NII13"/>
      <sheetName val="DINH_MUC_THI_NGHIEM13"/>
      <sheetName val="Luong_NI13"/>
      <sheetName val="CT_Thang_Mo13"/>
      <sheetName val="CT__PL13"/>
      <sheetName val="cash_budget13"/>
      <sheetName val="dongia__2_13"/>
      <sheetName val="GOC-KO_IN13"/>
      <sheetName val="MAU_8A13"/>
      <sheetName val="MAU_8B13"/>
      <sheetName val="MAU_913"/>
      <sheetName val="MAU_1013"/>
      <sheetName val="Thép_CKN13"/>
      <sheetName val="sochitiettaikhoan_13"/>
      <sheetName val="Share_price_data13"/>
      <sheetName val="19_313"/>
      <sheetName val="20_313"/>
      <sheetName val="Chieu_4_313"/>
      <sheetName val="Cow_req13"/>
      <sheetName val="TỔNG_HỢP13"/>
      <sheetName val="14-LẦN_3-CHIỀU13"/>
      <sheetName val="14-LẦN_1-SÁNG13"/>
      <sheetName val="14-LẦN_2-TRƯA13"/>
      <sheetName val="1_3+1_4-TOTAL_-_Ko_IN13"/>
      <sheetName val="2_1-LẦN_3-CHIỀU13"/>
      <sheetName val="2_1-LẦN_1-SÁNG13"/>
      <sheetName val="2_1-LẦN_2-TRƯA13"/>
      <sheetName val="2_1-TOTAL-Ko_IN13"/>
      <sheetName val="1_3(TMR_4)13"/>
      <sheetName val="CHO_DE13"/>
      <sheetName val="1_1+1_2+2_2+2_3(TMR_3)13"/>
      <sheetName val="CK1+CK2_(VS_SAN_CHOI_23)13"/>
      <sheetName val="CK1+CK2_(2)13"/>
      <sheetName val="12-16_THÁNG13"/>
      <sheetName val="CAN_SỮA13"/>
      <sheetName val="54+55+56(SAU_CAI_SỮA-6)13"/>
      <sheetName val="BÊ_71-90_NGÀY13"/>
      <sheetName val="BÊ_12-16_tháng13"/>
      <sheetName val="BÊ_6-1213"/>
      <sheetName val="BÊ_1-313"/>
      <sheetName val="F01-BC_KHAU_PHAN_SANG_20_313"/>
      <sheetName val="F01-BC_KHAU_PHAN_CHIEU_19_313"/>
      <sheetName val="dinh_mưc_cty13"/>
      <sheetName val="Giá_thành13"/>
      <sheetName val="Thong_ke13"/>
      <sheetName val="Energy_for_milk_prod13"/>
      <sheetName val="DE_NGHI_XUAT_13"/>
      <sheetName val="phieu_xuat_mau13"/>
      <sheetName val="PHIEU_XUAT_CHIEU13"/>
      <sheetName val="11_rai_them_cỏ13"/>
      <sheetName val="PHU_LUC_02-_HDSD_CAC_BIEU_MAU13"/>
      <sheetName val="PhU_LUC_01-_MA_CAC_NHOM_BO13"/>
      <sheetName val="F03-BC_THUC_TRON_SANG_20_313"/>
      <sheetName val="F03-BC_THUC_TRON_CHIEU_19_313"/>
      <sheetName val="F02-BC_THEO_DOI_THUC_AN_DU13"/>
      <sheetName val="Tham_khao-_Bao_cao_xuat_thuc_13"/>
      <sheetName val="VC_xd11"/>
      <sheetName val="Gia_VLTB11"/>
      <sheetName val="B_Luong11"/>
      <sheetName val="C_May11"/>
      <sheetName val="Dlieu_dau_vao13"/>
      <sheetName val="Income_Statement13"/>
      <sheetName val="Shareholders'_Equity13"/>
      <sheetName val="BANCO_(2)13"/>
      <sheetName val="MT_DPin_(2)13"/>
      <sheetName val="02__PTDG13"/>
      <sheetName val="Chiết_tính13"/>
      <sheetName val="TB_NẶNG11"/>
      <sheetName val="Du_tru_CP-Bieu_0111"/>
      <sheetName val="Don_gia_(khong_in)13"/>
      <sheetName val="DK1_Don_gia13"/>
      <sheetName val="1_MONG_1-213"/>
      <sheetName val="THEP_TAM11"/>
      <sheetName val="THEP_HÌNH11"/>
      <sheetName val="THEP_HINH11"/>
      <sheetName val="XA_GO11"/>
      <sheetName val="BANG_TRA11"/>
      <sheetName val="wk_prgs11"/>
      <sheetName val="Ma_don_vi11"/>
      <sheetName val="bang_cc11"/>
      <sheetName val="dm_36611"/>
      <sheetName val="DM_606011"/>
      <sheetName val="Dự_thầu11"/>
      <sheetName val="Nhap_VT_oto11"/>
      <sheetName val="Hao_phí11"/>
      <sheetName val="Structure_data11"/>
      <sheetName val="đọc_số11"/>
      <sheetName val="Bill_No_3_-_Prov__Sum_(Ph2&amp;3)11"/>
      <sheetName val="TH_TN11"/>
      <sheetName val="CP_Du_phong11"/>
      <sheetName val="THCP_Lap_dat11"/>
      <sheetName val="THCP_xay_dung11"/>
      <sheetName val="Tong_hop_kinh_phi11"/>
      <sheetName val="Dự_toán11"/>
      <sheetName val="Đơn_Giá_TH11"/>
      <sheetName val="Nhân_công11"/>
      <sheetName val="Phân_tích11"/>
      <sheetName val="C_P_Thiết_bị11"/>
      <sheetName val="T_H_Kinh_phí11"/>
      <sheetName val="Vật_tư11"/>
      <sheetName val="Trang_bìa11"/>
      <sheetName val="Don_gia_chi_tiet_DIEN_210"/>
      <sheetName val="Data_Wall11"/>
      <sheetName val="2_1Warehouse_111"/>
      <sheetName val="AG_Pipe_Qty_Analysis11"/>
      <sheetName val="Main_Bldg-Rev0211"/>
      <sheetName val="D&amp;W_def_11"/>
      <sheetName val="Nhan_cong11"/>
      <sheetName val="Thiet_bi11"/>
      <sheetName val="Vat_tu11"/>
      <sheetName val="DM_ChiPhi11"/>
      <sheetName val="May_TC11"/>
      <sheetName val="TH_Kinh_phi11"/>
      <sheetName val="Ptvl_11"/>
      <sheetName val="Ｎｏ_1311"/>
      <sheetName val="DGchitiet_11"/>
      <sheetName val="CP_HMC11"/>
      <sheetName val="HỆ_THỐNG_PHÒNG_CHÁY_CHỮA_CHÁY11"/>
      <sheetName val="HỆ_THỐNG_CẤP_THOÁT_NƯỚC11"/>
      <sheetName val="HỆ_THỐNG_ĐHKK11"/>
      <sheetName val="MÁY_PHÁT_ĐIỆN11"/>
      <sheetName val="HỆ_THỐNG_ĐIỆN11"/>
      <sheetName val="Thiết_bị_chính11"/>
      <sheetName val="CHI_PHI11"/>
      <sheetName val="TK_chi_tiet11"/>
      <sheetName val="Bill_2-Road_HR211"/>
      <sheetName val="Bill_3_-_Softscape_HR211"/>
      <sheetName val="CĂN_HỘ_T16-17_11"/>
      <sheetName val="TRỤC_ĐỨNG_THOÁT_BẨN_T15-1711"/>
      <sheetName val="TRỤC_ĐỨNG_TM_T15-1711"/>
      <sheetName val="Móng,_nền_11"/>
      <sheetName val="1_Requisition(E)11"/>
      <sheetName val="TONG_HOP11"/>
      <sheetName val="Tổng_GT11"/>
      <sheetName val="Chi_tiết_KL11"/>
      <sheetName val="khấu_trừ_phạt11"/>
      <sheetName val="GT__KHAU_TRU11"/>
      <sheetName val="HAO_HUT_VAT_TU_(2)11"/>
      <sheetName val="cao_độ11"/>
      <sheetName val="phan_tic_chi_tiet11"/>
      <sheetName val="DG_142610"/>
      <sheetName val="Theo_doi_Doanh_thu_201710"/>
      <sheetName val="KL_THEP__GIAM_DO_DUNG_COUPLER10"/>
      <sheetName val="01_KL_THÉP_NHẬP_VỀ10"/>
      <sheetName val="2__NT_VLDV10"/>
      <sheetName val="GHI_CHU10"/>
      <sheetName val="1_BB_LMHT10"/>
      <sheetName val="gui_BKCT10"/>
      <sheetName val="Gia_vat_lieu10"/>
      <sheetName val="Precios_unitarios_AXH10"/>
      <sheetName val="Chi_tiet_cong_no11"/>
      <sheetName val="PHÁT_SINH_TẦNG_1_11"/>
      <sheetName val="PHÁT_SINH_TẦNG_211"/>
      <sheetName val="Hầm_chuyển_psinh11"/>
      <sheetName val="Ống_thẳng11"/>
      <sheetName val="Côn_thu11"/>
      <sheetName val="Vuông_tròn11"/>
      <sheetName val="Chân_rẽ11"/>
      <sheetName val="Chạc_ba11"/>
      <sheetName val="MB_DT_029"/>
      <sheetName val="Chi_tiet_-tong_9_thang10"/>
      <sheetName val="3__CNT10"/>
      <sheetName val="unit_price_list(M)10"/>
      <sheetName val="So_lieu_chung10"/>
      <sheetName val="TH_VL,_NC,_DDHT_Thanhphuoc10"/>
      <sheetName val="BẢNG_ÁP_GIÁ_(in)10"/>
      <sheetName val="NT_(KL)_IN10"/>
      <sheetName val="DOM_D210"/>
      <sheetName val="nhà_ăn10"/>
      <sheetName val="Công_nhật10"/>
      <sheetName val="btkt_cột10"/>
      <sheetName val="Bê_tông_bảo_vệ10"/>
      <sheetName val="01__Data10"/>
      <sheetName val="Neo,_nối_cốt_thép_dầm,_cột10"/>
      <sheetName val="Uốn_móc_cốt_thép10"/>
      <sheetName val="Tiêu_chuẩn_cốt_thép10"/>
      <sheetName val="Doi_so10"/>
      <sheetName val="1_2_Staff_Schedule10"/>
      <sheetName val="0__Input10"/>
      <sheetName val="DANH_MỤC_HỒ_SƠ10"/>
      <sheetName val="GT_PHÁT_SINH_NGOÀI_HĐ10"/>
      <sheetName val="KL_PHÁT_SINH_10"/>
      <sheetName val="PS_NGOÀI_HĐ10"/>
      <sheetName val="GT_PHÁT_SINH_VƯỢT_HĐ10"/>
      <sheetName val="PS_TĂNG_GIẢM_TRONG_HĐ10"/>
      <sheetName val="DGCT_PHÁT_SINH10"/>
      <sheetName val="DGCT_TRẦN_NLV10"/>
      <sheetName val="DGKL_chi_tiết_NLV10"/>
      <sheetName val="DGKL_chi_tiết_NHN,NK10"/>
      <sheetName val="TG_KL10"/>
      <sheetName val="DGCT_SƠN_BẢ_TƯỜNG_NLV10"/>
      <sheetName val="DGKL_TRẦN_NHN10"/>
      <sheetName val="MTO_REV_2(ARMOR)10"/>
      <sheetName val="Cotthep_NPT10"/>
      <sheetName val="vl_nc_mtc10"/>
      <sheetName val="Heso_DZ10"/>
      <sheetName val="DM_336cai_tao10"/>
      <sheetName val="DG_BINH_THUAN10"/>
      <sheetName val="Tien_Thuong10"/>
      <sheetName val="NC_XL_6T_cuoi_01_CTy10"/>
      <sheetName val="Data_-6T_dau10"/>
      <sheetName val="Cong_6T10"/>
      <sheetName val="KL_thep_lam_sat10"/>
      <sheetName val="B3A_-_TOWER_A10"/>
      <sheetName val="Annex_B10"/>
      <sheetName val="Bill_Prelim-CDT10"/>
      <sheetName val="Bill_BPTC-CDT10"/>
      <sheetName val="Chi_tiết_BPTC10"/>
      <sheetName val="Bill_BPTC-CDT_(PA_MCT_CDT)10"/>
      <sheetName val="Chi_tiết_BPTC_(PA_MCT_CDT)10"/>
      <sheetName val="1_Civil_(Org)10"/>
      <sheetName val="DM-VNT_ko_sd10"/>
      <sheetName val="Bảng_đo_bóc_KL_OLK-0910"/>
      <sheetName val="6_3_CHI_TIET_OLK-0910"/>
      <sheetName val="1__Office10"/>
      <sheetName val="KHOI_LUONG15-410"/>
      <sheetName val="Tong_hop_vat_tu10"/>
      <sheetName val="1_San_10"/>
      <sheetName val="TLG_Type10"/>
      <sheetName val="Dgia_vat_tu10"/>
      <sheetName val="Don_gia_III10"/>
      <sheetName val="D÷_liÖu10"/>
      <sheetName val="Dot_410"/>
      <sheetName val="Thop_Ksat10"/>
      <sheetName val="Thu_hoi_10"/>
      <sheetName val="HM_chung10"/>
      <sheetName val="CP_xd-thiet_bi10"/>
      <sheetName val="TH-TN_LD_TB10"/>
      <sheetName val="CP_xaydung10"/>
      <sheetName val="Thao_ha_phu_kien10"/>
      <sheetName val="VL-NC-MTC_ket_cau10"/>
      <sheetName val="KHOI_LUONG_TONG10"/>
      <sheetName val="TK_22KV10"/>
      <sheetName val="DM_366-177710"/>
      <sheetName val="Thi_nhiem10"/>
      <sheetName val="Gia_goc_VT-TB10"/>
      <sheetName val="Gia_vc_den_chan_CT10"/>
      <sheetName val="culy_2210"/>
      <sheetName val="Luong_205010"/>
      <sheetName val="ca_may_QN10"/>
      <sheetName val="TNHC1246_10"/>
      <sheetName val="Ca_may_TT06_201010"/>
      <sheetName val="Don_gia_VLXD_dia_phuong10"/>
      <sheetName val="Bang_luong_SCL10"/>
      <sheetName val="Dinh_muc_TN142610"/>
      <sheetName val="HRG_BHN10"/>
      <sheetName val="CĂN_ĐH10"/>
      <sheetName val="Chi_phi_van_chuyen10"/>
      <sheetName val="TH_các_CC10"/>
      <sheetName val="Div26_-_Elect10"/>
      <sheetName val="7_Khau_tru_10"/>
      <sheetName val="Q_A01_2-Sh10"/>
      <sheetName val="4_CĂN10"/>
      <sheetName val="2_CDPS10"/>
      <sheetName val="Don_gia_NC10"/>
      <sheetName val="DT_hợp_đồng9"/>
      <sheetName val="Bảng_KL_đợt_19"/>
      <sheetName val="Danh_mục9"/>
      <sheetName val="Bieu_gia_HD9"/>
      <sheetName val="Summary_Sheet9"/>
      <sheetName val="Finishing-Tower_A9"/>
      <sheetName val="Finishing-Tower_B9"/>
      <sheetName val="Finishing-Tower_C9"/>
      <sheetName val="Finishing-Tower_D9"/>
      <sheetName val="MEP-Tower_A9"/>
      <sheetName val="MEP-Tower_B9"/>
      <sheetName val="MEP-Tower_C9"/>
      <sheetName val="MEP-Tower_D9"/>
      <sheetName val="Cost_Report_Sum9"/>
      <sheetName val="Detail_Cost_Sum9"/>
      <sheetName val="RVO-VO_Sum9"/>
      <sheetName val="Potential_VOs_Sum9"/>
      <sheetName val="Cash_Flow_Sum9"/>
      <sheetName val="BTK-Dai_Hoc_Kien_Giang9"/>
      <sheetName val="PV_Graph_Data9"/>
      <sheetName val="doanh_thu9"/>
      <sheetName val="Dutoan_KL9"/>
      <sheetName val="CAP_NUOC9"/>
      <sheetName val="cấp_nước_trục_nhà_vs9"/>
      <sheetName val="THOAT_NUOC9"/>
      <sheetName val="THOAT_MUA9"/>
      <sheetName val="Cáp_phòng9"/>
      <sheetName val="TMC_ĐIỆN_Phi9"/>
      <sheetName val="TMC_Tổng9"/>
      <sheetName val="TH_Đèn_Phòng_L19"/>
      <sheetName val="TH_Đèn_Hầm_L19"/>
      <sheetName val="TỦ_MODULE_T19"/>
      <sheetName val="B-2__(DPP)10"/>
      <sheetName val="Huong_dan9"/>
      <sheetName val="gia_vt,nc,may9"/>
      <sheetName val="5_2_1_Đo_bóc_KL_OLK-069"/>
      <sheetName val="Financ__Overview9"/>
      <sheetName val="TINH_GIA_-_SAN_XUAT_Vertico9"/>
      <sheetName val="13_BANG_CT9"/>
      <sheetName val="14_MMUS_GIUA_NHIP9"/>
      <sheetName val="4_HSPBngang9"/>
      <sheetName val="6_Tinh_tai9"/>
      <sheetName val="2_NSl9"/>
      <sheetName val="17_US_CHU_tho_a_b9"/>
      <sheetName val="15_MMUS_GOI9"/>
      <sheetName val="Tổng_hợp_KPHM9"/>
      <sheetName val="Dinh_muc9"/>
      <sheetName val="DZ_22KV9"/>
      <sheetName val="GIÁ_DỰ_THẦU_30_CĂN9"/>
      <sheetName val="Kê_0,49"/>
      <sheetName val="TH_0,49"/>
      <sheetName val="Kê_229"/>
      <sheetName val="TH_229"/>
      <sheetName val="TBA_CAI_TAO9"/>
      <sheetName val="TBA_XDM9"/>
      <sheetName val="TONG_HOP_DU_TOAN9"/>
      <sheetName val="Thop_XAY_DUNG9"/>
      <sheetName val="CP_HANG_MUC_CHUNG9"/>
      <sheetName val="CHI_PHI_XD9"/>
      <sheetName val="CHI_PHI_THI_NGHIEM9"/>
      <sheetName val="VLDIEN_229"/>
      <sheetName val="Dao_dat9"/>
      <sheetName val="TH_Denbu9"/>
      <sheetName val="Do_ve_DC9"/>
      <sheetName val="TH_Bommin9"/>
      <sheetName val="CHI_PHI_THI_NGHIEM-LD_thiet_bi9"/>
      <sheetName val="Luong_TT019"/>
      <sheetName val="Camay_QB9"/>
      <sheetName val="gia_ca_may_BXD9"/>
      <sheetName val="BANG_LUONG_KY_SU9"/>
      <sheetName val="Bang_luong_NHOM_I9"/>
      <sheetName val="Bangluong_NHOM_II_9"/>
      <sheetName val="09-GIA_nhien_lieu-ko_in9"/>
      <sheetName val="Tinh_V_cot_chiem_cho9"/>
      <sheetName val="ĐM_13549"/>
      <sheetName val="KHOAN_MAU9"/>
      <sheetName val="ĐO_ĐỊA_VẬT_LÝ9"/>
      <sheetName val="khoan_tiep_dia9"/>
      <sheetName val="KS_tuyen9"/>
      <sheetName val="Bang_chiet_tinh_TBA9"/>
      <sheetName val="4_2_1_Đo_bóc_KL_OLK-069"/>
      <sheetName val="4_1_1_CHI_TIET_OLK-069"/>
      <sheetName val="DG_Chi_tiet9"/>
      <sheetName val="_1710_HOINGHINLD9"/>
      <sheetName val="99_(2)9"/>
      <sheetName val="134_9"/>
      <sheetName val="DG_49709"/>
      <sheetName val="Cash_Flow9"/>
      <sheetName val="BU_LONG9"/>
      <sheetName val="DT__NHA_XUONG9"/>
      <sheetName val="EQUIP_LIST9"/>
      <sheetName val="THONG_SO9"/>
      <sheetName val="Đơn_giá_chi_tiết_TN_399"/>
      <sheetName val="HERD_MOVEMENTFARM111"/>
      <sheetName val="HERD_MOVEMENTFARM211"/>
      <sheetName val="CALVES_2-411"/>
      <sheetName val="Cavles_2-411"/>
      <sheetName val="CALVES_4-711"/>
      <sheetName val="HEIFER_7-12m11"/>
      <sheetName val="HEIFER_12+11"/>
      <sheetName val="FRESH_COW_2017-1811"/>
      <sheetName val="HP_COW_201811"/>
      <sheetName val="LP_COW_2017-1811"/>
      <sheetName val="DRY_COW11"/>
      <sheetName val="FIELD_CROPS11"/>
      <sheetName val="So_sanh9"/>
      <sheetName val="Electrical_Works9"/>
      <sheetName val="H_T__INCOMING_SYSTEM9"/>
      <sheetName val="Tính_giá_NC9"/>
      <sheetName val="Tiên_lượng9"/>
      <sheetName val="SL_cước9"/>
      <sheetName val="¥_9"/>
      <sheetName val="Gia_VT-TB9"/>
      <sheetName val="noi_suy_xa9"/>
      <sheetName val="noi_suy_xa_thu_hoi9"/>
      <sheetName val="Thuyết_minh9"/>
      <sheetName val="Đơn_giá_máy9"/>
      <sheetName val="Tong_DT8"/>
      <sheetName val="phan_tich_don_gia8"/>
      <sheetName val="Bill_No_1_69"/>
      <sheetName val="Bill_No_1_109"/>
      <sheetName val="Bill_No_3_39"/>
      <sheetName val="Bill_No_1_49"/>
      <sheetName val="Bill_No_1_79"/>
      <sheetName val="Summary_Bill_No__39"/>
      <sheetName val="Unit_price8"/>
      <sheetName val="Chiet_tinh_dz358"/>
      <sheetName val="DT_san_XD-So_lieu_cu8"/>
      <sheetName val="FF-2_(1)8"/>
      <sheetName val="Labour_Summary21"/>
      <sheetName val="YTD_12'20038"/>
      <sheetName val="YTD_06'20038"/>
      <sheetName val="YTD_03'20038"/>
      <sheetName val="YTD_09'20038"/>
      <sheetName val="deferred_taxes8"/>
      <sheetName val="Eqpmnt_Plng8"/>
      <sheetName val="TRIAL_BALANCE8"/>
      <sheetName val="DPR_31st_march8"/>
      <sheetName val="current_month8"/>
      <sheetName val="Blng__Vs_Coll_8"/>
      <sheetName val="Bán_đợt_1_trang8"/>
      <sheetName val="3__KC_-_PODIUM8"/>
      <sheetName val="CTDZ6kv_(gd1)_8"/>
      <sheetName val="CTDZ_0_4+cto_(GD1)8"/>
      <sheetName val="CTTBA_(gd1)8"/>
      <sheetName val="03_Detailed8"/>
      <sheetName val="01_Bid_Price_summary8"/>
      <sheetName val="Home_Office_Manhours8"/>
      <sheetName val="Field_SPV_Barchart8"/>
      <sheetName val="Tien_Luong8"/>
      <sheetName val="Unit_price(Updateting)8"/>
      <sheetName val="Cost_List8"/>
      <sheetName val="Detail_Cost8"/>
      <sheetName val="IC_Price_New8"/>
      <sheetName val="Summary_Table8"/>
      <sheetName val="Sales_Person8"/>
      <sheetName val="Bidding_Entity8"/>
      <sheetName val="CHITIET_VL-NCHT1_(2)8"/>
      <sheetName val="Bù_giá_CM8"/>
      <sheetName val="Breakdown_(B)8"/>
      <sheetName val="U_P_Breakdown8"/>
      <sheetName val="IMF_Code8"/>
      <sheetName val="Subsidiary_Calculation8"/>
      <sheetName val="Phu_Bai_Bridge8"/>
      <sheetName val="5_2_1_Đo_bóc_KL_OLK-108"/>
      <sheetName val="BẢNG_DIỄN_GIẢI_KL_(7)8"/>
      <sheetName val="don_gia_14268"/>
      <sheetName val="Luong_BN8"/>
      <sheetName val="Luong_TB8"/>
      <sheetName val="Ca_may_TB8"/>
      <sheetName val="Ca_máy_BN8"/>
      <sheetName val="Vật_liệu8"/>
      <sheetName val="LX_-TT058"/>
      <sheetName val="NC_Moi_TT058"/>
      <sheetName val="Bia_lot8"/>
      <sheetName val="Chu_dau_tu4"/>
      <sheetName val="Cau_tao_gia_xay_to4"/>
      <sheetName val="THÔNG_TIN4"/>
      <sheetName val="THPDMoi__(2)4"/>
      <sheetName val="t-h_HA_THE4"/>
      <sheetName val="TH_XL4"/>
      <sheetName val="CHITIET_VL-NC4"/>
      <sheetName val="Wall Pier"/>
      <sheetName val="p2-1"/>
      <sheetName val="BSD (2)"/>
      <sheetName val="AUTOMATIC SELECT"/>
      <sheetName val="U.P List"/>
      <sheetName val="TinhToan"/>
      <sheetName val="accom cash"/>
      <sheetName val="Du toan XD"/>
      <sheetName val="DGCT_TRẦN_NLW7"/>
      <sheetName val="ca_máy7"/>
      <sheetName val="DG_2"/>
      <sheetName val="CT_-THVLNC"/>
      <sheetName val="ADJ_2011"/>
      <sheetName val="NOVA_MEDIC"/>
      <sheetName val="DGKL_MEDIC"/>
      <sheetName val="cable,_lighting,_switch"/>
      <sheetName val="ĐỢT_1"/>
      <sheetName val="TCVN_1651-2008"/>
      <sheetName val="Listes_Caractéristiques"/>
      <sheetName val="Liste_Référentiel"/>
      <sheetName val="Bill_4_1a___"/>
      <sheetName val="XL4Poppy_(2)1"/>
      <sheetName val="OVER_VIEW"/>
      <sheetName val="1_설계조건"/>
      <sheetName val="Wood_Mckenzie"/>
      <sheetName val="Đầu_ra_sản_phẩm"/>
      <sheetName val="Tổng_quan_và_Input"/>
      <sheetName val="Đầu_vào_sản_xuất"/>
      <sheetName val="Tính_toán_doanh_thu"/>
      <sheetName val="Phân_tích_độ_nhạy"/>
      <sheetName val="Khấu_hao_TSCĐ"/>
      <sheetName val="Nguồn_vốn"/>
      <sheetName val="Giải_ngân_nguồn_vốn"/>
      <sheetName val="Tính_toán_thuế"/>
      <sheetName val="Tính_toán_chi_phí_SX"/>
      <sheetName val="TH_ĐƠN_GIÁ"/>
      <sheetName val="02__THONG_TIN_CHUNG"/>
      <sheetName val="07__DINH_MUC_HBC"/>
      <sheetName val="Dynamic_Ranges"/>
      <sheetName val="NHOM_KINH_"/>
      <sheetName val="DS_Cty"/>
      <sheetName val="Bldg_Brkdown"/>
      <sheetName val="MAHANG_BHLD"/>
      <sheetName val="CHITIETHOADON_TT"/>
      <sheetName val="mahang_chinh_sua_moi_nhat"/>
      <sheetName val="KL_T16_BÀN_GIAO_19_4"/>
      <sheetName val="DTXL(_270)"/>
      <sheetName val="SCOPE_OF_WORK"/>
      <sheetName val="Data_(2)"/>
      <sheetName val="Book_1_Summary"/>
      <sheetName val="DG_VL_KS"/>
      <sheetName val="THÁNG_05"/>
      <sheetName val="TONGKE3p_"/>
      <sheetName val="List_of_Staff"/>
      <sheetName val="__QUOTATION_xlsx"/>
      <sheetName val="chi_tiet_TS_theo_so_lieu_ktoan"/>
      <sheetName val="2_5_Ducts_(2)"/>
      <sheetName val="S_N"/>
      <sheetName val="CF_-Update_31Jul06"/>
      <sheetName val="Executive_Summary"/>
      <sheetName val="Rate_Analysis"/>
      <sheetName val="Noise_insl"/>
      <sheetName val="DIEN_TICH"/>
      <sheetName val="H_Satuan"/>
      <sheetName val="4_3_Scope_of_work_"/>
      <sheetName val="THCP_thiet_bi"/>
      <sheetName val="Be_tong"/>
      <sheetName val="Eq__Mobilization"/>
      <sheetName val="2__Tổng_hợp"/>
      <sheetName val="List_Equip"/>
      <sheetName val="Process_C_(1-166)"/>
      <sheetName val="Link_HG"/>
      <sheetName val="TK_SX"/>
      <sheetName val="dgctqn"/>
      <sheetName val="정부노임단가"/>
      <sheetName val="factory area"/>
      <sheetName val="Floor area"/>
      <sheetName val="V.c noi bo"/>
      <sheetName val="質疑回答書"/>
      <sheetName val="5201.2004"/>
      <sheetName val="sub struc-Omission"/>
      <sheetName val="SUMMARY "/>
      <sheetName val="General_Item&amp;General_Requireme@"/>
      <sheetName val="MVT"/>
      <sheetName val="MÁY_PHÁT_x0000__x0000__x0000__x0000_N1"/>
      <sheetName val="Summary of My Chanh Bridge"/>
      <sheetName val="My Chanh Bridge"/>
      <sheetName val="Summary of Phu Bai Bridge"/>
      <sheetName val="Summary of Nong Bridge"/>
      <sheetName val="Nong Bridge"/>
      <sheetName val="Summary of Phong Le Bridge"/>
      <sheetName val="Phong Le Bridge"/>
      <sheetName val="Summary of Ky Lam Bridge"/>
      <sheetName val="분석"/>
      <sheetName val="wall"/>
      <sheetName val="Door_and_window8"/>
      <sheetName val="Khai_toan3"/>
      <sheetName val="Phu_luc_01_1_EPC_P11-143"/>
      <sheetName val="TDT_P11-P143"/>
      <sheetName val="Chi_phi_khac_3"/>
      <sheetName val="Hang_muc_Chung3"/>
      <sheetName val="Bia_Phu_Luc3"/>
      <sheetName val="DATA_1_CHUNG3"/>
      <sheetName val="Muc_luc3"/>
      <sheetName val="Tra_cuu_9573"/>
      <sheetName val="SGC_RATE3"/>
      <sheetName val="w't_table3"/>
      <sheetName val="Tru_TT3"/>
      <sheetName val="Thg_043"/>
      <sheetName val="Thg_053"/>
      <sheetName val="Thg_063"/>
      <sheetName val="Thg_073"/>
      <sheetName val="Thg_083"/>
      <sheetName val="Thg_093"/>
      <sheetName val="Thg_103"/>
      <sheetName val="Thg_113"/>
      <sheetName val="Thg_123"/>
      <sheetName val="DM_DU_AN3"/>
      <sheetName val="DM_TP_3"/>
      <sheetName val="File_Chi_tiet3"/>
      <sheetName val="Currency_Rate3"/>
      <sheetName val="Probbl_-_Production3"/>
      <sheetName val="Danh_mục_khối3"/>
      <sheetName val="Danh_mục_đơn_vị_-phòng_chức_nă3"/>
      <sheetName val="CHI_PHÍ_NHÔM3"/>
      <sheetName val="BILL_34Āᐁë3"/>
      <sheetName val="Dashboard_-_BQL_-_VHL3"/>
      <sheetName val="KEILA_TP_2020-073"/>
      <sheetName val="CFA_(ME)3"/>
      <sheetName val="MEP_Building3"/>
      <sheetName val="BOM-13_11-Other(PS1+PS2)3"/>
      <sheetName val="2__BBNT_KLHT3"/>
      <sheetName val="Dinh_Muc_Vat_Tu3"/>
      <sheetName val="mã_3"/>
      <sheetName val="CHITIET_VL-NC-TT1p3"/>
      <sheetName val="TH_khoi_luong3"/>
      <sheetName val="Chi_tiet_khoi_luong3"/>
      <sheetName val="TK_thep3"/>
      <sheetName val="CT_THOÁT_WC_VP3"/>
      <sheetName val="CT_CẤP_WC_VP3"/>
      <sheetName val="CT_THOÁT_MƯA_VP_TRỤC_LỚN3"/>
      <sheetName val="CT_THOÁT_MƯA_VP_TRỤC_NHỎ3"/>
      <sheetName val="NHOM_KINH2"/>
      <sheetName val="LUONG_SCL3"/>
      <sheetName val="Service_Cost_2"/>
      <sheetName val="Don_gia_Tay_Ninh2"/>
      <sheetName val="Don_gia_Dak_Lak2"/>
      <sheetName val="streeta_and_cacth_pit2"/>
      <sheetName val="Daf_12"/>
      <sheetName val="Share_Price_20022"/>
      <sheetName val="Auto_Monthly_Inputs_1"/>
      <sheetName val="Gia_NC_theo_TT051"/>
      <sheetName val="Land_Dev't__Ph-11"/>
      <sheetName val="Hac_Lots1"/>
      <sheetName val="4-Lane_bridge1"/>
      <sheetName val="Res_Lots1"/>
      <sheetName val="Spine_Road1"/>
      <sheetName val="Nhập_liệu1"/>
      <sheetName val="Chênh_lệch_máy_thi_công2"/>
      <sheetName val="Chênh_lệch_nhân_công2"/>
      <sheetName val="Chênh_lệch_vật_liệu2"/>
      <sheetName val="Chao_gia_T12_RE2"/>
      <sheetName val="Don_gia_XD2"/>
      <sheetName val="DSV6_Summ1"/>
      <sheetName val="Luong_(TP_Việt_Trì)1"/>
      <sheetName val="Bill_21"/>
      <sheetName val="Bill_31"/>
      <sheetName val="Bill_4a_-_1A1"/>
      <sheetName val="Bill_4a_(Fiber)_-_1A1"/>
      <sheetName val="Bill_4b1"/>
      <sheetName val="Bill_4c1"/>
      <sheetName val="Bill_51"/>
      <sheetName val="Bill_4a_-_1B1"/>
      <sheetName val="Bill_4a_(Fiber)_-_1B1"/>
      <sheetName val="DO_AM_DT1"/>
      <sheetName val="Elemental_Breakdown+20%1"/>
      <sheetName val="Boc_KL_DAT+CAT+BT1"/>
      <sheetName val="Boc_KL_thép1"/>
      <sheetName val="Bieu_do_nhan_luc1"/>
      <sheetName val="PHẦN_KIẾN_TRÚC1"/>
      <sheetName val="DGKL_TRỤC_NGOAI_NHA1"/>
      <sheetName val="Sum_ELE__CAP_S1-4__1"/>
      <sheetName val="5_2_1_Đo_bóc_KL_OLK-071"/>
      <sheetName val="Bank_Rev1"/>
      <sheetName val="BP_DECLINE_IT1"/>
      <sheetName val="Input_List1"/>
      <sheetName val="Valid_data_revised1"/>
      <sheetName val="DETAIL_MIX_%_REPORT1"/>
      <sheetName val="Fill_this_out_first___1"/>
      <sheetName val="BC_chi_tiết_TT1"/>
      <sheetName val="Cước_CG1"/>
      <sheetName val="242_3_summaryOPC1"/>
      <sheetName val="1_1General1"/>
      <sheetName val="0_Data1"/>
      <sheetName val="0_Data_new1"/>
      <sheetName val="Aging_Sept2"/>
      <sheetName val="6__Scope_of_work_1"/>
      <sheetName val="4_6_Phân_tích_nhân_sự_1"/>
      <sheetName val="4_5_Mức_độ_tham_gia_dự_án1"/>
      <sheetName val="CONSOIDATE_41"/>
      <sheetName val="CONSOIDATE_21"/>
      <sheetName val="Dai_tu1"/>
      <sheetName val="01__Nha_xuong1"/>
      <sheetName val="Committed_Items1"/>
      <sheetName val="Corner_Arch1"/>
      <sheetName val="End_Arch1"/>
      <sheetName val="Intermediate_Arch1"/>
      <sheetName val="reinforcement_6751"/>
      <sheetName val="ext_wall_fin_qty1"/>
      <sheetName val="SL_Plum_1"/>
      <sheetName val="Physical_Schedule_3D1"/>
      <sheetName val="Hrg_Readymix1"/>
      <sheetName val="Define_finishing1"/>
      <sheetName val="Cuoc_1"/>
      <sheetName val="gia_chao1"/>
      <sheetName val="Vat_lieu_BTN1"/>
      <sheetName val="Input_-_Facilities1"/>
      <sheetName val="BP_CAPEX_MoD-100%_Area_4_USD1"/>
      <sheetName val="So_sanh_gia1"/>
      <sheetName val="Luong_2622EVN1"/>
      <sheetName val="0,SO_LIEU_DAU_VAO1"/>
      <sheetName val="NC_CU1"/>
      <sheetName val="MTO_REV_01"/>
      <sheetName val="02__PHAN_TICH1"/>
      <sheetName val="03__NGAN_SACH1"/>
      <sheetName val="입찰내역_발주처_양식"/>
      <sheetName val="Da_xay_dung1"/>
      <sheetName val="Don_vi"/>
      <sheetName val="TH_khối_lượng_phải_làm"/>
      <sheetName val="Giá_VL,_NC,_M"/>
      <sheetName val="Lương_2135_nhóm_I"/>
      <sheetName val="Luong_2050_hà_NAm"/>
      <sheetName val="Lương2045_nhóm_I"/>
      <sheetName val="May_3_huyện"/>
      <sheetName val="May_yên_mô"/>
      <sheetName val="Phân_tich_ĐG"/>
      <sheetName val="PLV_mới"/>
      <sheetName val="May_TT11(TB)"/>
      <sheetName val="May_TT11_(HP)"/>
      <sheetName val="May_TT11(NB)"/>
      <sheetName val="May_TT11(NĐ)"/>
      <sheetName val="Lương_theo_TT17(Thái_Bình)"/>
      <sheetName val="Lương_theo_TT17_(HP)"/>
      <sheetName val="Lương_theo_TT17_(Ninh_Bình)"/>
      <sheetName val="Lương_theo_TT17_(Nam_Định)"/>
      <sheetName val="Bill_rekap"/>
      <sheetName val="Cash_Flow_bulanan"/>
      <sheetName val="Ca_may"/>
      <sheetName val="GIA_NC,_CM"/>
      <sheetName val="GIA_VL"/>
      <sheetName val="13_Luong"/>
      <sheetName val="Project_Info_"/>
      <sheetName val="Cost_Summary"/>
      <sheetName val="Cost_Summary_-_USD"/>
      <sheetName val="Price_Summary_-_Offshore"/>
      <sheetName val="Factory_&amp;_Import_Material"/>
      <sheetName val="Labour_Hours_Upload"/>
      <sheetName val="Technical_Info_"/>
      <sheetName val="PM_Cost"/>
      <sheetName val="SED_INPUT"/>
      <sheetName val="Du_lieu_ban_dau"/>
      <sheetName val="GZ_TP"/>
      <sheetName val="GZ_VT"/>
      <sheetName val="CươcVC_tinh"/>
      <sheetName val="KL_CHI_TIẾT_(2)"/>
      <sheetName val="Loại_cọc_P2"/>
      <sheetName val="5_Gia"/>
      <sheetName val="CP_NC-MTC_XD"/>
      <sheetName val="Danh_sach_KV2"/>
      <sheetName val="Danh_sach_doan_KT"/>
      <sheetName val="bar_nor"/>
      <sheetName val="conc_nor"/>
      <sheetName val="conc_frus"/>
      <sheetName val="conc_trap"/>
      <sheetName val="bar_frus"/>
      <sheetName val="bar_trap"/>
      <sheetName val="Don_gia_vung_III"/>
      <sheetName val="Don_gia_III11"/>
      <sheetName val="Don_gia_CT"/>
      <sheetName val="ĐM4970_2016(Lap_dat_TBA)"/>
      <sheetName val="Gia_Nhan_công"/>
      <sheetName val="Đon_gia_228_sua_chua"/>
      <sheetName val="ĐM01_2000(thinghiem_ĐZTTĐL)"/>
      <sheetName val="ĐM1781_2007(T_N_đien_ĐZ&amp;TBA)"/>
      <sheetName val="Cuoc_van_chuyen"/>
      <sheetName val="Gia_HĐ"/>
      <sheetName val="Piano_Montaggio_PO-02_bozza2"/>
      <sheetName val="List_Danh_mục_nghiệm_thu"/>
      <sheetName val="Luong_TT05"/>
      <sheetName val="Danhsach_12"/>
      <sheetName val="PLHD_doi_cot_ham_0101-04"/>
      <sheetName val="unit_weight"/>
      <sheetName val="Beam_reinfocement_schedule"/>
      <sheetName val="Thong_so_dam"/>
      <sheetName val="Wall_Block_C"/>
      <sheetName val="General_Schedule"/>
      <sheetName val="Factor_F_Data"/>
      <sheetName val="bang_1_NCXD"/>
      <sheetName val="bang_1_NCXD_(V_I)"/>
      <sheetName val="3_공통공사대비"/>
      <sheetName val="SLA_cost_distr_FEB_2020"/>
      <sheetName val="Legal_entities_details"/>
      <sheetName val="Invoice_base_FEB_2020"/>
      <sheetName val="Le317_into_8050"/>
      <sheetName val="Basic_principles_to_the_distr_"/>
      <sheetName val="Cost_elements"/>
      <sheetName val="Ref_rate_change"/>
      <sheetName val="Synergi_life_credit"/>
      <sheetName val="Change_in_NH"/>
      <sheetName val="NPS_to_O&amp;G"/>
      <sheetName val="Adj_entries_"/>
      <sheetName val="Annexure_1"/>
      <sheetName val="Annexure_2"/>
      <sheetName val="Updated_2018_COA"/>
      <sheetName val="IC_Listing"/>
      <sheetName val="2__Summary-cash"/>
      <sheetName val="May_Goc_(QD2436)"/>
      <sheetName val="VC_theo_cuoc_tinh"/>
      <sheetName val="BCVC__"/>
      <sheetName val="INDEX_HẠ_TẦNG"/>
      <sheetName val="CTG_HẠ_TẦNG"/>
      <sheetName val="DGG_HẠ_TẦNG"/>
      <sheetName val="DGG_LB_CỌC"/>
      <sheetName val="DGG_MT_CỌC"/>
      <sheetName val="INFO_CỌC"/>
      <sheetName val="INDEX_CỌC"/>
      <sheetName val="Du_lieu_TKT"/>
      <sheetName val="TÍNH_TOÁN_KHỐI_LƯỢNG_P6"/>
      <sheetName val="간접비_총괄표"/>
      <sheetName val="Bảng_dung_trọng"/>
      <sheetName val="DmChitiet"/>
      <sheetName val="Cost center"/>
      <sheetName val="DSR"/>
      <sheetName val="FX"/>
      <sheetName val="Details Sales (local)"/>
      <sheetName val="Details_Sales_(local)"/>
      <sheetName val="ReservePayout"/>
      <sheetName val="Ã«ÀûÂÊ·ÖÎö±í"/>
      <sheetName val="JUly97"/>
      <sheetName val="P301"/>
      <sheetName val="R"/>
      <sheetName val="FA list"/>
      <sheetName val="Enc 3A"/>
      <sheetName val="ING"/>
      <sheetName val="DPT-PW"/>
      <sheetName val="712"/>
      <sheetName val="Resort1"/>
      <sheetName val="Anx-IV"/>
      <sheetName val="Fixed Prof Fees"/>
      <sheetName val="PDN"/>
      <sheetName val="BS, PL, Sch 5 to 9"/>
      <sheetName val="301 RTI"/>
      <sheetName val="1. Questionnaire"/>
      <sheetName val="YOEMAGUM"/>
      <sheetName val="MAT"/>
      <sheetName val="DataValidation"/>
      <sheetName val="Excise on RM"/>
      <sheetName val=" Payroll Empl (Wkng)"/>
      <sheetName val="Insight 28-6-00"/>
      <sheetName val="DL codes"/>
      <sheetName val="Simulator Detail"/>
      <sheetName val="Trnf to Reimb."/>
      <sheetName val="Power &amp; Fuel (S)"/>
      <sheetName val="43B"/>
      <sheetName val="Book details"/>
      <sheetName val="July 06-Mar 07"/>
      <sheetName val="DCF"/>
      <sheetName val="drs"/>
      <sheetName val="RscList"/>
      <sheetName val="inputs"/>
      <sheetName val="Ctiet Cthe"/>
      <sheetName val="khongin"/>
      <sheetName val="TK22kV"/>
      <sheetName val="Chung"/>
      <sheetName val="cPanel"/>
      <sheetName val="GC"/>
      <sheetName val="HG_Info"/>
      <sheetName val="Nghỉ lễ"/>
      <sheetName val="Mác"/>
      <sheetName val="QC"/>
      <sheetName val="CO"/>
      <sheetName val="MMTB"/>
      <sheetName val="DGNC"/>
      <sheetName val="F04-CPNC"/>
      <sheetName val="F05-CFVT"/>
      <sheetName val="VLP"/>
      <sheetName val="Main Model"/>
      <sheetName val="Totals"/>
      <sheetName val="FInput"/>
      <sheetName val="extruder"/>
      <sheetName val="Sheet10"/>
      <sheetName val="Sheet19"/>
      <sheetName val="Sheet16"/>
      <sheetName val="Sheet6"/>
      <sheetName val="Sheet5"/>
      <sheetName val="Sheet11"/>
      <sheetName val="Sheet12"/>
      <sheetName val="Tuning SF"/>
      <sheetName val="Anx 10"/>
      <sheetName val="6. Pig walk way (have roof GOC)"/>
      <sheetName val="BANG TONGHOP"/>
      <sheetName val="XZLC003_PART1"/>
      <sheetName val="이토변실(A3-LINE)"/>
      <sheetName val="A(Rev.3)"/>
      <sheetName val="Page 1 - Front Sheet"/>
      <sheetName val="Bangtrachieudaicoc"/>
      <sheetName val="Bar"/>
      <sheetName val="cot_xa"/>
      <sheetName val="IV.1.Lkdt"/>
      <sheetName val="III.2.dah"/>
      <sheetName val="II.2.dn"/>
      <sheetName val="IV.2.Lkdd"/>
      <sheetName val="III.1.tai"/>
      <sheetName val="Du lieu dau vao"/>
      <sheetName val="Đường dây"/>
      <sheetName val="Vị trí"/>
      <sheetName val="Tổng kê"/>
      <sheetName val="NKSC"/>
      <sheetName val="CT bê tông"/>
      <sheetName val="CT trát. láng. sơn bả"/>
      <sheetName val="CT Ván khuôn, cốt thép"/>
      <sheetName val="Dinh Muc VT"/>
      <sheetName val="consilidate"/>
      <sheetName val="Building"/>
      <sheetName val="Bang gia 2011.10.12"/>
      <sheetName val="NK"/>
      <sheetName val="COST"/>
      <sheetName val="PRICE LIST"/>
      <sheetName val="Areas"/>
      <sheetName val="SL.DT 2011so sanh"/>
      <sheetName val="hinhhoc"/>
      <sheetName val="Bang phan tich"/>
      <sheetName val="valeurs de base"/>
      <sheetName val="CK1+CK2_*VS_SAN_CHOI_23)12"/>
      <sheetName val="M 67"/>
      <sheetName val="2-Genset print"/>
      <sheetName val="ALEK"/>
      <sheetName val="Fill this out first___"/>
      <sheetName val="rab me (by owner) "/>
      <sheetName val="BQ (by owner)"/>
      <sheetName val="rab me (fisik)"/>
      <sheetName val="Koefisien"/>
      <sheetName val="BQ-1A"/>
      <sheetName val="Analisa"/>
      <sheetName val="Pag_hal"/>
      <sheetName val="Bunga"/>
      <sheetName val="Summary IP"/>
      <sheetName val="HS Alat"/>
      <sheetName val="HS Upah"/>
      <sheetName val="HS Bahan"/>
      <sheetName val="Hargamat"/>
      <sheetName val="REKAP."/>
      <sheetName val="jadw"/>
      <sheetName val="BLDG_DCI"/>
      <sheetName val="BLDG_MCI"/>
      <sheetName val="DAFTAR HARGA"/>
      <sheetName val="O&amp;O-Alat"/>
      <sheetName val="Daftar Upah"/>
      <sheetName val="XÁC  NHẬN THANH TOÁN"/>
      <sheetName val="XÁC NHẬN GIÁ TRỊ"/>
      <sheetName val="XÁC NHẬN KL"/>
      <sheetName val="Data-SỔ KHO"/>
      <sheetName val="SỔ KHO"/>
      <sheetName val="KL thanh toan-Xuan Dao"/>
      <sheetName val="TEST1"/>
      <sheetName val="Cốt thép"/>
      <sheetName val="MBW"/>
      <sheetName val="Quotation"/>
      <sheetName val="분양가표"/>
      <sheetName val="HAO_HUP_VAT_TU_(2)5"/>
      <sheetName val="Sheet1 (2)"/>
      <sheetName val="Chi Thao"/>
      <sheetName val="M02 TH SP XKGC"/>
      <sheetName val="CIM"/>
      <sheetName val="Tinh toan"/>
      <sheetName val="4. Đo bóc KL"/>
      <sheetName val="DMHHOA"/>
      <sheetName val="Ghi Chú Chung"/>
      <sheetName val="Dinh muc CP KTCB khac"/>
      <sheetName val="TH May TC"/>
      <sheetName val="KLDT DIEN"/>
      <sheetName val="PTVT DIEN"/>
      <sheetName val="Thong ke thiet bi"/>
      <sheetName val="21"/>
      <sheetName val="TEN CONG TRINH"/>
      <sheetName val="DG SUA CHUA"/>
      <sheetName val="DGTBA"/>
      <sheetName val="TAM TINH"/>
      <sheetName val="CPKS_TK"/>
      <sheetName val="DM 1781"/>
      <sheetName val="DM203"/>
      <sheetName val="Giá đến hiện trường"/>
      <sheetName val="DG 285"/>
      <sheetName val="DG  286"/>
      <sheetName val="DG 85"/>
      <sheetName val="DG 89"/>
      <sheetName val="DGVCTC 285"/>
      <sheetName val="M6A-208 Steering dust"/>
      <sheetName val="JT3.0견적-구1"/>
      <sheetName val="DG CANTHO"/>
      <sheetName val="Check C"/>
      <sheetName val="CPTNo"/>
      <sheetName val="Ban QD"/>
      <sheetName val="Xuly Data"/>
      <sheetName val="DAH-2"/>
      <sheetName val="Cst Pkg-Eden"/>
      <sheetName val="Kich thuoc mo M1-nam lay"/>
      <sheetName val="MayTC"/>
      <sheetName val="Dau vào"/>
      <sheetName val="Thông tin chung"/>
      <sheetName val="B1.CN"/>
      <sheetName val="Formula_Code"/>
      <sheetName val="UnitWeight"/>
      <sheetName val="新᐀"/>
      <sheetName val="datamong"/>
      <sheetName val="Đơn giá-NC"/>
      <sheetName val="Đơn giá-VL-CM"/>
      <sheetName val="MD4970"/>
      <sheetName val="Tke"/>
      <sheetName val="KL CHI TIET"/>
      <sheetName val="INPUT1_THONG_TIN_HD"/>
      <sheetName val="DATA_WBS"/>
      <sheetName val="DIV_INC1"/>
      <sheetName val="A1_-_Income_Statement1"/>
      <sheetName val="concil"/>
      <sheetName val="Full 2012"/>
      <sheetName val="PL"/>
      <sheetName val="DMUC"/>
      <sheetName val="客户(基本资料)"/>
      <sheetName val="银行(基本资料)"/>
      <sheetName val="Summary Page_VDF"/>
      <sheetName val="Invested capital_VDF"/>
      <sheetName val="BB(ACT08)"/>
      <sheetName val="BB Contribution by store_T  "/>
      <sheetName val="BB(ACT09)"/>
      <sheetName val="AU_BS"/>
      <sheetName val="PetroConsultants"/>
      <sheetName val="SPC-OC"/>
      <sheetName val="Template"/>
      <sheetName val="DSQL"/>
      <sheetName val="080 (2)"/>
      <sheetName val="080_(2)"/>
      <sheetName val="Sch2_-_BalSht_Summary"/>
      <sheetName val="Sch1_-_P&amp;L_Summary"/>
      <sheetName val="Cost_of_DM_Water"/>
      <sheetName val="BTO Dept."/>
      <sheetName val="minors"/>
      <sheetName val="Input &amp; Instruct"/>
      <sheetName val="Controls"/>
      <sheetName val="Signings"/>
      <sheetName val="Departments"/>
      <sheetName val="Inputs-Tables"/>
      <sheetName val="Purchase Calc."/>
      <sheetName val="Break-Even"/>
      <sheetName val="Balance Sheet"/>
      <sheetName val="Report Summary"/>
      <sheetName val="Monthly Notes"/>
      <sheetName val="EurotoolsXRates"/>
      <sheetName val="Purchase_Calc_"/>
      <sheetName val="Balance_Sheet"/>
      <sheetName val="Report_Summary"/>
      <sheetName val="Monthly_Notes"/>
      <sheetName val="Trial Bal"/>
      <sheetName val="CC Inventory Assumption"/>
      <sheetName val="entitlements"/>
      <sheetName val="33002001"/>
      <sheetName val="A91_97"/>
      <sheetName val="外勤汇总表3"/>
      <sheetName val="Director"/>
      <sheetName val="AC_CODE99"/>
      <sheetName val="BTO_Dept_"/>
      <sheetName val="Input_&amp;_Instruct"/>
      <sheetName val="BTO_Dept_1"/>
      <sheetName val="Input_&amp;_Instruct1"/>
      <sheetName val="Validation and Lookup tables"/>
      <sheetName val="Dec. 08 RDD"/>
      <sheetName val="Int Others"/>
      <sheetName val="Sub Lead"/>
      <sheetName val="Deposits"/>
      <sheetName val="KeyMultInputs"/>
      <sheetName val="O1"/>
      <sheetName val="M1"/>
      <sheetName val="H1"/>
      <sheetName val="nhat ky "/>
      <sheetName val="CTG BOQ HT"/>
      <sheetName val="Description of Beam"/>
      <sheetName val="EstData"/>
      <sheetName val="DW ok"/>
      <sheetName val="calc_menu_déroulant"/>
      <sheetName val="工程量清单表"/>
      <sheetName val="FoW"/>
      <sheetName val="电气费用"/>
      <sheetName val="CuadroIyII"/>
      <sheetName val="Hoja1"/>
      <sheetName val="Costos Alt2"/>
      <sheetName val="AnexoVI"/>
      <sheetName val="B-10 otros activos 2003"/>
      <sheetName val="B-10 otros activos 2004"/>
      <sheetName val="Condicion"/>
      <sheetName val="GSChartLabels"/>
      <sheetName val="WELCOME"/>
      <sheetName val="liste ANDI"/>
      <sheetName val="Daily Forwards"/>
      <sheetName val="Unadjusted"/>
      <sheetName val="LTM"/>
      <sheetName val="CREDIT STATS"/>
      <sheetName val="basic inputs"/>
      <sheetName val="公式代码"/>
      <sheetName val="报价说明"/>
      <sheetName val="INSTRUCTION_Read me"/>
      <sheetName val="LIMA-CANTA"/>
      <sheetName val="EVAL"/>
      <sheetName val="EPC"/>
      <sheetName val="TechInputs"/>
      <sheetName val="附表1"/>
      <sheetName val="附表2"/>
      <sheetName val="DATOS DE CAMPO"/>
      <sheetName val="机械台时"/>
      <sheetName val="材料基价"/>
      <sheetName val="取费系数表"/>
      <sheetName val="分组报价组成表"/>
      <sheetName val="基价库"/>
      <sheetName val="General"/>
      <sheetName val="Basic Data Inputs"/>
      <sheetName val="CG02"/>
      <sheetName val="DG1426NEW"/>
      <sheetName val="MÁY_PHÁTN1"/>
      <sheetName val="surwaterdr"/>
      <sheetName val="JKR66"/>
      <sheetName val="alpha1"/>
      <sheetName val="FF"/>
      <sheetName val="khoiphong"/>
      <sheetName val="1.Staffing"/>
      <sheetName val="TOWN"/>
      <sheetName val="Floor area "/>
      <sheetName val="Binderies"/>
      <sheetName val="Company"/>
      <sheetName val="CDPS"/>
      <sheetName val="Tổng hợp Z"/>
      <sheetName val="Currency Codes"/>
      <sheetName val="Scoping"/>
      <sheetName val="Expectation"/>
      <sheetName val="Variance threshold"/>
      <sheetName val="VIKAR"/>
      <sheetName val="Record CR"/>
      <sheetName val="TB Worksheet"/>
      <sheetName val="營業額"/>
      <sheetName val="Risk Assessment"/>
      <sheetName val="Exhibit 2"/>
      <sheetName val="PU_ITALY_46"/>
      <sheetName val="sales_current_month46"/>
      <sheetName val="View_Variance46"/>
      <sheetName val="Inventory_data46"/>
      <sheetName val="FORECAST_x_FAMILIA43"/>
      <sheetName val="Space_Analysis43"/>
      <sheetName val="CADE_DETAIL19"/>
      <sheetName val="PRB_Expense_Q4_201316"/>
      <sheetName val="P&amp;L_by_Month1"/>
      <sheetName val="FINALPHP"/>
      <sheetName val="CY17"/>
      <sheetName val="Risk_Assessment"/>
      <sheetName val="foumula"/>
      <sheetName val="Form 23"/>
      <sheetName val="Mapping"/>
      <sheetName val="Fx Rates"/>
      <sheetName val="Data 6,7,9"/>
      <sheetName val="Data 8"/>
      <sheetName val="PU_ITALY_47"/>
      <sheetName val="sales_current_month47"/>
      <sheetName val="View_Variance47"/>
      <sheetName val="Inventory_data47"/>
      <sheetName val="FORECAST_x_FAMILIA44"/>
      <sheetName val="Space_Analysis44"/>
      <sheetName val="CADE_DETAIL20"/>
      <sheetName val="PRB_Expense_Q4_201317"/>
      <sheetName val="P&amp;L_by_Month2"/>
      <sheetName val="Committed_Items2"/>
      <sheetName val="Risk_Assessment1"/>
      <sheetName val="Exhibit_2"/>
      <sheetName val="Form_23"/>
      <sheetName val="Fx_Rates"/>
      <sheetName val="NOVCOS"/>
      <sheetName val="PU_ITALY_48"/>
      <sheetName val="sales_current_month48"/>
      <sheetName val="View_Variance48"/>
      <sheetName val="Inventory_data48"/>
      <sheetName val="FORECAST_x_FAMILIA45"/>
      <sheetName val="Space_Analysis45"/>
      <sheetName val="final_list_200531"/>
      <sheetName val="Tro_giup30"/>
      <sheetName val="Labour_Summary22"/>
      <sheetName val="CADE_DETAIL21"/>
      <sheetName val="PRB_Expense_Q4_201318"/>
      <sheetName val="P&amp;L_by_Month3"/>
      <sheetName val="Committed_Items3"/>
      <sheetName val="Risk_Assessment2"/>
      <sheetName val="Exhibit_21"/>
      <sheetName val="Form_231"/>
      <sheetName val="Fx_Rates1"/>
      <sheetName val="Data_6,7,9"/>
      <sheetName val="Data_8"/>
      <sheetName val="PU_ITALY_49"/>
      <sheetName val="sales_current_month49"/>
      <sheetName val="View_Variance49"/>
      <sheetName val="Inventory_data49"/>
      <sheetName val="FORECAST_x_FAMILIA46"/>
      <sheetName val="Space_Analysis46"/>
      <sheetName val="final_list_200532"/>
      <sheetName val="Tro_giup31"/>
      <sheetName val="Labour_Summary23"/>
      <sheetName val="CADE_DETAIL22"/>
      <sheetName val="PRB_Expense_Q4_201319"/>
      <sheetName val="P&amp;L_by_Month4"/>
      <sheetName val="Committed_Items4"/>
      <sheetName val="Risk_Assessment3"/>
      <sheetName val="Exhibit_22"/>
      <sheetName val="Form_232"/>
      <sheetName val="Fx_Rates2"/>
      <sheetName val="Data_6,7,91"/>
      <sheetName val="Data_81"/>
      <sheetName val="PU_ITALY_50"/>
      <sheetName val="sales_current_month50"/>
      <sheetName val="View_Variance50"/>
      <sheetName val="Inventory_data50"/>
      <sheetName val="FORECAST_x_FAMILIA47"/>
      <sheetName val="Space_Analysis47"/>
      <sheetName val="final_list_200533"/>
      <sheetName val="Tro_giup32"/>
      <sheetName val="Labour_Summary24"/>
      <sheetName val="CADE_DETAIL23"/>
      <sheetName val="PRB_Expense_Q4_201320"/>
      <sheetName val="P&amp;L_by_Month5"/>
      <sheetName val="Committed_Items5"/>
      <sheetName val="Risk_Assessment4"/>
      <sheetName val="Exhibit_23"/>
      <sheetName val="Share_Price_20023"/>
      <sheetName val="Form_233"/>
      <sheetName val="Fx_Rates3"/>
      <sheetName val="Data_6,7,92"/>
      <sheetName val="Data_82"/>
      <sheetName val="ListSource"/>
      <sheetName val="PU_ITALY_51"/>
      <sheetName val="sales_current_month51"/>
      <sheetName val="View_Variance51"/>
      <sheetName val="Inventory_data51"/>
      <sheetName val="FORECAST_x_FAMILIA48"/>
      <sheetName val="Space_Analysis48"/>
      <sheetName val="final_list_200534"/>
      <sheetName val="Tro_giup33"/>
      <sheetName val="Labour_Summary25"/>
      <sheetName val="CADE_DETAIL24"/>
      <sheetName val="PRB_Expense_Q4_201321"/>
      <sheetName val="P&amp;L_by_Month6"/>
      <sheetName val="Committed_Items6"/>
      <sheetName val="Risk_Assessment5"/>
      <sheetName val="Exhibit_24"/>
      <sheetName val="Share_Price_20024"/>
      <sheetName val="Form_234"/>
      <sheetName val="Fx_Rates4"/>
      <sheetName val="Data_6,7,93"/>
      <sheetName val="Data_83"/>
      <sheetName val="PU_ITALY_52"/>
      <sheetName val="sales_current_month52"/>
      <sheetName val="View_Variance52"/>
      <sheetName val="Inventory_data52"/>
      <sheetName val="FORECAST_x_FAMILIA49"/>
      <sheetName val="Space_Analysis49"/>
      <sheetName val="final_list_200535"/>
      <sheetName val="Tro_giup34"/>
      <sheetName val="Labour_Summary26"/>
      <sheetName val="CADE_DETAIL25"/>
      <sheetName val="PRB_Expense_Q4_201322"/>
      <sheetName val="P&amp;L_by_Month7"/>
      <sheetName val="Committed_Items7"/>
      <sheetName val="Risk_Assessment6"/>
      <sheetName val="Exhibit_25"/>
      <sheetName val="Share_Price_20025"/>
      <sheetName val="Form_235"/>
      <sheetName val="Fx_Rates5"/>
      <sheetName val="Data_6,7,94"/>
      <sheetName val="Data_84"/>
      <sheetName val="ProdType"/>
      <sheetName val="View BS"/>
      <sheetName val="View IS"/>
      <sheetName val="USAllexclNatlCenterSumm"/>
      <sheetName val="Lương nhân công"/>
      <sheetName val="bdm"/>
      <sheetName val="DGIAVLXD"/>
      <sheetName val="DM6060TBA"/>
      <sheetName val="DM6061DZ"/>
      <sheetName val="Ngay"/>
      <sheetName val="NC THEO QĐ 1396 QĐ-SXD"/>
      <sheetName val="CTdongia"/>
      <sheetName val="S - Sugar production"/>
      <sheetName val="실행기성 갑지"/>
      <sheetName val="242-3 summaryOPC"/>
      <sheetName val="주주명부&lt;끝&gt;"/>
      <sheetName val="GDLQ"/>
      <sheetName val="Thong_tin"/>
      <sheetName val="BTDC_B360"/>
      <sheetName val="Danh_muc_LIST"/>
      <sheetName val="CF_(DR)_IN"/>
      <sheetName val="PL_02_-_Vay"/>
      <sheetName val="PL_03_-_Von"/>
      <sheetName val="CP_yếu_tố"/>
      <sheetName val="BS_420"/>
      <sheetName val="PL_420"/>
      <sheetName val="RT_420"/>
      <sheetName val="BTDC_B360_"/>
      <sheetName val="Table_of_contents"/>
      <sheetName val="11__Loans"/>
      <sheetName val="Merit_&amp;_Market_Grid2"/>
      <sheetName val="Fixed_asset_register1"/>
      <sheetName val="repeatative_rejection1"/>
      <sheetName val="General_Info1"/>
      <sheetName val="Full_PBD1"/>
      <sheetName val="Non-Statistical_Sampling1"/>
      <sheetName val="98FORECAST_(1)1"/>
      <sheetName val="Sch_18_Bank1"/>
      <sheetName val="Stock_details1"/>
      <sheetName val="Part_A_General1"/>
      <sheetName val="_1"/>
      <sheetName val="DB_FEE"/>
      <sheetName val="BHYT_Tự_Nguyện_-_Vinschool-Mau_"/>
      <sheetName val="RC_Revenue"/>
      <sheetName val="AOP_2020"/>
      <sheetName val="DATA_LE"/>
      <sheetName val="DATA_LE_(LY)"/>
      <sheetName val="DATA_RC"/>
      <sheetName val="DATA_RC_(LY)"/>
      <sheetName val="LE_Test"/>
      <sheetName val="DATA_(RC_ORG)"/>
      <sheetName val="DATA_(TESTING_1)"/>
      <sheetName val="DATA_(TESTING_CHRSPR)"/>
      <sheetName val="2018_VADIS"/>
      <sheetName val="CDPS_SAU_KC"/>
      <sheetName val="Income_Statement14"/>
      <sheetName val="6_9_DM_CTP"/>
      <sheetName val="SCB_-_Annexure_A1"/>
      <sheetName val="PL6-Revenue_Bridge1"/>
      <sheetName val="OC5-Push_Diag1"/>
      <sheetName val="Franchise_Input1"/>
      <sheetName val="Project_ODC_NDEU1"/>
      <sheetName val="Inter_connect_Revenue1"/>
      <sheetName val="2020_RFS_Summary1"/>
      <sheetName val="Well_Construction_Summary1"/>
      <sheetName val="RFS_2020_-_Details_and_Notes1"/>
      <sheetName val="AN_20001"/>
      <sheetName val="DLC_DIEN_AP"/>
      <sheetName val="SL_dau_tien"/>
      <sheetName val="BASE_GRAPHE"/>
      <sheetName val="ADJ_-_RATE"/>
      <sheetName val="Tonghop_theo_Vendor"/>
      <sheetName val="Tu_dien"/>
      <sheetName val="T_kê"/>
      <sheetName val="dulieu_cot"/>
      <sheetName val="Bank_Bal__Dec_22"/>
      <sheetName val="Vat_lieu_cat_song_rac"/>
      <sheetName val="Other_assumptions1"/>
      <sheetName val="Field_Lists1"/>
      <sheetName val="CUSTOMER_GROUP_WISE"/>
      <sheetName val="Q4_2009_History"/>
      <sheetName val="_Final_Balance_Sheet"/>
      <sheetName val="Interest_on_WC"/>
      <sheetName val="CAN_DOI_-_KET_QUA2"/>
      <sheetName val="Pivot_Financials1"/>
      <sheetName val="Review_20151"/>
      <sheetName val="People_1"/>
      <sheetName val="Production_volumes1"/>
      <sheetName val="Salary_increase_budget_assump_1"/>
      <sheetName val="Production_initiative1"/>
      <sheetName val="Prod__KPI_-_OEE%1"/>
      <sheetName val="B&amp;P_KPI1"/>
      <sheetName val="Customer_SC1"/>
      <sheetName val="Production_KPIs1"/>
      <sheetName val="Total_losses1"/>
      <sheetName val="Savings_overview1"/>
      <sheetName val="Prod_FTE_Dev_1"/>
      <sheetName val="Log_FTE_Dev_1"/>
      <sheetName val="Loss_tree1"/>
      <sheetName val="Inventory_development1"/>
      <sheetName val="Capex_Phasing1"/>
      <sheetName val="Std_to_Std_MC_only1"/>
      <sheetName val="Top_20_BOM1"/>
      <sheetName val="MC_Development_OLD1"/>
      <sheetName val="NMC_&amp;_Log_Ass_1"/>
      <sheetName val="_Material_Ass_1"/>
      <sheetName val="COGS_Dev_1"/>
      <sheetName val="MC_Dev_1"/>
      <sheetName val="NMC_Dev_1"/>
      <sheetName val="NMC_Development_OLD1"/>
      <sheetName val="Log_Dev_1"/>
      <sheetName val="Prod__capex_overview1"/>
      <sheetName val="Production_-_Risks_&amp;_Opport_1"/>
      <sheetName val="AOCM_Overview1"/>
      <sheetName val="AOCM_Cost_Group_Summary1"/>
      <sheetName val="Sievo_Saving1"/>
      <sheetName val="AOCM_Sub-group1"/>
      <sheetName val="Quality_RFT1"/>
      <sheetName val="Back-up_1"/>
      <sheetName val="Absorption_Phasing1"/>
      <sheetName val="One_off1"/>
      <sheetName val="Reporting_changes1"/>
      <sheetName val="Prod__KPI_-_OEE%_by_line1"/>
      <sheetName val="Key_dependencies1"/>
      <sheetName val="Orgex_and_restructuring1"/>
      <sheetName val="COGS_movement1"/>
      <sheetName val="Back-up_HR1"/>
      <sheetName val="2016_FTE_Variability1"/>
      <sheetName val="2_Sievo_saving_recon__vs_bridg1"/>
      <sheetName val="1__PPV_recon__T04_vs_bridges1"/>
      <sheetName val="INPUT_&amp;_Guidance1"/>
      <sheetName val="data_for_deck,_thinkcell1"/>
      <sheetName val="Flash_call_deck1"/>
      <sheetName val="Supply_chain_bridge1"/>
      <sheetName val="COS_bridge1"/>
      <sheetName val="3_Gross_&amp;_Net_efficiency_repor1"/>
      <sheetName val="PVM_report1"/>
      <sheetName val="Capex_comments1"/>
      <sheetName val="Log_bridge1"/>
      <sheetName val="One_pager1"/>
      <sheetName val="Option_1,Data(from_HFM)_1"/>
      <sheetName val="Option_2,_Data(_Manual_Input)1"/>
      <sheetName val="FX_&amp;_HIERARCHY1"/>
      <sheetName val="Bihar_Plant_FAR"/>
      <sheetName val="Verification_Report"/>
      <sheetName val="Giai_trinh"/>
      <sheetName val="Sales Seasonality by Month"/>
      <sheetName val="THAM CHIẾU"/>
      <sheetName val="Nhân_cô_x0000_g6"/>
      <sheetName val="Bang luong"/>
      <sheetName val="Sheet1_(2)"/>
      <sheetName val="Chi_Thao"/>
      <sheetName val="Bang_luong"/>
      <sheetName val="2012"/>
      <sheetName val="B30"/>
      <sheetName val="PHU_LUC"/>
      <sheetName val="TONGHOPCHIPHIXAYLAP"/>
      <sheetName val="DGKL L2 THÉP MÓNG"/>
      <sheetName val="Bieu chi tiet gia du thau"/>
      <sheetName val="Gia vat lieu trong gia du thau"/>
      <sheetName val="Bang phan tich don gia du thau"/>
      <sheetName val="Ky bien ban"/>
      <sheetName val="Danh muc NT cong viec"/>
      <sheetName val="Danh muc NT giai doan"/>
      <sheetName val="Danh muc NT vat lieu"/>
      <sheetName val="THCP tu van"/>
      <sheetName val="Categories"/>
      <sheetName val="Ctinh 10kV"/>
      <sheetName val="TCS"/>
      <sheetName val="Nhân_côg6"/>
      <sheetName val="1111"/>
      <sheetName val="AnalisaSIPIL RIIL"/>
      <sheetName val="HDLD"/>
      <sheetName val="1,TMĐT "/>
      <sheetName val="TraBienbao"/>
      <sheetName val="HDTU"/>
      <sheetName val="KTTX"/>
      <sheetName val="DT "/>
      <sheetName val="Gia khoan chi tiet"/>
      <sheetName val="06b-Cau_Lap_Thach-_DGTH"/>
      <sheetName val="KL-HoThu"/>
      <sheetName val="Bảng GCM (TT13) HD"/>
      <sheetName val="May Goc (QD2438)"/>
      <sheetName val="Bảng lương M"/>
      <sheetName val="DLCoso"/>
      <sheetName val="List NT"/>
      <sheetName val="home"/>
      <sheetName val="Traituyen"/>
      <sheetName val="THPT"/>
      <sheetName val="K30-K31"/>
      <sheetName val="K31-K32"/>
      <sheetName val="K32-K33"/>
      <sheetName val="K33-K34"/>
      <sheetName val="K34-K35"/>
      <sheetName val="K35-K36"/>
      <sheetName val="K36-K37"/>
      <sheetName val="K37-K38"/>
      <sheetName val="K38-K39"/>
      <sheetName val="K39-K40"/>
      <sheetName val="K40-K41"/>
      <sheetName val="Tabel_Berat2"/>
      <sheetName val="Data_Umum_Penawaran2"/>
      <sheetName val="Real_Cost2"/>
      <sheetName val="bill_qty2"/>
      <sheetName val="REKAP_ARSITEKTUR_2"/>
      <sheetName val="RAB_ADMINISTRASI_PUSAT_(1)2"/>
      <sheetName val="Chuong_I"/>
      <sheetName val="Kien_truc"/>
      <sheetName val="NC_HY"/>
      <sheetName val="NC_HN"/>
      <sheetName val="DZ_35"/>
      <sheetName val="Chiet_tinh_dz22"/>
      <sheetName val="DG_THIET_BI"/>
      <sheetName val="DG_vat_lieu"/>
      <sheetName val="Loại_2"/>
      <sheetName val="Chi_tiet_VL-NC-MTC"/>
      <sheetName val="A1_8"/>
      <sheetName val="Tra_Cứu"/>
      <sheetName val="DP_TRUOT_GIA"/>
      <sheetName val="VL-NC-M_"/>
      <sheetName val="Assignment_Schedule"/>
      <sheetName val="DTCT_-XL_4"/>
      <sheetName val="Du_thau_dau_noi"/>
      <sheetName val="Du_Thau"/>
      <sheetName val="Du_thau_PSBS"/>
      <sheetName val="DG_theo_HD_PSBS"/>
      <sheetName val="Du_thau_TC11"/>
      <sheetName val="VL_NC_M"/>
      <sheetName val="TT_16-2019"/>
      <sheetName val="Đơn_trọng"/>
      <sheetName val="KL_Chi_tiết_BV_dự_thầu"/>
      <sheetName val="KL_chi_tiết_BV_thi_công"/>
      <sheetName val="3_NGAN_SACH"/>
      <sheetName val="2_PHAN_TICH"/>
      <sheetName val="D_Trong"/>
      <sheetName val="B_1_Engineering"/>
      <sheetName val="Mobilisasi_&amp;_Demob"/>
      <sheetName val="B_2_5_Proc_&amp;_Constr_Civil1"/>
      <sheetName val="B_2_3_Proc_&amp;_Constr_Electrical"/>
      <sheetName val="B_2_4_Proc_&amp;_Constr_Instru"/>
      <sheetName val="B_2_1_Proc_&amp;_Constr_Mech_"/>
      <sheetName val="B_2_2_Proc_&amp;_Constr_Pipe_"/>
      <sheetName val="Work_Permit"/>
      <sheetName val="Agregat_Halus_&amp;_Kasar"/>
      <sheetName val="Data_Tower"/>
      <sheetName val="CTG_(GIAM)"/>
      <sheetName val="IV_1_Lkdt"/>
      <sheetName val="III_2_dah"/>
      <sheetName val="II_2_dn"/>
      <sheetName val="IV_2_Lkdd"/>
      <sheetName val="III_1_tai"/>
      <sheetName val="Summary_-_Budget"/>
      <sheetName val="Gia_"/>
      <sheetName val="Bearing_Capacity"/>
      <sheetName val="NC2"/>
      <sheetName val="10.PL1 "/>
      <sheetName val="15.PL1  "/>
      <sheetName val="20,PL1   "/>
      <sheetName val="25.PL1"/>
      <sheetName val="24,PL1"/>
      <sheetName val="35.PL1"/>
      <sheetName val="Du lieu bang phang"/>
      <sheetName val="Bang ngay thang"/>
      <sheetName val="KL1"/>
      <sheetName val="KL10"/>
      <sheetName val="KL2"/>
      <sheetName val="KL3"/>
      <sheetName val="KL4"/>
      <sheetName val="KL5"/>
      <sheetName val="KL6"/>
      <sheetName val="KL7"/>
      <sheetName val="KL8"/>
      <sheetName val="KL9"/>
      <sheetName val="Tong KL lop"/>
      <sheetName val="Đắp đất K95"/>
      <sheetName val="Phân khai"/>
      <sheetName val="Luong-BT"/>
      <sheetName val="Luong-NT"/>
      <sheetName val="DM TN"/>
      <sheetName val="Danh muc"/>
      <sheetName val="00.List"/>
      <sheetName val="ĐBGT"/>
      <sheetName val="PTKS"/>
      <sheetName val="Don gia LD"/>
      <sheetName val="T.Tinh"/>
      <sheetName val="Lç khoan LK1"/>
      <sheetName val="DAO DAP CONG"/>
      <sheetName val="KL-CHITIET"/>
      <sheetName val="son ke duong"/>
      <sheetName val="for Summary"/>
      <sheetName val="Trường Sơn"/>
      <sheetName val="KLdon vi"/>
      <sheetName val="FUC-01"/>
      <sheetName val="KB"/>
      <sheetName val="DZ 0.4"/>
      <sheetName val="CTDG"/>
      <sheetName val="Girder"/>
      <sheetName val="CSG SXD"/>
      <sheetName val="CTDZ0,4"/>
      <sheetName val="DGVT"/>
      <sheetName val="DG vua BT 269"/>
      <sheetName val="ctdz35"/>
      <sheetName val="DGXDCB_DD"/>
      <sheetName val="Gia_GC_Satthep"/>
      <sheetName val="btraR,f"/>
      <sheetName val="Loading"/>
      <sheetName val="KL11"/>
      <sheetName val="KL12"/>
      <sheetName val="4.0 unit cost-ko in"/>
      <sheetName val="4.DGCT"/>
      <sheetName val="PL08"/>
      <sheetName val="HG"/>
      <sheetName val="Jobs"/>
      <sheetName val="Mốc"/>
      <sheetName val="Weather"/>
      <sheetName val="TH_DZ3519"/>
      <sheetName val="DON_GIA_CAN_THO19"/>
      <sheetName val="Don_gia_chi_tiet17"/>
      <sheetName val="RAB_AR&amp;STR17"/>
      <sheetName val="chi_tiet_TBA17"/>
      <sheetName val="chi_tiet_C17"/>
      <sheetName val="Don_gia17"/>
      <sheetName val="S-curve_16"/>
      <sheetName val="HĐ_ngoài16"/>
      <sheetName val="XT_Buoc_316"/>
      <sheetName val="Commercial_value16"/>
      <sheetName val="DON_GIA_TRAM_(3)17"/>
      <sheetName val="Customize_Your_Purchase_Order17"/>
      <sheetName val="Ky_Lam_Bridge16"/>
      <sheetName val="Provisional_Sums_Item16"/>
      <sheetName val="Gas_Pressure_Welding16"/>
      <sheetName val="General_Item&amp;General_Requirem16"/>
      <sheetName val="General_Items16"/>
      <sheetName val="Regenral_Requirements16"/>
      <sheetName val="7606_DZ17"/>
      <sheetName val="TONG_HOP_VL-NC_TT17"/>
      <sheetName val="CHITIET_VL-NC-TT_-1p17"/>
      <sheetName val="KPVC-BD_17"/>
      <sheetName val="CHITIET_VL-NC-TT-3p16"/>
      <sheetName val="Adix_A16"/>
      <sheetName val="TONG_HOP_VL-NC16"/>
      <sheetName val="Đầu_vào15"/>
      <sheetName val="dongia_(2)16"/>
      <sheetName val="So_doi_chieu_LC16"/>
      <sheetName val="CT-0_4KV15"/>
      <sheetName val="A1_CN15"/>
      <sheetName val="Equip_15"/>
      <sheetName val="project_management16"/>
      <sheetName val="DG_thep_ma_kem16"/>
      <sheetName val="EIRR&gt;_215"/>
      <sheetName val="MAIN_GATE_HOUSE16"/>
      <sheetName val="REINF_16"/>
      <sheetName val="Rates_200916"/>
      <sheetName val="Du_toan16"/>
      <sheetName val="chiet_tinh16"/>
      <sheetName val="Ng_hàng_xà+bulong16"/>
      <sheetName val="Bang_KL16"/>
      <sheetName val="MH_RATE16"/>
      <sheetName val="Lcau_-_Lxuc16"/>
      <sheetName val="CT_vat_lieu16"/>
      <sheetName val="DM_606116"/>
      <sheetName val="Trạm_biến_áp15"/>
      <sheetName val="Đơn_Giá_15"/>
      <sheetName val="Chi_tiet_XD_TBA15"/>
      <sheetName val="Chenh_lech_vat_tu15"/>
      <sheetName val="Diện_tích15"/>
      <sheetName val="1_Khái_toán15"/>
      <sheetName val="TONG_HOP_T5_199815"/>
      <sheetName val="4_PTDG15"/>
      <sheetName val="rate_material15"/>
      <sheetName val="DG_DZ16"/>
      <sheetName val="DG_TBA16"/>
      <sheetName val="KL_Chi_tiết_Xây_tô15"/>
      <sheetName val="GV1-D13_(Casement_door)15"/>
      <sheetName val="07Base_Cost15"/>
      <sheetName val="Bill_1_Quy_dinh_chung15"/>
      <sheetName val="1_R18_BF15"/>
      <sheetName val="6_External_works-R1815"/>
      <sheetName val="Phan_khai_KLuong15"/>
      <sheetName val="Chi_tiet_KL15"/>
      <sheetName val="Tổng_hợp_KL15"/>
      <sheetName val="A1,_May15"/>
      <sheetName val="Vat_lieu15"/>
      <sheetName val="Gia_vat_tu15"/>
      <sheetName val="Data_Input16"/>
      <sheetName val="DM_6715"/>
      <sheetName val="Luong_NII14"/>
      <sheetName val="DINH_MUC_THI_NGHIEM14"/>
      <sheetName val="Luong_NI14"/>
      <sheetName val="04_-_XUONG_DET_B15"/>
      <sheetName val="Area_Cal15"/>
      <sheetName val="_0315"/>
      <sheetName val="chieu_day_san15"/>
      <sheetName val="Podium_Concrete_Works15"/>
      <sheetName val="KLCT-_TOWER15"/>
      <sheetName val="KLCT-_PODIUM15"/>
      <sheetName val="Gia_thanh_chuoi_su15"/>
      <sheetName val="Tiep_dia15"/>
      <sheetName val="Don_gia_vung_III-Can_Tho15"/>
      <sheetName val="Elect_(3)15"/>
      <sheetName val="plan&amp;section_of_foundation15"/>
      <sheetName val="design_criteria15"/>
      <sheetName val="Bond_수수료_계산_포맷15"/>
      <sheetName val="ITB_COST15"/>
      <sheetName val="PAGE_115"/>
      <sheetName val="Đầu_tư15"/>
      <sheetName val="Loại_Vật_tư15"/>
      <sheetName val="dg_tphcm15"/>
      <sheetName val="T_KÊ_K_CẤU15"/>
      <sheetName val="Xay_lapduongR315"/>
      <sheetName val="6787CWFASE2CASE2_00_xls15"/>
      <sheetName val="Measure_130615"/>
      <sheetName val="Project_Data15"/>
      <sheetName val="gia_cong_tac15"/>
      <sheetName val="Bill_02_-_Xay_gach-Pou_15"/>
      <sheetName val="Bill_03-Chống_thấm-Pou15"/>
      <sheetName val="Bill_04-Kim_loại-Pou15"/>
      <sheetName val="Bill_05_-_Hoan_thien-Pou_15"/>
      <sheetName val="Bill_02_-_Xay_gach-Tower15"/>
      <sheetName val="Bill_03-Chống_thấm-Tower15"/>
      <sheetName val="Bill_04-Kim_loại-Tower15"/>
      <sheetName val="Bill_05_-_Hoan_thien-Tower15"/>
      <sheetName val="KL-_KHAC15"/>
      <sheetName val="BILL_3_-_KẾT_CẤU_HẦM15"/>
      <sheetName val="PTĐG_LTBT15"/>
      <sheetName val="CTG-PRECHEx1_415"/>
      <sheetName val="CTG-AB_(2)15"/>
      <sheetName val="CTG-AB_(3)15"/>
      <sheetName val="CTG-PLP-1_0815"/>
      <sheetName val="Pre_Đội_nhóm15"/>
      <sheetName val="Vat_tu_XD15"/>
      <sheetName val="Tower_-_Concrete_Works15"/>
      <sheetName val="Bill-04_ket_cau_thap-_UNI15"/>
      <sheetName val="Door_and_window9"/>
      <sheetName val="HÐ_ngoài16"/>
      <sheetName val="6PILE__(돌출)15"/>
      <sheetName val="DETAIL_15"/>
      <sheetName val="Bill_01_-_CTN15"/>
      <sheetName val="Bill_2_2_Villa_2_beds15"/>
      <sheetName val="Harga_ME_15"/>
      <sheetName val="Analisa_Gabungan15"/>
      <sheetName val="Chi_tiet15"/>
      <sheetName val="BANCO_(2)14"/>
      <sheetName val="MT_DPin_(2)14"/>
      <sheetName val="Isolasi_Luar_Dalam15"/>
      <sheetName val="Isolasi_Luar15"/>
      <sheetName val="Cước_VC_+_ĐM_CP_Tư_vấn15"/>
      <sheetName val="Dự_toán12"/>
      <sheetName val="Đơn_Giá_TH12"/>
      <sheetName val="Nhân_công12"/>
      <sheetName val="Phân_tích12"/>
      <sheetName val="Hệ_số15"/>
      <sheetName val="C_P_Thiết_bị12"/>
      <sheetName val="T_H_Kinh_phí12"/>
      <sheetName val="Vật_tư12"/>
      <sheetName val="Trang_bìa12"/>
      <sheetName val="Don_gia_chi_tiet_DIEN_211"/>
      <sheetName val="Dlieu_dau_vao14"/>
      <sheetName val="Income_Statement15"/>
      <sheetName val="Shareholders'_Equity14"/>
      <sheetName val="Chenh_lech_ca_may15"/>
      <sheetName val="TLg_CN&amp;Laixe15"/>
      <sheetName val="TLg_CN&amp;Laixe_(2)15"/>
      <sheetName val="TLg_Laitau15"/>
      <sheetName val="TLg_Laitau_(2)15"/>
      <sheetName val="Equipment_list_(PAC)15"/>
      <sheetName val="TINH_KHOI_LUONG15"/>
      <sheetName val="DATA_BASE15"/>
      <sheetName val="_Bill_5-Earthing_2_-_Add_Work15"/>
      <sheetName val="TH_Vat_tu15"/>
      <sheetName val="Bang_trong_luong_rieng_thep15"/>
      <sheetName val="LV_data15"/>
      <sheetName val="ESTI_15"/>
      <sheetName val="CẤP_THOÁT_NƯỚC15"/>
      <sheetName val="TH_MTC15"/>
      <sheetName val="TH_N_Cong15"/>
      <sheetName val="THDT_goi_thau_TB15"/>
      <sheetName val="Tien_do_TV15"/>
      <sheetName val="KHOI_LUONG15"/>
      <sheetName val="bridge_#_115"/>
      <sheetName val="KL_san_lap15"/>
      <sheetName val="Bang_3_Chi_tiet_phan_Dz15"/>
      <sheetName val="HVAC_BLOCK_B415"/>
      <sheetName val="subcon_sched15"/>
      <sheetName val="Buy_vs__Lease_Car15"/>
      <sheetName val="BẢNG_KHỐI_LƯỢNG_TỔNG_HỢP14"/>
      <sheetName val="CP_Khac_cuoc_VC14"/>
      <sheetName val="Budget_Code14"/>
      <sheetName val="CTKL_KTX_HT14"/>
      <sheetName val="PRE_(E)15"/>
      <sheetName val="2_Chiet_tinh14"/>
      <sheetName val="NHÀ_NHẬP_LIỆU14"/>
      <sheetName val="MÓNG_SILO14"/>
      <sheetName val="Tong_du_toan14"/>
      <sheetName val="Bill_2_-_ketcau14"/>
      <sheetName val="13-Cốt_thép_(10mm&lt;D≤18mm)_FO114"/>
      <sheetName val="du_lieu_du_toan14"/>
      <sheetName val="Chi_tiet_lan_can14"/>
      <sheetName val="VC_xd12"/>
      <sheetName val="Gia_VLTB12"/>
      <sheetName val="B_Luong12"/>
      <sheetName val="C_May12"/>
      <sheetName val="DG_142611"/>
      <sheetName val="dm_36612"/>
      <sheetName val="DM_606012"/>
      <sheetName val="Chi_tiet_-tong_9_thang11"/>
      <sheetName val="Analisa_&amp;_Upah14"/>
      <sheetName val="Theo_doi_Doanh_thu_201711"/>
      <sheetName val="Phan_tich14"/>
      <sheetName val="DL_ĐẦU_VÀO14"/>
      <sheetName val="BOQ_THAN14"/>
      <sheetName val="Purchase_Order14"/>
      <sheetName val="D_&amp;_W_sizes14"/>
      <sheetName val="Du_lieu15"/>
      <sheetName val="CT_Thang_Mo14"/>
      <sheetName val="CT__PL14"/>
      <sheetName val="cash_budget14"/>
      <sheetName val="DK1_Don_gia14"/>
      <sheetName val="dongia__2_14"/>
      <sheetName val="Thép_CKN14"/>
      <sheetName val="GOC-KO_IN14"/>
      <sheetName val="MAU_8A14"/>
      <sheetName val="MAU_8B14"/>
      <sheetName val="MAU_914"/>
      <sheetName val="MAU_1014"/>
      <sheetName val="sochitiettaikhoan_14"/>
      <sheetName val="Share_price_data14"/>
      <sheetName val="19_314"/>
      <sheetName val="20_314"/>
      <sheetName val="Chieu_4_314"/>
      <sheetName val="Cow_req14"/>
      <sheetName val="TỔNG_HỢP14"/>
      <sheetName val="14-LẦN_3-CHIỀU14"/>
      <sheetName val="14-LẦN_1-SÁNG14"/>
      <sheetName val="14-LẦN_2-TRƯA14"/>
      <sheetName val="1_3+1_4-TOTAL_-_Ko_IN14"/>
      <sheetName val="2_1-LẦN_3-CHIỀU14"/>
      <sheetName val="2_1-LẦN_1-SÁNG14"/>
      <sheetName val="2_1-LẦN_2-TRƯA14"/>
      <sheetName val="2_1-TOTAL-Ko_IN14"/>
      <sheetName val="1_3(TMR_4)14"/>
      <sheetName val="CHO_DE14"/>
      <sheetName val="1_1+1_2+2_2+2_3(TMR_3)14"/>
      <sheetName val="CK1+CK2_(VS_SAN_CHOI_23)14"/>
      <sheetName val="CK1+CK2_(2)14"/>
      <sheetName val="12-16_THÁNG14"/>
      <sheetName val="CAN_SỮA14"/>
      <sheetName val="54+55+56(SAU_CAI_SỮA-6)14"/>
      <sheetName val="BÊ_71-90_NGÀY14"/>
      <sheetName val="BÊ_12-16_tháng14"/>
      <sheetName val="BÊ_6-1214"/>
      <sheetName val="BÊ_1-314"/>
      <sheetName val="F01-BC_KHAU_PHAN_SANG_20_314"/>
      <sheetName val="F01-BC_KHAU_PHAN_CHIEU_19_314"/>
      <sheetName val="dinh_mưc_cty14"/>
      <sheetName val="Giá_thành14"/>
      <sheetName val="Thong_ke14"/>
      <sheetName val="Energy_for_milk_prod14"/>
      <sheetName val="DE_NGHI_XUAT_14"/>
      <sheetName val="phieu_xuat_mau14"/>
      <sheetName val="PHIEU_XUAT_CHIEU14"/>
      <sheetName val="11_rai_them_cỏ14"/>
      <sheetName val="PHU_LUC_02-_HDSD_CAC_BIEU_MAU14"/>
      <sheetName val="PhU_LUC_01-_MA_CAC_NHOM_BO14"/>
      <sheetName val="F03-BC_THUC_TRON_SANG_20_314"/>
      <sheetName val="F03-BC_THUC_TRON_CHIEU_19_314"/>
      <sheetName val="F02-BC_THEO_DOI_THUC_AN_DU14"/>
      <sheetName val="Tham_khao-_Bao_cao_xuat_thuc_14"/>
      <sheetName val="Don_gia_(khong_in)14"/>
      <sheetName val="1_MONG_1-214"/>
      <sheetName val="02__PTDG14"/>
      <sheetName val="Chiết_tính14"/>
      <sheetName val="wk_prgs12"/>
      <sheetName val="TB_NẶNG12"/>
      <sheetName val="Du_tru_CP-Bieu_0112"/>
      <sheetName val="Dự_thầu12"/>
      <sheetName val="Nhap_VT_oto12"/>
      <sheetName val="Hao_phí12"/>
      <sheetName val="Structure_data12"/>
      <sheetName val="Data_Wall12"/>
      <sheetName val="Chi_tiet_cong_no12"/>
      <sheetName val="PHÁT_SINH_TẦNG_1_12"/>
      <sheetName val="PHÁT_SINH_TẦNG_212"/>
      <sheetName val="Hầm_chuyển_psinh12"/>
      <sheetName val="Ống_thẳng12"/>
      <sheetName val="Côn_thu12"/>
      <sheetName val="Vuông_tròn12"/>
      <sheetName val="Chân_rẽ12"/>
      <sheetName val="Chạc_ba12"/>
      <sheetName val="Ma_don_vi12"/>
      <sheetName val="bang_cc12"/>
      <sheetName val="KHOI_LUONG15-411"/>
      <sheetName val="Bill_2-Road_HR212"/>
      <sheetName val="Bill_3_-_Softscape_HR212"/>
      <sheetName val="Ｎｏ_1312"/>
      <sheetName val="DGchitiet_12"/>
      <sheetName val="Bill_No_3_-_Prov__Sum_(Ph2&amp;3)12"/>
      <sheetName val="TH_TN12"/>
      <sheetName val="TK_chi_tiet12"/>
      <sheetName val="đọc_số12"/>
      <sheetName val="HỆ_THỐNG_PHÒNG_CHÁY_CHỮA_CHÁY12"/>
      <sheetName val="HỆ_THỐNG_CẤP_THOÁT_NƯỚC12"/>
      <sheetName val="HỆ_THỐNG_ĐHKK12"/>
      <sheetName val="MÁY_PHÁT_ĐIỆN12"/>
      <sheetName val="HỆ_THỐNG_ĐIỆN12"/>
      <sheetName val="Thiết_bị_chính12"/>
      <sheetName val="gui_BKCT11"/>
      <sheetName val="AG_Pipe_Qty_Analysis12"/>
      <sheetName val="Tổng_GT12"/>
      <sheetName val="Chi_tiết_KL12"/>
      <sheetName val="khấu_trừ_phạt12"/>
      <sheetName val="GT__KHAU_TRU12"/>
      <sheetName val="HAO_HUT_VAT_TU_(2)12"/>
      <sheetName val="cao_độ12"/>
      <sheetName val="CP_HMC12"/>
      <sheetName val="2_1Warehouse_112"/>
      <sheetName val="THEP_TAM12"/>
      <sheetName val="THEP_HÌNH12"/>
      <sheetName val="THEP_HINH12"/>
      <sheetName val="XA_GO12"/>
      <sheetName val="BANG_TRA12"/>
      <sheetName val="CĂN_HỘ_T16-17_12"/>
      <sheetName val="TRỤC_ĐỨNG_THOÁT_BẨN_T15-1712"/>
      <sheetName val="TRỤC_ĐỨNG_TM_T15-1712"/>
      <sheetName val="CP_Du_phong12"/>
      <sheetName val="THCP_Lap_dat12"/>
      <sheetName val="THCP_xay_dung12"/>
      <sheetName val="Tong_hop_kinh_phi12"/>
      <sheetName val="CHI_PHI12"/>
      <sheetName val="1_Requisition(E)12"/>
      <sheetName val="Móng,_nền_12"/>
      <sheetName val="Main_Bldg-Rev0212"/>
      <sheetName val="D&amp;W_def_12"/>
      <sheetName val="Nhan_cong12"/>
      <sheetName val="Thiet_bi12"/>
      <sheetName val="Vat_tu12"/>
      <sheetName val="DM_ChiPhi12"/>
      <sheetName val="May_TC12"/>
      <sheetName val="TH_Kinh_phi12"/>
      <sheetName val="Ptvl_12"/>
      <sheetName val="DM_336cai_tao11"/>
      <sheetName val="phan_tic_chi_tiet12"/>
      <sheetName val="Tổng_hợp_KPHM10"/>
      <sheetName val="Cotthep_NPT11"/>
      <sheetName val="vl_nc_mtc11"/>
      <sheetName val="Heso_DZ11"/>
      <sheetName val="DG_BINH_THUAN11"/>
      <sheetName val="3__CNT11"/>
      <sheetName val="unit_price_list(M)11"/>
      <sheetName val="TONG_HOP12"/>
      <sheetName val="Gia_vat_lieu11"/>
      <sheetName val="Precios_unitarios_AXH11"/>
      <sheetName val="TH_VL,_NC,_DDHT_Thanhphuoc11"/>
      <sheetName val="So_lieu_chung11"/>
      <sheetName val="BẢNG_ÁP_GIÁ_(in)11"/>
      <sheetName val="NT_(KL)_IN11"/>
      <sheetName val="DOM_D211"/>
      <sheetName val="nhà_ăn11"/>
      <sheetName val="Công_nhật11"/>
      <sheetName val="btkt_cột11"/>
      <sheetName val="0__Input11"/>
      <sheetName val="1_2_Staff_Schedule11"/>
      <sheetName val="Bill_Prelim-CDT11"/>
      <sheetName val="Bill_BPTC-CDT11"/>
      <sheetName val="Chi_tiết_BPTC11"/>
      <sheetName val="Bill_BPTC-CDT_(PA_MCT_CDT)11"/>
      <sheetName val="Chi_tiết_BPTC_(PA_MCT_CDT)11"/>
      <sheetName val="TH_các_CC11"/>
      <sheetName val="KL_THEP__GIAM_DO_DUNG_COUPLER11"/>
      <sheetName val="01_KL_THÉP_NHẬP_VỀ11"/>
      <sheetName val="2__NT_VLDV11"/>
      <sheetName val="GHI_CHU11"/>
      <sheetName val="1_BB_LMHT11"/>
      <sheetName val="Bê_tông_bảo_vệ11"/>
      <sheetName val="01__Data11"/>
      <sheetName val="Neo,_nối_cốt_thép_dầm,_cột11"/>
      <sheetName val="Uốn_móc_cốt_thép11"/>
      <sheetName val="Tiêu_chuẩn_cốt_thép11"/>
      <sheetName val="1__Office11"/>
      <sheetName val="Doi_so11"/>
      <sheetName val="DANH_MỤC_HỒ_SƠ11"/>
      <sheetName val="GT_PHÁT_SINH_NGOÀI_HĐ11"/>
      <sheetName val="KL_PHÁT_SINH_11"/>
      <sheetName val="PS_NGOÀI_HĐ11"/>
      <sheetName val="GT_PHÁT_SINH_VƯỢT_HĐ11"/>
      <sheetName val="PS_TĂNG_GIẢM_TRONG_HĐ11"/>
      <sheetName val="DGCT_PHÁT_SINH11"/>
      <sheetName val="DGCT_TRẦN_NLV11"/>
      <sheetName val="DGKL_chi_tiết_NLV11"/>
      <sheetName val="DGKL_chi_tiết_NHN,NK11"/>
      <sheetName val="TG_KL11"/>
      <sheetName val="DGCT_SƠN_BẢ_TƯỜNG_NLV11"/>
      <sheetName val="DGKL_TRẦN_NHN11"/>
      <sheetName val="MTO_REV_2(ARMOR)11"/>
      <sheetName val="1_Civil_(Org)11"/>
      <sheetName val="KL_thep_lam_sat11"/>
      <sheetName val="Tien_Thuong11"/>
      <sheetName val="NC_XL_6T_cuoi_01_CTy11"/>
      <sheetName val="Data_-6T_dau11"/>
      <sheetName val="Cong_6T11"/>
      <sheetName val="DM-VNT_ko_sd11"/>
      <sheetName val="Bảng_đo_bóc_KL_OLK-0911"/>
      <sheetName val="6_3_CHI_TIET_OLK-0911"/>
      <sheetName val="B3A_-_TOWER_A11"/>
      <sheetName val="Annex_B11"/>
      <sheetName val="TLG_Type11"/>
      <sheetName val="1_San_11"/>
      <sheetName val="Tong_hop_vat_tu11"/>
      <sheetName val="Dot_411"/>
      <sheetName val="Chi_phi_van_chuyen11"/>
      <sheetName val="DT_hợp_đồng10"/>
      <sheetName val="Bảng_KL_đợt_110"/>
      <sheetName val="Dgia_vat_tu11"/>
      <sheetName val="Don_gia_III12"/>
      <sheetName val="D÷_liÖu11"/>
      <sheetName val="Thop_Ksat11"/>
      <sheetName val="Thu_hoi_11"/>
      <sheetName val="HM_chung11"/>
      <sheetName val="CP_xd-thiet_bi11"/>
      <sheetName val="TH-TN_LD_TB11"/>
      <sheetName val="CP_xaydung11"/>
      <sheetName val="Thao_ha_phu_kien11"/>
      <sheetName val="VL-NC-MTC_ket_cau11"/>
      <sheetName val="KHOI_LUONG_TONG11"/>
      <sheetName val="TK_22KV11"/>
      <sheetName val="DM_366-177711"/>
      <sheetName val="Thi_nhiem11"/>
      <sheetName val="Gia_goc_VT-TB11"/>
      <sheetName val="Gia_vc_den_chan_CT11"/>
      <sheetName val="culy_2211"/>
      <sheetName val="Luong_205011"/>
      <sheetName val="ca_may_QN11"/>
      <sheetName val="TNHC1246_11"/>
      <sheetName val="Ca_may_TT06_201011"/>
      <sheetName val="Don_gia_VLXD_dia_phuong11"/>
      <sheetName val="Bang_luong_SCL11"/>
      <sheetName val="Dinh_muc_TN142611"/>
      <sheetName val="HRG_BHN11"/>
      <sheetName val="CĂN_ĐH11"/>
      <sheetName val="Div26_-_Elect11"/>
      <sheetName val="Bù_giá_CM9"/>
      <sheetName val="Luong_BN9"/>
      <sheetName val="Luong_TB9"/>
      <sheetName val="Ca_may_TB9"/>
      <sheetName val="Ca_máy_BN9"/>
      <sheetName val="Vật_liệu9"/>
      <sheetName val="7_Khau_tru_11"/>
      <sheetName val="gia_vt,nc,may10"/>
      <sheetName val="2_CDPS11"/>
      <sheetName val="Q_A01_2-Sh11"/>
      <sheetName val="4_CĂN11"/>
      <sheetName val="Danh_mục10"/>
      <sheetName val="Financ__Overview10"/>
      <sheetName val="LX_-TT059"/>
      <sheetName val="NC_Moi_TT059"/>
      <sheetName val="Bia_lot9"/>
      <sheetName val="MB_DT_0210"/>
      <sheetName val="PV_Graph_Data10"/>
      <sheetName val="5_2_1_Đo_bóc_KL_OLK-0610"/>
      <sheetName val="Don_gia_NC11"/>
      <sheetName val="B-2__(DPP)11"/>
      <sheetName val="CAP_NUOC10"/>
      <sheetName val="cấp_nước_trục_nhà_vs10"/>
      <sheetName val="THOAT_NUOC10"/>
      <sheetName val="THOAT_MUA10"/>
      <sheetName val="Cáp_phòng10"/>
      <sheetName val="TMC_ĐIỆN_Phi10"/>
      <sheetName val="TMC_Tổng10"/>
      <sheetName val="TH_Đèn_Phòng_L110"/>
      <sheetName val="TH_Đèn_Hầm_L110"/>
      <sheetName val="TỦ_MODULE_T110"/>
      <sheetName val="Summary_Sheet10"/>
      <sheetName val="Finishing-Tower_A10"/>
      <sheetName val="Finishing-Tower_B10"/>
      <sheetName val="Finishing-Tower_C10"/>
      <sheetName val="Finishing-Tower_D10"/>
      <sheetName val="MEP-Tower_A10"/>
      <sheetName val="MEP-Tower_B10"/>
      <sheetName val="MEP-Tower_C10"/>
      <sheetName val="MEP-Tower_D10"/>
      <sheetName val="Cost_Report_Sum10"/>
      <sheetName val="Detail_Cost_Sum10"/>
      <sheetName val="RVO-VO_Sum10"/>
      <sheetName val="Potential_VOs_Sum10"/>
      <sheetName val="Cash_Flow_Sum10"/>
      <sheetName val="TINH_GIA_-_SAN_XUAT_Vertico10"/>
      <sheetName val="Huong_dan10"/>
      <sheetName val="13_BANG_CT10"/>
      <sheetName val="14_MMUS_GIUA_NHIP10"/>
      <sheetName val="4_HSPBngang10"/>
      <sheetName val="6_Tinh_tai10"/>
      <sheetName val="2_NSl10"/>
      <sheetName val="17_US_CHU_tho_a_b10"/>
      <sheetName val="15_MMUS_GOI10"/>
      <sheetName val="Bieu_gia_HD10"/>
      <sheetName val="DZ_22KV10"/>
      <sheetName val="BTK-Dai_Hoc_Kien_Giang10"/>
      <sheetName val="doanh_thu10"/>
      <sheetName val="Dutoan_KL10"/>
      <sheetName val="Kê_0,410"/>
      <sheetName val="TH_0,410"/>
      <sheetName val="Kê_2210"/>
      <sheetName val="TH_2210"/>
      <sheetName val="TBA_CAI_TAO10"/>
      <sheetName val="TBA_XDM10"/>
      <sheetName val="TONG_HOP_DU_TOAN10"/>
      <sheetName val="Thop_XAY_DUNG10"/>
      <sheetName val="CP_HANG_MUC_CHUNG10"/>
      <sheetName val="CHI_PHI_XD10"/>
      <sheetName val="CHI_PHI_THI_NGHIEM10"/>
      <sheetName val="VLDIEN_2210"/>
      <sheetName val="Dao_dat10"/>
      <sheetName val="TH_Denbu10"/>
      <sheetName val="Do_ve_DC10"/>
      <sheetName val="TH_Bommin10"/>
      <sheetName val="CHI_PHI_THI_NGHIEM-LD_thiet_b10"/>
      <sheetName val="Luong_TT0110"/>
      <sheetName val="Camay_QB10"/>
      <sheetName val="gia_ca_may_BXD10"/>
      <sheetName val="BANG_LUONG_KY_SU10"/>
      <sheetName val="Bang_luong_NHOM_I10"/>
      <sheetName val="Bangluong_NHOM_II_10"/>
      <sheetName val="09-GIA_nhien_lieu-ko_in10"/>
      <sheetName val="Tinh_V_cot_chiem_cho10"/>
      <sheetName val="ĐM_135410"/>
      <sheetName val="KHOAN_MAU10"/>
      <sheetName val="ĐO_ĐỊA_VẬT_LÝ10"/>
      <sheetName val="khoan_tiep_dia10"/>
      <sheetName val="Tính_giá_NC10"/>
      <sheetName val="Tiên_lượng10"/>
      <sheetName val="SL_cước10"/>
      <sheetName val="Dinh_muc10"/>
      <sheetName val="DT_san_XD-So_lieu_cu9"/>
      <sheetName val="GIÁ_DỰ_THẦU_30_CĂN10"/>
      <sheetName val="DG_Chi_tiet10"/>
      <sheetName val="_1710_HOINGHINLD10"/>
      <sheetName val="99_(2)10"/>
      <sheetName val="134_10"/>
      <sheetName val="DG_497010"/>
      <sheetName val="THONG_SO10"/>
      <sheetName val="Đơn_giá_chi_tiết_TN_3910"/>
      <sheetName val="KS_tuyen10"/>
      <sheetName val="Bang_chiet_tinh_TBA10"/>
      <sheetName val="4_2_1_Đo_bóc_KL_OLK-0610"/>
      <sheetName val="4_1_1_CHI_TIET_OLK-0610"/>
      <sheetName val="Electrical_Works10"/>
      <sheetName val="H_T__INCOMING_SYSTEM10"/>
      <sheetName val="EQUIP_LIST10"/>
      <sheetName val="So_sanh10"/>
      <sheetName val="HERD_MOVEMENTFARM112"/>
      <sheetName val="HERD_MOVEMENTFARM212"/>
      <sheetName val="CALVES_2-412"/>
      <sheetName val="Cavles_2-412"/>
      <sheetName val="CALVES_4-712"/>
      <sheetName val="HEIFER_7-12m12"/>
      <sheetName val="HEIFER_12+12"/>
      <sheetName val="FRESH_COW_2017-1812"/>
      <sheetName val="HP_COW_201812"/>
      <sheetName val="LP_COW_2017-1812"/>
      <sheetName val="DRY_COW12"/>
      <sheetName val="FIELD_CROPS12"/>
      <sheetName val="Gia_VT-TB10"/>
      <sheetName val="noi_suy_xa10"/>
      <sheetName val="noi_suy_xa_thu_hoi10"/>
      <sheetName val="BU_LONG10"/>
      <sheetName val="Thuyết_minh10"/>
      <sheetName val="Đơn_giá_máy10"/>
      <sheetName val="DT__NHA_XUONG10"/>
      <sheetName val="Tong_DT9"/>
      <sheetName val="phan_tich_don_gia9"/>
      <sheetName val="¥_10"/>
      <sheetName val="Chu_dau_tu5"/>
      <sheetName val="Cash_Flow10"/>
      <sheetName val="Bill_No_1_610"/>
      <sheetName val="Bill_No_1_1010"/>
      <sheetName val="Bill_No_3_310"/>
      <sheetName val="Bill_No_1_410"/>
      <sheetName val="Bill_No_1_710"/>
      <sheetName val="Summary_Bill_No__310"/>
      <sheetName val="Unit_price9"/>
      <sheetName val="Bán_đợt_1_trang9"/>
      <sheetName val="3__KC_-_PODIUM9"/>
      <sheetName val="Chiet_tinh_dz359"/>
      <sheetName val="Tien_Luong9"/>
      <sheetName val="Breakdown_(B)9"/>
      <sheetName val="U_P_Breakdown9"/>
      <sheetName val="DG_3"/>
      <sheetName val="Unit_price(Updateting)9"/>
      <sheetName val="Cost_List9"/>
      <sheetName val="Detail_Cost9"/>
      <sheetName val="IC_Price_New9"/>
      <sheetName val="Summary_Table9"/>
      <sheetName val="Sales_Person9"/>
      <sheetName val="Bidding_Entity9"/>
      <sheetName val="CTDZ6kv_(gd1)_9"/>
      <sheetName val="CTDZ_0_4+cto_(GD1)9"/>
      <sheetName val="CTTBA_(gd1)9"/>
      <sheetName val="03_Detailed9"/>
      <sheetName val="01_Bid_Price_summary9"/>
      <sheetName val="Home_Office_Manhours9"/>
      <sheetName val="Field_SPV_Barchart9"/>
      <sheetName val="don_gia_14269"/>
      <sheetName val="Luong_(TP_Việt_Trì)2"/>
      <sheetName val="Khai_toan4"/>
      <sheetName val="Phu_luc_01_1_EPC_P11-144"/>
      <sheetName val="TDT_P11-P144"/>
      <sheetName val="Chi_phi_khac_4"/>
      <sheetName val="Hang_muc_Chung4"/>
      <sheetName val="Bia_Phu_Luc4"/>
      <sheetName val="DATA_1_CHUNG4"/>
      <sheetName val="Muc_luc4"/>
      <sheetName val="Tra_cuu_9574"/>
      <sheetName val="CHITIET_VL-NCHT1_(2)9"/>
      <sheetName val="IMF_Code9"/>
      <sheetName val="Subsidiary_Calculation9"/>
      <sheetName val="5_2_1_Đo_bóc_KL_OLK-109"/>
      <sheetName val="FF-2_(1)9"/>
      <sheetName val="YTD_12'20039"/>
      <sheetName val="YTD_06'20039"/>
      <sheetName val="YTD_03'20039"/>
      <sheetName val="YTD_09'20039"/>
      <sheetName val="deferred_taxes9"/>
      <sheetName val="Eqpmnt_Plng9"/>
      <sheetName val="TRIAL_BALANCE9"/>
      <sheetName val="DPR_31st_march9"/>
      <sheetName val="current_month9"/>
      <sheetName val="Blng__Vs_Coll_9"/>
      <sheetName val="THÔNG_TIN5"/>
      <sheetName val="SGC_RATE4"/>
      <sheetName val="DM_DU_AN4"/>
      <sheetName val="DM_TP_4"/>
      <sheetName val="File_Chi_tiet4"/>
      <sheetName val="Cau_tao_gia_xay_to5"/>
      <sheetName val="Phu_Bai_Bridge9"/>
      <sheetName val="Cuoc_2"/>
      <sheetName val="gia_chao2"/>
      <sheetName val="Vat_lieu_BTN2"/>
      <sheetName val="NC_CU2"/>
      <sheetName val="Da_xay_dung2"/>
      <sheetName val="Tru_TT4"/>
      <sheetName val="Thg_044"/>
      <sheetName val="Thg_054"/>
      <sheetName val="Thg_064"/>
      <sheetName val="Thg_074"/>
      <sheetName val="Thg_084"/>
      <sheetName val="Thg_094"/>
      <sheetName val="Thg_104"/>
      <sheetName val="Thg_114"/>
      <sheetName val="Thg_124"/>
      <sheetName val="Dashboard_-_BQL_-_VHL4"/>
      <sheetName val="BẢNG_DIỄN_GIẢI_KL_(7)9"/>
      <sheetName val="THPDMoi__(2)5"/>
      <sheetName val="t-h_HA_THE5"/>
      <sheetName val="TH_XL5"/>
      <sheetName val="CHITIET_VL-NC5"/>
      <sheetName val="MTO_REV_02"/>
      <sheetName val="TH_khoi_luong4"/>
      <sheetName val="Chi_tiet_khoi_luong4"/>
      <sheetName val="TK_thep4"/>
      <sheetName val="CT_THOÁT_WC_VP4"/>
      <sheetName val="CT_CẤP_WC_VP4"/>
      <sheetName val="CT_THOÁT_MƯA_VP_TRỤC_LỚN4"/>
      <sheetName val="CT_THOÁT_MƯA_VP_TRỤC_NHỎ4"/>
      <sheetName val="Chênh_lệch_máy_thi_công3"/>
      <sheetName val="Chênh_lệch_nhân_công3"/>
      <sheetName val="Chênh_lệch_vật_liệu3"/>
      <sheetName val="DO_AM_DT2"/>
      <sheetName val="TCVN_1651-20081"/>
      <sheetName val="w't_table4"/>
      <sheetName val="Probbl_-_Production4"/>
      <sheetName val="Danh_mục_khối4"/>
      <sheetName val="Danh_mục_đơn_vị_-phòng_chức_nă4"/>
      <sheetName val="Currency_Rate4"/>
      <sheetName val="KEILA_TP_2020-074"/>
      <sheetName val="CHI_PHÍ_NHÔM4"/>
      <sheetName val="BILL_34Āᐁë4"/>
      <sheetName val="CFA_(ME)4"/>
      <sheetName val="MEP_Building4"/>
      <sheetName val="2__BBNT_KLHT4"/>
      <sheetName val="CHITIET_VL-NC-TT1p4"/>
      <sheetName val="NHOM_KINH3"/>
      <sheetName val="LUONG_SCL4"/>
      <sheetName val="Auto_Monthly_Inputs_2"/>
      <sheetName val="BOM-13_11-Other(PS1+PS2)4"/>
      <sheetName val="01__Nha_xuong2"/>
      <sheetName val="Nhập_liệu2"/>
      <sheetName val="Service_Cost_3"/>
      <sheetName val="Don_gia_Tay_Ninh3"/>
      <sheetName val="Don_gia_Dak_Lak3"/>
      <sheetName val="streeta_and_cacth_pit3"/>
      <sheetName val="Daf_13"/>
      <sheetName val="Luong_2622EVN2"/>
      <sheetName val="Dinh_Muc_Vat_Tu4"/>
      <sheetName val="mã_4"/>
      <sheetName val="Don_gia_XD3"/>
      <sheetName val="Gia_NC_theo_TT052"/>
      <sheetName val="Land_Dev't__Ph-12"/>
      <sheetName val="Hac_Lots2"/>
      <sheetName val="4-Lane_bridge2"/>
      <sheetName val="Res_Lots2"/>
      <sheetName val="Spine_Road2"/>
      <sheetName val="Chao_gia_T12_RE3"/>
      <sheetName val="DSV6_Summ2"/>
      <sheetName val="Sum_ELE__CAP_S1-4__2"/>
      <sheetName val="Boc_KL_DAT+CAT+BT2"/>
      <sheetName val="Boc_KL_thép2"/>
      <sheetName val="Bieu_do_nhan_luc2"/>
      <sheetName val="Elemental_Breakdown+20%2"/>
      <sheetName val="DGKL_TRỤC_NGOAI_NHA2"/>
      <sheetName val="PHẦN_KIẾN_TRÚC2"/>
      <sheetName val="0,SO_LIEU_DAU_VAO2"/>
      <sheetName val="So_sanh_gia2"/>
      <sheetName val="Bill_22"/>
      <sheetName val="Bill_32"/>
      <sheetName val="Bill_4a_-_1A2"/>
      <sheetName val="Bill_4a_(Fiber)_-_1A2"/>
      <sheetName val="Bill_4b2"/>
      <sheetName val="Bill_4c2"/>
      <sheetName val="Bill_52"/>
      <sheetName val="Bill_4a_-_1B2"/>
      <sheetName val="Bill_4a_(Fiber)_-_1B2"/>
      <sheetName val="5_2_1_Đo_bóc_KL_OLK-072"/>
      <sheetName val="Corner_Arch2"/>
      <sheetName val="End_Arch2"/>
      <sheetName val="Intermediate_Arch2"/>
      <sheetName val="reinforcement_6752"/>
      <sheetName val="ext_wall_fin_qty2"/>
      <sheetName val="SL_Plum_2"/>
      <sheetName val="Physical_Schedule_3D2"/>
      <sheetName val="Tabel_Berat3"/>
      <sheetName val="Data_Umum_Penawaran3"/>
      <sheetName val="Real_Cost3"/>
      <sheetName val="bill_qty3"/>
      <sheetName val="REKAP_ARSITEKTUR_3"/>
      <sheetName val="RAB_ADMINISTRASI_PUSAT_(1)3"/>
      <sheetName val="Hrg_Readymix2"/>
      <sheetName val="TONGKE3p_1"/>
      <sheetName val="Bill_rekap1"/>
      <sheetName val="Cash_Flow_bulanan1"/>
      <sheetName val="DG_VL_KS1"/>
      <sheetName val="DTXL(_270)1"/>
      <sheetName val="cable,_lighting,_switch1"/>
      <sheetName val="ĐỢT_11"/>
      <sheetName val="Dai_tu2"/>
      <sheetName val="Aging_Sept3"/>
      <sheetName val="0_Data2"/>
      <sheetName val="0_Data_new2"/>
      <sheetName val="Define_finishing2"/>
      <sheetName val="CươcVC_tinh1"/>
      <sheetName val="Bank_Rev2"/>
      <sheetName val="Merit_&amp;_Market_Grid3"/>
      <sheetName val="BP_DECLINE_IT2"/>
      <sheetName val="Input_List2"/>
      <sheetName val="Valid_data_revised2"/>
      <sheetName val="DETAIL_MIX_%_REPORT2"/>
      <sheetName val="Fill_this_out_first___2"/>
      <sheetName val="CONSOIDATE_42"/>
      <sheetName val="CONSOIDATE_22"/>
      <sheetName val="BC_chi_tiết_TT2"/>
      <sheetName val="Cước_CG2"/>
      <sheetName val="Fixed_asset_register2"/>
      <sheetName val="repeatative_rejection2"/>
      <sheetName val="General_Info2"/>
      <sheetName val="Full_PBD2"/>
      <sheetName val="Non-Statistical_Sampling2"/>
      <sheetName val="98FORECAST_(1)2"/>
      <sheetName val="Sch_18_Bank2"/>
      <sheetName val="Stock_details2"/>
      <sheetName val="Part_A_General2"/>
      <sheetName val="_2"/>
      <sheetName val="242_3_summaryOPC2"/>
      <sheetName val="1_1General2"/>
      <sheetName val="Gia_giao_VL_den_HT1"/>
      <sheetName val="KL_CHI_TIẾT_(2)1"/>
      <sheetName val="6__Scope_of_work_2"/>
      <sheetName val="4_6_Phân_tích_nhân_sự_2"/>
      <sheetName val="4_5_Mức_độ_tham_gia_dự_án2"/>
      <sheetName val="Khoi_luong_kenh_dan1"/>
      <sheetName val="Thep_Be_TN(tai_C10)1"/>
      <sheetName val="Don_vi1"/>
      <sheetName val="TH_khối_lượng_phải_làm1"/>
      <sheetName val="Giá_VL,_NC,_M1"/>
      <sheetName val="Lương_2135_nhóm_I1"/>
      <sheetName val="Luong_2050_hà_NAm1"/>
      <sheetName val="Lương2045_nhóm_I1"/>
      <sheetName val="May_3_huyện1"/>
      <sheetName val="May_yên_mô1"/>
      <sheetName val="Phân_tich_ĐG1"/>
      <sheetName val="PLV_mới1"/>
      <sheetName val="May_TT11(TB)1"/>
      <sheetName val="May_TT11_(HP)1"/>
      <sheetName val="May_TT11(NB)1"/>
      <sheetName val="May_TT11(NĐ)1"/>
      <sheetName val="Lương_theo_TT17(Thái_Bình)1"/>
      <sheetName val="Lương_theo_TT17_(HP)1"/>
      <sheetName val="Lương_theo_TT17_(Ninh_Bình)1"/>
      <sheetName val="Lương_theo_TT17_(Nam_Định)1"/>
      <sheetName val="he_so_dong_thoi1"/>
      <sheetName val="Input_-_Facilities2"/>
      <sheetName val="BP_CAPEX_MoD-100%_Area_4_USD2"/>
      <sheetName val="02__PHAN_TICH2"/>
      <sheetName val="03__NGAN_SACH2"/>
      <sheetName val="Dynamic_Ranges1"/>
      <sheetName val="THCP_thiet_bi1"/>
      <sheetName val="ADJ_20111"/>
      <sheetName val="NOVA_MEDIC1"/>
      <sheetName val="DGKL_MEDIC1"/>
      <sheetName val="THONG_SO_KICH_THUOC1"/>
      <sheetName val="CT_-THVLNC1"/>
      <sheetName val="Listes_Caractéristiques1"/>
      <sheetName val="Liste_Référentiel1"/>
      <sheetName val="Bill_4_1a___1"/>
      <sheetName val="XL4Poppy_(2)2"/>
      <sheetName val="Bldg_Brkdown1"/>
      <sheetName val="Thang_011"/>
      <sheetName val="Thống_kê1"/>
      <sheetName val="BAN_IN1"/>
      <sheetName val="Data_(2)1"/>
      <sheetName val="Book_1_Summary1"/>
      <sheetName val="SLTh_ke1"/>
      <sheetName val="DIEN_TICH1"/>
      <sheetName val="1_설계조건1"/>
      <sheetName val="Wood_Mckenzie1"/>
      <sheetName val="Đầu_ra_sản_phẩm1"/>
      <sheetName val="Tổng_quan_và_Input1"/>
      <sheetName val="Đầu_vào_sản_xuất1"/>
      <sheetName val="Tính_toán_doanh_thu1"/>
      <sheetName val="Phân_tích_độ_nhạy1"/>
      <sheetName val="Khấu_hao_TSCĐ1"/>
      <sheetName val="Nguồn_vốn1"/>
      <sheetName val="Giải_ngân_nguồn_vốn1"/>
      <sheetName val="Tính_toán_thuế1"/>
      <sheetName val="Tính_toán_chi_phí_SX1"/>
      <sheetName val="TH_ĐƠN_GIÁ1"/>
      <sheetName val="KL_T16_BÀN_GIAO_19_41"/>
      <sheetName val="5_Gia1"/>
      <sheetName val="Loại_cọc_P21"/>
      <sheetName val="Danh_sach_KV21"/>
      <sheetName val="Danh_sach_doan_KT1"/>
      <sheetName val="CP_NC-MTC_XD1"/>
      <sheetName val="bang_1_NCXD1"/>
      <sheetName val="bang_1_NCXD_(V_I)1"/>
      <sheetName val="List_of_Staff1"/>
      <sheetName val="__QUOTATION_xlsx1"/>
      <sheetName val="2_5_Ducts_(2)1"/>
      <sheetName val="S_N1"/>
      <sheetName val="H_Satuan1"/>
      <sheetName val="4_3_Scope_of_work_1"/>
      <sheetName val="OVER_VIEW1"/>
      <sheetName val="GIA_NC,_CM1"/>
      <sheetName val="GIA_VL1"/>
      <sheetName val="13_Luong1"/>
      <sheetName val="Luong_TT051"/>
      <sheetName val="Gia_HĐ1"/>
      <sheetName val="Ca_may1"/>
      <sheetName val="unit_weight1"/>
      <sheetName val="NHOM_KINH_1"/>
      <sheetName val="2__Tổng_hợp1"/>
      <sheetName val="List_Equip1"/>
      <sheetName val="Process_C_(1-166)1"/>
      <sheetName val="THÁNG_051"/>
      <sheetName val="CF_-Update_31Jul061"/>
      <sheetName val="Executive_Summary1"/>
      <sheetName val="MAHANG_BHLD1"/>
      <sheetName val="CHITIETHOADON_TT1"/>
      <sheetName val="mahang_chinh_sua_moi_nhat1"/>
      <sheetName val="Noise_insl1"/>
      <sheetName val="SCOPE_OF_WORK1"/>
      <sheetName val="DS_Cty1"/>
      <sheetName val="Eq__Mobilization1"/>
      <sheetName val="Link_HG1"/>
      <sheetName val="chi_tiet_TS_theo_so_lieu_ktoan1"/>
      <sheetName val="Piano_Montaggio_PO-02_bozza21"/>
      <sheetName val="List_Danh_mục_nghiệm_thu1"/>
      <sheetName val="May_Goc_(QD2436)1"/>
      <sheetName val="VC_theo_cuoc_tinh1"/>
      <sheetName val="BCVC__1"/>
      <sheetName val="ĐM4970_2016(Lap_dat_TBA)1"/>
      <sheetName val="Gia_Nhan_công1"/>
      <sheetName val="Đon_gia_228_sua_chua1"/>
      <sheetName val="ĐM01_2000(thinghiem_ĐZTTĐL)1"/>
      <sheetName val="ĐM1781_2007(T_N_đien_ĐZ&amp;TBA)1"/>
      <sheetName val="Cuoc_van_chuyen1"/>
      <sheetName val="02__THONG_TIN_CHUNG1"/>
      <sheetName val="07__DINH_MUC_HBC1"/>
      <sheetName val="3_공통공사대비1"/>
      <sheetName val="Rate_Analysis1"/>
      <sheetName val="입찰내역_발주처_양식1"/>
      <sheetName val="bar_nor1"/>
      <sheetName val="conc_nor1"/>
      <sheetName val="conc_frus1"/>
      <sheetName val="conc_trap1"/>
      <sheetName val="bar_frus1"/>
      <sheetName val="bar_trap1"/>
      <sheetName val="SLA_cost_distr_FEB_20201"/>
      <sheetName val="Legal_entities_details1"/>
      <sheetName val="Invoice_base_FEB_20201"/>
      <sheetName val="Le317_into_80501"/>
      <sheetName val="Basic_principles_to_the_distr_1"/>
      <sheetName val="Cost_elements1"/>
      <sheetName val="Ref_rate_change1"/>
      <sheetName val="Synergi_life_credit1"/>
      <sheetName val="Change_in_NH1"/>
      <sheetName val="NPS_to_O&amp;G1"/>
      <sheetName val="Adj_entries_1"/>
      <sheetName val="Annexure_11"/>
      <sheetName val="Annexure_21"/>
      <sheetName val="Updated_2018_COA1"/>
      <sheetName val="IC_Listing1"/>
      <sheetName val="2__Summary-cash1"/>
      <sheetName val="DG_THIET_BI1"/>
      <sheetName val="DG_vat_lieu1"/>
      <sheetName val="Loại_21"/>
      <sheetName val="Don_gia_III13"/>
      <sheetName val="Don_gia_CT1"/>
      <sheetName val="Tu_dien1"/>
      <sheetName val="T_kê1"/>
      <sheetName val="Chi_tiet_VL-NC-MTC1"/>
      <sheetName val="Kien_truc1"/>
      <sheetName val="Chiet_tinh_dz221"/>
      <sheetName val="Chuong_I1"/>
      <sheetName val="TK_SX1"/>
      <sheetName val="DLC_DIEN_AP1"/>
      <sheetName val="SL_dau_tien1"/>
      <sheetName val="Danhsach_121"/>
      <sheetName val="NC_HY1"/>
      <sheetName val="NC_HN1"/>
      <sheetName val="A1_81"/>
      <sheetName val="PLHD_doi_cot_ham_0101-041"/>
      <sheetName val="VL_NC_M1"/>
      <sheetName val="Don_gia_vung_III1"/>
      <sheetName val="DZ_351"/>
      <sheetName val="Tonghop_theo_Vendor1"/>
      <sheetName val="Du_thau_dau_noi1"/>
      <sheetName val="Du_Thau1"/>
      <sheetName val="Du_thau_PSBS1"/>
      <sheetName val="DG_theo_HD_PSBS1"/>
      <sheetName val="Du_thau_TC111"/>
      <sheetName val="Beam_reinfocement_schedule1"/>
      <sheetName val="Thong_so_dam1"/>
      <sheetName val="Wall_Block_C1"/>
      <sheetName val="General_Schedule1"/>
      <sheetName val="Factor_F_Data1"/>
      <sheetName val="Tra_Cứu1"/>
      <sheetName val="IV_1_Lkdt1"/>
      <sheetName val="III_2_dah1"/>
      <sheetName val="II_2_dn1"/>
      <sheetName val="IV_2_Lkdd1"/>
      <sheetName val="III_1_tai1"/>
      <sheetName val="DP_TRUOT_GIA1"/>
      <sheetName val="VL-NC-M_1"/>
      <sheetName val="Project_Info_1"/>
      <sheetName val="Cost_Summary1"/>
      <sheetName val="Cost_Summary_-_USD1"/>
      <sheetName val="Price_Summary_-_Offshore1"/>
      <sheetName val="Factory_&amp;_Import_Material1"/>
      <sheetName val="Labour_Hours_Upload1"/>
      <sheetName val="Technical_Info_1"/>
      <sheetName val="PM_Cost1"/>
      <sheetName val="SED_INPUT1"/>
      <sheetName val="Be_tong1"/>
      <sheetName val="TÍNH_TOÁN_KHỐI_LƯỢNG_P61"/>
      <sheetName val="INDEX_HẠ_TẦNG1"/>
      <sheetName val="CTG_HẠ_TẦNG1"/>
      <sheetName val="DGG_HẠ_TẦNG1"/>
      <sheetName val="DGG_LB_CỌC1"/>
      <sheetName val="DGG_MT_CỌC1"/>
      <sheetName val="INFO_CỌC1"/>
      <sheetName val="INDEX_CỌC1"/>
      <sheetName val="Bảng_dung_trọng1"/>
      <sheetName val="Summary_-_Budget1"/>
      <sheetName val="Gia_1"/>
      <sheetName val="DIV_INC2"/>
      <sheetName val="A1_-_Income_Statement2"/>
      <sheetName val="SCB_-_Annexure_A2"/>
      <sheetName val="PL6-Revenue_Bridge2"/>
      <sheetName val="OC5-Push_Diag2"/>
      <sheetName val="Franchise_Input2"/>
      <sheetName val="Project_ODC_NDEU2"/>
      <sheetName val="Inter_connect_Revenue2"/>
      <sheetName val="2020_RFS_Summary2"/>
      <sheetName val="Well_Construction_Summary2"/>
      <sheetName val="RFS_2020_-_Details_and_Notes2"/>
      <sheetName val="AN_20002"/>
      <sheetName val="Du_lieu_ban_dau1"/>
      <sheetName val="GZ_TP1"/>
      <sheetName val="GZ_VT1"/>
      <sheetName val="Bearing_Capacity1"/>
      <sheetName val="Thong_tin1"/>
      <sheetName val="BTDC_B3601"/>
      <sheetName val="Danh_muc_LIST1"/>
      <sheetName val="CF_(DR)_IN1"/>
      <sheetName val="PL_02_-_Vay1"/>
      <sheetName val="PL_03_-_Von1"/>
      <sheetName val="CP_yếu_tố1"/>
      <sheetName val="BS_4201"/>
      <sheetName val="PL_4201"/>
      <sheetName val="RT_4201"/>
      <sheetName val="BTDC_B360_1"/>
      <sheetName val="Table_of_contents1"/>
      <sheetName val="11__Loans1"/>
      <sheetName val="6_9_DM_CTP1"/>
      <sheetName val="ADJ_-_RATE1"/>
      <sheetName val="CDPS_SAU_KC1"/>
      <sheetName val="RC_Revenue1"/>
      <sheetName val="AOP_20201"/>
      <sheetName val="DATA_LE1"/>
      <sheetName val="DATA_LE_(LY)1"/>
      <sheetName val="DATA_RC1"/>
      <sheetName val="DATA_RC_(LY)1"/>
      <sheetName val="LE_Test1"/>
      <sheetName val="DATA_(RC_ORG)1"/>
      <sheetName val="DATA_(TESTING_1)1"/>
      <sheetName val="DATA_(TESTING_CHRSPR)1"/>
      <sheetName val="2018_VADIS1"/>
      <sheetName val="Income_Statement16"/>
      <sheetName val="DB_FEE1"/>
      <sheetName val="BHYT_Tự_Nguyện_-_Vinschool-Mau1"/>
      <sheetName val="dulieu_cot1"/>
      <sheetName val="Bank_Bal__Dec_221"/>
      <sheetName val="CAN_DOI_-_KET_QUA3"/>
      <sheetName val="Pivot_Financials2"/>
      <sheetName val="Review_20152"/>
      <sheetName val="People_2"/>
      <sheetName val="Production_volumes2"/>
      <sheetName val="Salary_increase_budget_assump_2"/>
      <sheetName val="Production_initiative2"/>
      <sheetName val="Prod__KPI_-_OEE%2"/>
      <sheetName val="B&amp;P_KPI2"/>
      <sheetName val="Customer_SC2"/>
      <sheetName val="Production_KPIs2"/>
      <sheetName val="Total_losses2"/>
      <sheetName val="Savings_overview2"/>
      <sheetName val="Prod_FTE_Dev_2"/>
      <sheetName val="Log_FTE_Dev_2"/>
      <sheetName val="Loss_tree2"/>
      <sheetName val="Inventory_development2"/>
      <sheetName val="Capex_Phasing2"/>
      <sheetName val="Std_to_Std_MC_only2"/>
      <sheetName val="Top_20_BOM2"/>
      <sheetName val="MC_Development_OLD2"/>
      <sheetName val="NMC_&amp;_Log_Ass_2"/>
      <sheetName val="_Material_Ass_2"/>
      <sheetName val="COGS_Dev_2"/>
      <sheetName val="MC_Dev_2"/>
      <sheetName val="NMC_Dev_2"/>
      <sheetName val="NMC_Development_OLD2"/>
      <sheetName val="Log_Dev_2"/>
      <sheetName val="Prod__capex_overview2"/>
      <sheetName val="Production_-_Risks_&amp;_Opport_2"/>
      <sheetName val="AOCM_Overview2"/>
      <sheetName val="AOCM_Cost_Group_Summary2"/>
      <sheetName val="Sievo_Saving2"/>
      <sheetName val="AOCM_Sub-group2"/>
      <sheetName val="Quality_RFT2"/>
      <sheetName val="Back-up_2"/>
      <sheetName val="Absorption_Phasing2"/>
      <sheetName val="One_off2"/>
      <sheetName val="Reporting_changes2"/>
      <sheetName val="Prod__KPI_-_OEE%_by_line2"/>
      <sheetName val="Key_dependencies2"/>
      <sheetName val="Orgex_and_restructuring2"/>
      <sheetName val="COGS_movement2"/>
      <sheetName val="Back-up_HR2"/>
      <sheetName val="2016_FTE_Variability2"/>
      <sheetName val="2_Sievo_saving_recon__vs_bridg2"/>
      <sheetName val="1__PPV_recon__T04_vs_bridges2"/>
      <sheetName val="INPUT_&amp;_Guidance2"/>
      <sheetName val="data_for_deck,_thinkcell2"/>
      <sheetName val="Flash_call_deck2"/>
      <sheetName val="Supply_chain_bridge2"/>
      <sheetName val="COS_bridge2"/>
      <sheetName val="3_Gross_&amp;_Net_efficiency_repor2"/>
      <sheetName val="PVM_report2"/>
      <sheetName val="Capex_comments2"/>
      <sheetName val="Log_bridge2"/>
      <sheetName val="One_pager2"/>
      <sheetName val="Option_1,Data(from_HFM)_2"/>
      <sheetName val="Option_2,_Data(_Manual_Input)2"/>
      <sheetName val="FX_&amp;_HIERARCHY2"/>
      <sheetName val="Bihar_Plant_FAR1"/>
      <sheetName val="Verification_Report1"/>
      <sheetName val="Sch2_-_BalSht_Summary1"/>
      <sheetName val="Sch1_-_P&amp;L_Summary1"/>
      <sheetName val="Cost_of_DM_Water1"/>
      <sheetName val="Other_assumptions2"/>
      <sheetName val="Vat_lieu_cat_song_rac1"/>
      <sheetName val="Field_Lists2"/>
      <sheetName val="CUSTOMER_GROUP_WISE1"/>
      <sheetName val="Q4_2009_History1"/>
      <sheetName val="_Final_Balance_Sheet1"/>
      <sheetName val="Interest_on_WC1"/>
      <sheetName val="Giai_trinh1"/>
      <sheetName val="BASE_GRAPHE1"/>
      <sheetName val="Assignment_Schedule1"/>
      <sheetName val="DTCT_-XL_41"/>
      <sheetName val="KL_CHI_TIET"/>
      <sheetName val="Phan_tich_don_gia_de_xuat_-_cau"/>
      <sheetName val="FINANCIAL_(FLR)"/>
      <sheetName val="CTG_(GIAM)1"/>
      <sheetName val="Beam__2_"/>
      <sheetName val="Du_thau_03xd"/>
      <sheetName val="TT_16-20191"/>
      <sheetName val="Đơn_trọng1"/>
      <sheetName val="KL_Chi_tiết_BV_dự_thầu1"/>
      <sheetName val="KL_chi_tiết_BV_thi_công1"/>
      <sheetName val="3_NGAN_SACH1"/>
      <sheetName val="2_PHAN_TICH1"/>
      <sheetName val="D_Trong1"/>
      <sheetName val="B_1_Engineering1"/>
      <sheetName val="Mobilisasi_&amp;_Demob1"/>
      <sheetName val="B_2_5_Proc_&amp;_Constr_Civil11"/>
      <sheetName val="B_2_3_Proc_&amp;_Constr_Electrical1"/>
      <sheetName val="B_2_4_Proc_&amp;_Constr_Instru1"/>
      <sheetName val="B_2_1_Proc_&amp;_Constr_Mech_1"/>
      <sheetName val="B_2_2_Proc_&amp;_Constr_Pipe_1"/>
      <sheetName val="Work_Permit1"/>
      <sheetName val="Agregat_Halus_&amp;_Kasar1"/>
      <sheetName val="Data_Tower1"/>
      <sheetName val="BANG_TONGHOP"/>
      <sheetName val="bang_tien_luong"/>
      <sheetName val="Thông_tin_chung"/>
      <sheetName val="1_INPUT"/>
      <sheetName val="Phan_tich_vat_tu"/>
      <sheetName val="Tong_Luong_Thep"/>
      <sheetName val="Đường_dây"/>
      <sheetName val="Vị_trí"/>
      <sheetName val="V_c_noi_bo"/>
      <sheetName val="Tổng_kê"/>
      <sheetName val="Main_Model"/>
      <sheetName val="Đơn_giá-NC"/>
      <sheetName val="Đơn_giá-VL-CM"/>
      <sheetName val="Dau_vào"/>
      <sheetName val="Summary_of_My_Chanh_Bridge"/>
      <sheetName val="My_Chanh_Bridge"/>
      <sheetName val="Summary_of_Phu_Bai_Bridge"/>
      <sheetName val="Summary_of_Nong_Bridge"/>
      <sheetName val="Nong_Bridge"/>
      <sheetName val="Summary_of_Phong_Le_Bridge"/>
      <sheetName val="Phong_Le_Bridge"/>
      <sheetName val="Summary_of_Ky_Lam_Bridge"/>
      <sheetName val="Ban_Qua_do"/>
      <sheetName val="Dự_kiến_SL-NT_2013"/>
      <sheetName val="SL_HM-T1_2014"/>
      <sheetName val="Nghỉ_lễ"/>
      <sheetName val="Check_C"/>
      <sheetName val="Kich_thuoc_mo_M1-nam_lay"/>
      <sheetName val="Gia_khoan_chi_tiet"/>
      <sheetName val="DA01_HD-List"/>
      <sheetName val="DM01_CDT"/>
      <sheetName val="DM02_NT"/>
      <sheetName val="NT01_HD-List"/>
      <sheetName val="1,TMĐT_"/>
      <sheetName val="DG_CANTHO"/>
      <sheetName val="BB 00"/>
      <sheetName val="DGTH (3 cau"/>
      <sheetName val="M+MC"/>
      <sheetName val="DGKL_L2_THÉP_MÓNG"/>
      <sheetName val="Bieu_chi_tiet_gia_du_thau"/>
      <sheetName val="Gia_vat_lieu_trong_gia_du_thau"/>
      <sheetName val="Bang_phan_tich_don_gia_du_thau"/>
      <sheetName val="NT VK ckds"/>
      <sheetName val="PYC"/>
      <sheetName val="Out"/>
      <sheetName val="NC3"/>
      <sheetName val="Bang gia tong hop"/>
      <sheetName val="1_1_Barrette pile"/>
      <sheetName val="Qty_foundation"/>
      <sheetName val="Qty_pile"/>
      <sheetName val="Steel_column"/>
      <sheetName val="Steel_Foundation"/>
      <sheetName val="steel_Gbeam"/>
      <sheetName val="Steel_ramp"/>
      <sheetName val="Steel_slab"/>
      <sheetName val="Steel_tank"/>
      <sheetName val="Steel_wall"/>
      <sheetName val="D.W"/>
      <sheetName val="Unit Mix"/>
      <sheetName val="Unt rate"/>
      <sheetName val="Equipment List Guideline"/>
      <sheetName val="Model List"/>
      <sheetName val="tcvn "/>
      <sheetName val="Combos"/>
      <sheetName val="qty"/>
      <sheetName val="KHOILUONGTHICONG"/>
      <sheetName val="Apt내역"/>
      <sheetName val="단중표"/>
      <sheetName val="DATA NX3"/>
      <sheetName val="2. A&amp;C Database"/>
      <sheetName val="CMT retrive"/>
      <sheetName val="HDnhap"/>
      <sheetName val="Drop.Down"/>
      <sheetName val="Gia tri vat tu"/>
      <sheetName val="NB"/>
      <sheetName val="NM"/>
      <sheetName val="PhÇnCK"/>
      <sheetName val="daywork-nop"/>
      <sheetName val="Bill Pre_B1"/>
      <sheetName val="Bill Pre_B2+3"/>
      <sheetName val="Ham(CT32-33)"/>
      <sheetName val="HThien (B1)"/>
      <sheetName val="HThien (B2)"/>
      <sheetName val="KC (B3)"/>
      <sheetName val="HThien (B3)"/>
      <sheetName val="BMW.B2"/>
      <sheetName val="CTG CGO"/>
      <sheetName val="Phat sinh 09"/>
      <sheetName val="CTG Xây tô"/>
      <sheetName val="DTHU-T8"/>
      <sheetName val="25.04.14 TL-Goc Ko in"/>
      <sheetName val="fromNga"/>
      <sheetName val="PL3a dot1"/>
      <sheetName val="97 사업추정(WEKI)"/>
      <sheetName val="Data NT"/>
      <sheetName val="UP1"/>
      <sheetName val="Lương_nhân_công"/>
      <sheetName val="DETAIL_PROGRESS_CLAIM"/>
      <sheetName val="SELISIH_HARGA"/>
      <sheetName val="B1_CN"/>
      <sheetName val="M_67"/>
      <sheetName val="Bang_khoi_luong"/>
      <sheetName val="EE_(3)"/>
      <sheetName val="Code_HT_CB_-OT"/>
      <sheetName val="Code_HT_CB_-_PO"/>
      <sheetName val="DOOR_A_(4-roof)"/>
      <sheetName val="Door_HT"/>
      <sheetName val="DOOR_B1_(4-roof)"/>
      <sheetName val="DOOR_B2_(4-roof)"/>
      <sheetName val="rate_code"/>
      <sheetName val="Xuất_DL_AP"/>
      <sheetName val="Xuất_DL_OT"/>
      <sheetName val="Xuat_DL_PO"/>
      <sheetName val="Ctiet_Cthe"/>
      <sheetName val="Data-SỔ_KHO"/>
      <sheetName val="SỔ_KHO"/>
      <sheetName val="Window_Door_schedule"/>
      <sheetName val="Ban_QD"/>
      <sheetName val="Xuly_Data"/>
      <sheetName val="Cst_Pkg-Eden"/>
      <sheetName val="4__Đo_bóc_KL"/>
      <sheetName val="List_NT"/>
      <sheetName val="SUMMARY_QUANTITIES"/>
      <sheetName val="Phân_khai"/>
      <sheetName val="Đắp_đất_K95"/>
      <sheetName val="DM_TN"/>
      <sheetName val="Danh_muc"/>
      <sheetName val="nhat_ky_"/>
      <sheetName val="T_Tinh"/>
      <sheetName val="Lç_khoan_LK1"/>
      <sheetName val="Costos_Alt2"/>
      <sheetName val="B-10_otros_activos_2003"/>
      <sheetName val="B-10_otros_activos_2004"/>
      <sheetName val="liste_ANDI"/>
      <sheetName val="Daily_Forwards"/>
      <sheetName val="CREDIT_STATS"/>
      <sheetName val="basic_inputs"/>
      <sheetName val="INSTRUCTION_Read_me"/>
      <sheetName val="DATOS_DE_CAMPO"/>
      <sheetName val="Basic_Data_Inputs"/>
      <sheetName val="Du_lieu_dau_vao"/>
      <sheetName val="DAO_DAP_CONG"/>
      <sheetName val="son_ke_duong"/>
      <sheetName val="BOQ-1"/>
      <sheetName val="thongtinchung"/>
      <sheetName val="khung ten TD"/>
      <sheetName val="DGSR"/>
      <sheetName val="bo tri ngày"/>
      <sheetName val="May Hue"/>
      <sheetName val="BILL 34Āᐁë??_x0001_??? HẦM"/>
      <sheetName val="DG vat tu"/>
      <sheetName val="BLUONG_DANCU"/>
      <sheetName val="BLUONG_CU"/>
      <sheetName val="BLUONG_MOI"/>
      <sheetName val="KWK"/>
      <sheetName val="pile cap"/>
      <sheetName val="FA-LISTING"/>
      <sheetName val="T&amp;P-Exist"/>
      <sheetName val="4B2 "/>
      <sheetName val="RT2-A"/>
      <sheetName val="FLOOR FINISH-B"/>
      <sheetName val="Rate ( RC )"/>
      <sheetName val="Fnl-Smry"/>
      <sheetName val="CERT"/>
      <sheetName val="Référentiel"/>
      <sheetName val="Smry Wk _P I_"/>
      <sheetName val="RFF"/>
      <sheetName val="RT2S-F"/>
      <sheetName val="M &amp; E"/>
      <sheetName val="MP"/>
      <sheetName val="CMQS"/>
      <sheetName val="dgia2"/>
      <sheetName val="Bang TH"/>
      <sheetName val="O3 VL-NC-MTC - ĐLPC"/>
      <sheetName val="Chi tiet gia DT"/>
      <sheetName val="Gia DT bo Sung"/>
      <sheetName val="PT gia DT"/>
      <sheetName val="PTgia DT BS"/>
      <sheetName val="Nha dieu hanh"/>
      <sheetName val="Lighting for Guestroom "/>
      <sheetName val="Kho số 6e"/>
      <sheetName val="Dinh nghia"/>
      <sheetName val="Nhân_cô"/>
      <sheetName val="BANG NGUYEN NHAN"/>
      <sheetName val="DTCPNB"/>
      <sheetName val="1-TH"/>
      <sheetName val="Guidelines"/>
      <sheetName val="LIGHTING &amp; GROUNDING"/>
      <sheetName val="Building Blocks"/>
      <sheetName val="CongNo"/>
      <sheetName val="待摊费用明细表"/>
      <sheetName val="Details_Sales_(local)1"/>
      <sheetName val="To tied 2001 opening RE"/>
      <sheetName val="EngagementsExportExcel"/>
      <sheetName val="Feuil2"/>
      <sheetName val="Feuil16"/>
      <sheetName val="Feuil1"/>
      <sheetName val="codes transitn"/>
      <sheetName val="CEREAS"/>
      <sheetName val="IMPACTS"/>
      <sheetName val="Phase"/>
      <sheetName val="retenue a la source"/>
      <sheetName val="GSG"/>
      <sheetName val="TOP8"/>
      <sheetName val="VariationsERP"/>
      <sheetName val="Macros"/>
      <sheetName val="AP codes"/>
      <sheetName val="TVA mention"/>
      <sheetName val="IMPACT base"/>
      <sheetName val="bill rate"/>
      <sheetName val="EngagementsExportExcel (2)"/>
      <sheetName val="Feuil17"/>
      <sheetName val="liste AGM"/>
      <sheetName val="8"/>
      <sheetName val="LS"/>
      <sheetName val="FA_list"/>
      <sheetName val="_Payroll_Empl_(Wkng)"/>
      <sheetName val="1__Questionnaire"/>
      <sheetName val="Anx_10"/>
      <sheetName val="DG_SUA_CHUA"/>
      <sheetName val="TAM_TINH"/>
      <sheetName val="Cost_center"/>
      <sheetName val="Enc_3A"/>
      <sheetName val="Fixed_Prof_Fees"/>
      <sheetName val="BS,_PL,_Sch_5_to_9"/>
      <sheetName val="301_RTI"/>
      <sheetName val="Excise_on_RM"/>
      <sheetName val="Insight_28-6-00"/>
      <sheetName val="DL_codes"/>
      <sheetName val="Simulator_Detail"/>
      <sheetName val="Trnf_to_Reimb_"/>
      <sheetName val="Power_&amp;_Fuel_(S)"/>
      <sheetName val="Book_details"/>
      <sheetName val="July_06-Mar_07"/>
      <sheetName val="Record_CR"/>
      <sheetName val="Full_2012"/>
      <sheetName val="Summary_Page_VDF"/>
      <sheetName val="Invested_capital_VDF"/>
      <sheetName val="DS"/>
      <sheetName val="ConversionNames"/>
      <sheetName val="Interdependent CAT"/>
      <sheetName val="Interdependent_CAT"/>
      <sheetName val="PL-F&amp;B"/>
      <sheetName val="Pcos"/>
      <sheetName val="Sales"/>
      <sheetName val="Total_Cost"/>
      <sheetName val="COMBBOYEOY"/>
      <sheetName val="COA"/>
      <sheetName val="GeneralInfo"/>
      <sheetName val="0220"/>
      <sheetName val="SVA"/>
      <sheetName val="Parem"/>
      <sheetName val="TH_DZ3521"/>
      <sheetName val="RAB_AR&amp;STR19"/>
      <sheetName val="chi_tiet_TBA19"/>
      <sheetName val="chi_tiet_C19"/>
      <sheetName val="DON_GIA_CAN_THO21"/>
      <sheetName val="Don_gia19"/>
      <sheetName val="Don_gia_chi_tiet19"/>
      <sheetName val="Customize_Your_Purchase_Order19"/>
      <sheetName val="DON_GIA_TRAM_(3)19"/>
      <sheetName val="CHITIET_VL-NC-TT_-1p19"/>
      <sheetName val="CHITIET_VL-NC-TT-3p18"/>
      <sheetName val="TONG_HOP_VL-NC_TT19"/>
      <sheetName val="KPVC-BD_19"/>
      <sheetName val="HĐ_ngoài18"/>
      <sheetName val="XT_Buoc_318"/>
      <sheetName val="dongia_(2)18"/>
      <sheetName val="S-curve_18"/>
      <sheetName val="Commercial_value18"/>
      <sheetName val="7606_DZ19"/>
      <sheetName val="Ky_Lam_Bridge18"/>
      <sheetName val="Provisional_Sums_Item18"/>
      <sheetName val="Gas_Pressure_Welding18"/>
      <sheetName val="General_Item&amp;General_Requirem18"/>
      <sheetName val="General_Items18"/>
      <sheetName val="Regenral_Requirements18"/>
      <sheetName val="TONG_HOP_VL-NC18"/>
      <sheetName val="So_doi_chieu_LC18"/>
      <sheetName val="project_management18"/>
      <sheetName val="Adix_A18"/>
      <sheetName val="MAIN_GATE_HOUSE18"/>
      <sheetName val="REINF_18"/>
      <sheetName val="Rates_200918"/>
      <sheetName val="Đầu_vào17"/>
      <sheetName val="MH_RATE18"/>
      <sheetName val="A1_CN17"/>
      <sheetName val="Data_Input18"/>
      <sheetName val="Du_toan18"/>
      <sheetName val="chiet_tinh18"/>
      <sheetName val="Ng_hàng_xà+bulong18"/>
      <sheetName val="Bang_KL18"/>
      <sheetName val="DM_606118"/>
      <sheetName val="Equip_17"/>
      <sheetName val="DG_thep_ma_kem18"/>
      <sheetName val="Lcau_-_Lxuc18"/>
      <sheetName val="Chi_tiet_XD_TBA17"/>
      <sheetName val="EIRR&gt;_217"/>
      <sheetName val="TONG_HOP_T5_199817"/>
      <sheetName val="CT_vat_lieu18"/>
      <sheetName val="Trạm_biến_áp17"/>
      <sheetName val="Đơn_Giá_17"/>
      <sheetName val="Chenh_lech_vat_tu17"/>
      <sheetName val="Diện_tích17"/>
      <sheetName val="1_Khái_toán17"/>
      <sheetName val="13-Cốt_thép_(10mm&lt;D≤18mm)_FO116"/>
      <sheetName val="6787CWFASE2CASE2_00_xls17"/>
      <sheetName val="CT-0_4KV17"/>
      <sheetName val="rate_material17"/>
      <sheetName val="4_PTDG17"/>
      <sheetName val="DG_DZ18"/>
      <sheetName val="DG_TBA18"/>
      <sheetName val="Chi_tiet_KL17"/>
      <sheetName val="Tổng_hợp_KL17"/>
      <sheetName val="KL_Chi_tiết_Xây_tô17"/>
      <sheetName val="07Base_Cost17"/>
      <sheetName val="Bill_1_Quy_dinh_chung17"/>
      <sheetName val="1_R18_BF17"/>
      <sheetName val="6_External_works-R1817"/>
      <sheetName val="Phan_khai_KLuong17"/>
      <sheetName val="04_-_XUONG_DET_B17"/>
      <sheetName val="Area_Cal17"/>
      <sheetName val="_0317"/>
      <sheetName val="chieu_day_san17"/>
      <sheetName val="Podium_Concrete_Works17"/>
      <sheetName val="KLCT-_TOWER17"/>
      <sheetName val="KLCT-_PODIUM17"/>
      <sheetName val="Xay_lapduongR317"/>
      <sheetName val="Gia_thanh_chuoi_su17"/>
      <sheetName val="Tiep_dia17"/>
      <sheetName val="Don_gia_vung_III-Can_Tho17"/>
      <sheetName val="Loại_Vật_tư17"/>
      <sheetName val="Measure_130617"/>
      <sheetName val="gia_cong_tac17"/>
      <sheetName val="Isolasi_Luar_Dalam17"/>
      <sheetName val="Isolasi_Luar17"/>
      <sheetName val="Analisa_Gabungan17"/>
      <sheetName val="GV1-D13_(Casement_door)17"/>
      <sheetName val="Project_Data17"/>
      <sheetName val="Elect_(3)17"/>
      <sheetName val="plan&amp;section_of_foundation17"/>
      <sheetName val="design_criteria17"/>
      <sheetName val="Bond_수수료_계산_포맷17"/>
      <sheetName val="ITB_COST17"/>
      <sheetName val="PAGE_117"/>
      <sheetName val="6PILE__(돌출)17"/>
      <sheetName val="HÐ_ngoài18"/>
      <sheetName val="DM_6717"/>
      <sheetName val="Đầu_tư17"/>
      <sheetName val="Chenh_lech_ca_may17"/>
      <sheetName val="TLg_CN&amp;Laixe17"/>
      <sheetName val="TLg_CN&amp;Laixe_(2)17"/>
      <sheetName val="TLg_Laitau17"/>
      <sheetName val="TLg_Laitau_(2)17"/>
      <sheetName val="ESTI_17"/>
      <sheetName val="KL_san_lap17"/>
      <sheetName val="Bill_01_-_CTN17"/>
      <sheetName val="Bill_2_2_Villa_2_beds17"/>
      <sheetName val="DETAIL_17"/>
      <sheetName val="dg_tphcm17"/>
      <sheetName val="T_KÊ_K_CẤU17"/>
      <sheetName val="A1,_May17"/>
      <sheetName val="Vat_lieu17"/>
      <sheetName val="Door_and_window11"/>
      <sheetName val="Harga_ME_17"/>
      <sheetName val="_Bill_5-Earthing_2_-_Add_Work17"/>
      <sheetName val="Bill_02_-_Xay_gach-Pou_17"/>
      <sheetName val="Bill_03-Chống_thấm-Pou17"/>
      <sheetName val="Bill_04-Kim_loại-Pou17"/>
      <sheetName val="Bill_05_-_Hoan_thien-Pou_17"/>
      <sheetName val="Bill_02_-_Xay_gach-Tower17"/>
      <sheetName val="Bill_03-Chống_thấm-Tower17"/>
      <sheetName val="Bill_04-Kim_loại-Tower17"/>
      <sheetName val="Bill_05_-_Hoan_thien-Tower17"/>
      <sheetName val="KL-_KHAC17"/>
      <sheetName val="BILL_3_-_KẾT_CẤU_HẦM17"/>
      <sheetName val="PTĐG_LTBT17"/>
      <sheetName val="CTG-PRECHEx1_417"/>
      <sheetName val="CTG-AB_(2)17"/>
      <sheetName val="CTG-AB_(3)17"/>
      <sheetName val="CTG-PLP-1_0817"/>
      <sheetName val="Pre_Đội_nhóm17"/>
      <sheetName val="Vat_tu_XD17"/>
      <sheetName val="CẤP_THOÁT_NƯỚC17"/>
      <sheetName val="Cước_VC_+_ĐM_CP_Tư_vấn17"/>
      <sheetName val="Hệ_số17"/>
      <sheetName val="THDT_goi_thau_TB17"/>
      <sheetName val="Tien_do_TV17"/>
      <sheetName val="Tower_-_Concrete_Works17"/>
      <sheetName val="Bill-04_ket_cau_thap-_UNI17"/>
      <sheetName val="TH_Vat_tu17"/>
      <sheetName val="Bang_trong_luong_rieng_thep17"/>
      <sheetName val="LV_data17"/>
      <sheetName val="Gia_vat_tu17"/>
      <sheetName val="TH_MTC17"/>
      <sheetName val="TH_N_Cong17"/>
      <sheetName val="Equipment_list_(PAC)17"/>
      <sheetName val="TINH_KHOI_LUONG17"/>
      <sheetName val="DATA_BASE17"/>
      <sheetName val="bridge_#_117"/>
      <sheetName val="Bang_3_Chi_tiet_phan_Dz17"/>
      <sheetName val="KHOI_LUONG17"/>
      <sheetName val="HVAC_BLOCK_B417"/>
      <sheetName val="subcon_sched17"/>
      <sheetName val="Chi_tiet17"/>
      <sheetName val="Buy_vs__Lease_Car17"/>
      <sheetName val="BẢNG_KHỐI_LƯỢNG_TỔNG_HỢP16"/>
      <sheetName val="CTKL_KTX_HT16"/>
      <sheetName val="CP_Khac_cuoc_VC16"/>
      <sheetName val="Budget_Code16"/>
      <sheetName val="2_Chiet_tinh16"/>
      <sheetName val="du_lieu_du_toan16"/>
      <sheetName val="PRE_(E)17"/>
      <sheetName val="Luong_NII16"/>
      <sheetName val="DINH_MUC_THI_NGHIEM16"/>
      <sheetName val="Luong_NI16"/>
      <sheetName val="NHÀ_NHẬP_LIỆU16"/>
      <sheetName val="MÓNG_SILO16"/>
      <sheetName val="BOQ_THAN16"/>
      <sheetName val="Tong_du_toan16"/>
      <sheetName val="Bill_2_-_ketcau16"/>
      <sheetName val="D_&amp;_W_sizes16"/>
      <sheetName val="DL_ĐẦU_VÀO16"/>
      <sheetName val="Chi_tiet_lan_can16"/>
      <sheetName val="Purchase_Order16"/>
      <sheetName val="Analisa_&amp;_Upah16"/>
      <sheetName val="Nhap_VT_oto14"/>
      <sheetName val="dm_36614"/>
      <sheetName val="DM_606014"/>
      <sheetName val="Du_lieu17"/>
      <sheetName val="Phan_tich16"/>
      <sheetName val="CT_Thang_Mo16"/>
      <sheetName val="CT__PL16"/>
      <sheetName val="dongia__2_16"/>
      <sheetName val="Thép_CKN16"/>
      <sheetName val="GOC-KO_IN16"/>
      <sheetName val="MAU_8A16"/>
      <sheetName val="MAU_8B16"/>
      <sheetName val="MAU_916"/>
      <sheetName val="MAU_1016"/>
      <sheetName val="cash_budget16"/>
      <sheetName val="sochitiettaikhoan_16"/>
      <sheetName val="Share_price_data16"/>
      <sheetName val="19_316"/>
      <sheetName val="20_316"/>
      <sheetName val="Chieu_4_316"/>
      <sheetName val="Cow_req16"/>
      <sheetName val="TỔNG_HỢP16"/>
      <sheetName val="14-LẦN_3-CHIỀU16"/>
      <sheetName val="14-LẦN_1-SÁNG16"/>
      <sheetName val="14-LẦN_2-TRƯA16"/>
      <sheetName val="1_3+1_4-TOTAL_-_Ko_IN16"/>
      <sheetName val="2_1-LẦN_3-CHIỀU16"/>
      <sheetName val="2_1-LẦN_1-SÁNG16"/>
      <sheetName val="2_1-LẦN_2-TRƯA16"/>
      <sheetName val="2_1-TOTAL-Ko_IN16"/>
      <sheetName val="1_3(TMR_4)16"/>
      <sheetName val="CHO_DE16"/>
      <sheetName val="1_1+1_2+2_2+2_3(TMR_3)16"/>
      <sheetName val="CK1+CK2_(VS_SAN_CHOI_23)16"/>
      <sheetName val="CK1+CK2_(2)16"/>
      <sheetName val="12-16_THÁNG16"/>
      <sheetName val="CAN_SỮA16"/>
      <sheetName val="54+55+56(SAU_CAI_SỮA-6)16"/>
      <sheetName val="BÊ_71-90_NGÀY16"/>
      <sheetName val="BÊ_12-16_tháng16"/>
      <sheetName val="BÊ_6-1216"/>
      <sheetName val="BÊ_1-316"/>
      <sheetName val="F01-BC_KHAU_PHAN_SANG_20_316"/>
      <sheetName val="F01-BC_KHAU_PHAN_CHIEU_19_316"/>
      <sheetName val="dinh_mưc_cty16"/>
      <sheetName val="Giá_thành16"/>
      <sheetName val="Thong_ke16"/>
      <sheetName val="Energy_for_milk_prod16"/>
      <sheetName val="DE_NGHI_XUAT_16"/>
      <sheetName val="phieu_xuat_mau16"/>
      <sheetName val="PHIEU_XUAT_CHIEU16"/>
      <sheetName val="11_rai_them_cỏ16"/>
      <sheetName val="PHU_LUC_02-_HDSD_CAC_BIEU_MAU16"/>
      <sheetName val="PhU_LUC_01-_MA_CAC_NHOM_BO16"/>
      <sheetName val="F03-BC_THUC_TRON_SANG_20_316"/>
      <sheetName val="F03-BC_THUC_TRON_CHIEU_19_316"/>
      <sheetName val="F02-BC_THEO_DOI_THUC_AN_DU16"/>
      <sheetName val="Tham_khao-_Bao_cao_xuat_thuc_16"/>
      <sheetName val="Dự_thầu14"/>
      <sheetName val="DK1_Don_gia16"/>
      <sheetName val="Dlieu_dau_vao16"/>
      <sheetName val="BANCO_(2)16"/>
      <sheetName val="MT_DPin_(2)16"/>
      <sheetName val="02__PTDG16"/>
      <sheetName val="Chiết_tính16"/>
      <sheetName val="Income_Statement18"/>
      <sheetName val="Shareholders'_Equity16"/>
      <sheetName val="VC_xd14"/>
      <sheetName val="Gia_VLTB14"/>
      <sheetName val="B_Luong14"/>
      <sheetName val="C_May14"/>
      <sheetName val="Don_gia_(khong_in)16"/>
      <sheetName val="1_MONG_1-216"/>
      <sheetName val="BẢNG_ÁP_GIÁ_(in)13"/>
      <sheetName val="NT_(KL)_IN13"/>
      <sheetName val="DOM_D213"/>
      <sheetName val="nhà_ăn13"/>
      <sheetName val="Công_nhật13"/>
      <sheetName val="btkt_cột13"/>
      <sheetName val="DG_142613"/>
      <sheetName val="wk_prgs14"/>
      <sheetName val="TH_TN14"/>
      <sheetName val="Bill_No_3_-_Prov__Sum_(Ph2&amp;3)14"/>
      <sheetName val="Du_tru_CP-Bieu_0114"/>
      <sheetName val="TB_NẶNG14"/>
      <sheetName val="Ma_don_vi14"/>
      <sheetName val="bang_cc14"/>
      <sheetName val="AG_Pipe_Qty_Analysis14"/>
      <sheetName val="TK_chi_tiet14"/>
      <sheetName val="Bill_2-Road_HR214"/>
      <sheetName val="Bill_3_-_Softscape_HR214"/>
      <sheetName val="Hao_phí14"/>
      <sheetName val="CP_HMC14"/>
      <sheetName val="gui_BKCT13"/>
      <sheetName val="đọc_số14"/>
      <sheetName val="TH_các_CC13"/>
      <sheetName val="Don_gia_chi_tiet_DIEN_213"/>
      <sheetName val="Dự_toán14"/>
      <sheetName val="Đơn_Giá_TH14"/>
      <sheetName val="Nhân_công14"/>
      <sheetName val="Phân_tích14"/>
      <sheetName val="C_P_Thiết_bị14"/>
      <sheetName val="T_H_Kinh_phí14"/>
      <sheetName val="Vật_tư14"/>
      <sheetName val="Trang_bìa14"/>
      <sheetName val="CĂN_HỘ_T16-17_14"/>
      <sheetName val="TRỤC_ĐỨNG_THOÁT_BẨN_T15-1714"/>
      <sheetName val="TRỤC_ĐỨNG_TM_T15-1714"/>
      <sheetName val="THEP_TAM14"/>
      <sheetName val="THEP_HÌNH14"/>
      <sheetName val="THEP_HINH14"/>
      <sheetName val="XA_GO14"/>
      <sheetName val="BANG_TRA14"/>
      <sheetName val="Ｎｏ_1314"/>
      <sheetName val="DGchitiet_14"/>
      <sheetName val="Structure_data14"/>
      <sheetName val="HỆ_THỐNG_PHÒNG_CHÁY_CHỮA_CHÁY14"/>
      <sheetName val="HỆ_THỐNG_CẤP_THOÁT_NƯỚC14"/>
      <sheetName val="HỆ_THỐNG_ĐHKK14"/>
      <sheetName val="MÁY_PHÁT_ĐIỆN14"/>
      <sheetName val="HỆ_THỐNG_ĐIỆN14"/>
      <sheetName val="Thiết_bị_chính14"/>
      <sheetName val="CP_Du_phong14"/>
      <sheetName val="THCP_Lap_dat14"/>
      <sheetName val="THCP_xay_dung14"/>
      <sheetName val="Tong_hop_kinh_phi14"/>
      <sheetName val="2_1Warehouse_114"/>
      <sheetName val="CHI_PHI14"/>
      <sheetName val="Main_Bldg-Rev0214"/>
      <sheetName val="D&amp;W_def_14"/>
      <sheetName val="Nhan_cong14"/>
      <sheetName val="Thiet_bi14"/>
      <sheetName val="Vat_tu14"/>
      <sheetName val="DM_ChiPhi14"/>
      <sheetName val="May_TC14"/>
      <sheetName val="TH_Kinh_phi14"/>
      <sheetName val="Ptvl_14"/>
      <sheetName val="Móng,_nền_14"/>
      <sheetName val="1_Requisition(E)14"/>
      <sheetName val="Theo_doi_Doanh_thu_201713"/>
      <sheetName val="TONG_HOP14"/>
      <sheetName val="phan_tic_chi_tiet14"/>
      <sheetName val="3__CNT13"/>
      <sheetName val="unit_price_list(M)13"/>
      <sheetName val="Data_Wall14"/>
      <sheetName val="Gia_vat_lieu13"/>
      <sheetName val="Chi_tiet_-tong_9_thang13"/>
      <sheetName val="Tổng_GT14"/>
      <sheetName val="Chi_tiết_KL14"/>
      <sheetName val="khấu_trừ_phạt14"/>
      <sheetName val="GT__KHAU_TRU14"/>
      <sheetName val="HAO_HUT_VAT_TU_(2)14"/>
      <sheetName val="cao_độ14"/>
      <sheetName val="Chi_tiet_cong_no14"/>
      <sheetName val="PHÁT_SINH_TẦNG_1_14"/>
      <sheetName val="PHÁT_SINH_TẦNG_214"/>
      <sheetName val="Hầm_chuyển_psinh14"/>
      <sheetName val="Ống_thẳng14"/>
      <sheetName val="Côn_thu14"/>
      <sheetName val="Vuông_tròn14"/>
      <sheetName val="Chân_rẽ14"/>
      <sheetName val="Chạc_ba14"/>
      <sheetName val="0__Input13"/>
      <sheetName val="KL_THEP__GIAM_DO_DUNG_COUPLER13"/>
      <sheetName val="01_KL_THÉP_NHẬP_VỀ13"/>
      <sheetName val="2__NT_VLDV13"/>
      <sheetName val="GHI_CHU13"/>
      <sheetName val="1_BB_LMHT13"/>
      <sheetName val="1_2_Staff_Schedule13"/>
      <sheetName val="Precios_unitarios_AXH13"/>
      <sheetName val="Bill_Prelim-CDT13"/>
      <sheetName val="Bill_BPTC-CDT13"/>
      <sheetName val="Chi_tiết_BPTC13"/>
      <sheetName val="Bill_BPTC-CDT_(PA_MCT_CDT)13"/>
      <sheetName val="Chi_tiết_BPTC_(PA_MCT_CDT)13"/>
      <sheetName val="Bê_tông_bảo_vệ13"/>
      <sheetName val="01__Data13"/>
      <sheetName val="Neo,_nối_cốt_thép_dầm,_cột13"/>
      <sheetName val="Uốn_móc_cốt_thép13"/>
      <sheetName val="Tiêu_chuẩn_cốt_thép13"/>
      <sheetName val="So_lieu_chung13"/>
      <sheetName val="TH_VL,_NC,_DDHT_Thanhphuoc13"/>
      <sheetName val="1__Office13"/>
      <sheetName val="KHOI_LUONG15-413"/>
      <sheetName val="Doi_so13"/>
      <sheetName val="DANH_MỤC_HỒ_SƠ13"/>
      <sheetName val="GT_PHÁT_SINH_NGOÀI_HĐ13"/>
      <sheetName val="KL_PHÁT_SINH_13"/>
      <sheetName val="PS_NGOÀI_HĐ13"/>
      <sheetName val="GT_PHÁT_SINH_VƯỢT_HĐ13"/>
      <sheetName val="PS_TĂNG_GIẢM_TRONG_HĐ13"/>
      <sheetName val="DGCT_PHÁT_SINH13"/>
      <sheetName val="DGCT_TRẦN_NLV13"/>
      <sheetName val="DGKL_chi_tiết_NLV13"/>
      <sheetName val="DGKL_chi_tiết_NHN,NK13"/>
      <sheetName val="TG_KL13"/>
      <sheetName val="DGCT_SƠN_BẢ_TƯỜNG_NLV13"/>
      <sheetName val="DGKL_TRẦN_NHN13"/>
      <sheetName val="MTO_REV_2(ARMOR)13"/>
      <sheetName val="KL_thep_lam_sat13"/>
      <sheetName val="DM-VNT_ko_sd13"/>
      <sheetName val="B3A_-_TOWER_A13"/>
      <sheetName val="Annex_B13"/>
      <sheetName val="Cotthep_NPT13"/>
      <sheetName val="vl_nc_mtc13"/>
      <sheetName val="1_Civil_(Org)13"/>
      <sheetName val="Tien_Thuong13"/>
      <sheetName val="NC_XL_6T_cuoi_01_CTy13"/>
      <sheetName val="Data_-6T_dau13"/>
      <sheetName val="Cong_6T13"/>
      <sheetName val="Bảng_đo_bóc_KL_OLK-0913"/>
      <sheetName val="6_3_CHI_TIET_OLK-0913"/>
      <sheetName val="Dot_413"/>
      <sheetName val="Chi_phi_van_chuyen13"/>
      <sheetName val="Tong_hop_vat_tu13"/>
      <sheetName val="1_San_13"/>
      <sheetName val="DT_hợp_đồng12"/>
      <sheetName val="Bảng_KL_đợt_112"/>
      <sheetName val="Dgia_vat_tu13"/>
      <sheetName val="Don_gia_III16"/>
      <sheetName val="D÷_liÖu13"/>
      <sheetName val="TLG_Type13"/>
      <sheetName val="Thop_Ksat13"/>
      <sheetName val="Thu_hoi_13"/>
      <sheetName val="HM_chung13"/>
      <sheetName val="CP_xd-thiet_bi13"/>
      <sheetName val="TH-TN_LD_TB13"/>
      <sheetName val="CP_xaydung13"/>
      <sheetName val="Thao_ha_phu_kien13"/>
      <sheetName val="VL-NC-MTC_ket_cau13"/>
      <sheetName val="KHOI_LUONG_TONG13"/>
      <sheetName val="TK_22KV13"/>
      <sheetName val="DM_366-177713"/>
      <sheetName val="Thi_nhiem13"/>
      <sheetName val="Gia_goc_VT-TB13"/>
      <sheetName val="Gia_vc_den_chan_CT13"/>
      <sheetName val="culy_2213"/>
      <sheetName val="Luong_205013"/>
      <sheetName val="ca_may_QN13"/>
      <sheetName val="TNHC1246_13"/>
      <sheetName val="Ca_may_TT06_201013"/>
      <sheetName val="Don_gia_VLXD_dia_phuong13"/>
      <sheetName val="Bang_luong_SCL13"/>
      <sheetName val="Dinh_muc_TN142613"/>
      <sheetName val="HRG_BHN13"/>
      <sheetName val="CĂN_ĐH13"/>
      <sheetName val="Div26_-_Elect13"/>
      <sheetName val="Tổng_hợp_KPHM12"/>
      <sheetName val="DM_336cai_tao13"/>
      <sheetName val="4_CĂN13"/>
      <sheetName val="PV_Graph_Data12"/>
      <sheetName val="Danh_mục12"/>
      <sheetName val="Q_A01_2-Sh13"/>
      <sheetName val="Dutoan_KL12"/>
      <sheetName val="doanh_thu12"/>
      <sheetName val="BTK-Dai_Hoc_Kien_Giang12"/>
      <sheetName val="GIÁ_DỰ_THẦU_30_CĂN12"/>
      <sheetName val="2_CDPS13"/>
      <sheetName val="DG_Chi_tiet12"/>
      <sheetName val="Kê_0,412"/>
      <sheetName val="TH_0,412"/>
      <sheetName val="Kê_2212"/>
      <sheetName val="TH_2212"/>
      <sheetName val="TBA_CAI_TAO12"/>
      <sheetName val="TBA_XDM12"/>
      <sheetName val="TONG_HOP_DU_TOAN12"/>
      <sheetName val="Thop_XAY_DUNG12"/>
      <sheetName val="CP_HANG_MUC_CHUNG12"/>
      <sheetName val="CHI_PHI_XD12"/>
      <sheetName val="CHI_PHI_THI_NGHIEM12"/>
      <sheetName val="VLDIEN_2212"/>
      <sheetName val="Dao_dat12"/>
      <sheetName val="TH_Denbu12"/>
      <sheetName val="Do_ve_DC12"/>
      <sheetName val="TH_Bommin12"/>
      <sheetName val="CHI_PHI_THI_NGHIEM-LD_thiet_b12"/>
      <sheetName val="Luong_TT0112"/>
      <sheetName val="Camay_QB12"/>
      <sheetName val="gia_ca_may_BXD12"/>
      <sheetName val="BANG_LUONG_KY_SU12"/>
      <sheetName val="Bang_luong_NHOM_I12"/>
      <sheetName val="Bangluong_NHOM_II_12"/>
      <sheetName val="09-GIA_nhien_lieu-ko_in12"/>
      <sheetName val="Tinh_V_cot_chiem_cho12"/>
      <sheetName val="ĐM_135412"/>
      <sheetName val="KHOAN_MAU12"/>
      <sheetName val="ĐO_ĐỊA_VẬT_LÝ12"/>
      <sheetName val="khoan_tiep_dia12"/>
      <sheetName val="DZ_22KV12"/>
      <sheetName val="_1710_HOINGHINLD12"/>
      <sheetName val="99_(2)12"/>
      <sheetName val="134_12"/>
      <sheetName val="DG_497012"/>
      <sheetName val="Heso_DZ13"/>
      <sheetName val="DG_BINH_THUAN13"/>
      <sheetName val="TINH_GIA_-_SAN_XUAT_Vertico12"/>
      <sheetName val="Financ__Overview12"/>
      <sheetName val="7_Khau_tru_13"/>
      <sheetName val="Don_gia_NC13"/>
      <sheetName val="Summary_Sheet12"/>
      <sheetName val="Finishing-Tower_A12"/>
      <sheetName val="Finishing-Tower_B12"/>
      <sheetName val="Finishing-Tower_C12"/>
      <sheetName val="Finishing-Tower_D12"/>
      <sheetName val="MEP-Tower_A12"/>
      <sheetName val="MEP-Tower_B12"/>
      <sheetName val="MEP-Tower_C12"/>
      <sheetName val="MEP-Tower_D12"/>
      <sheetName val="Cost_Report_Sum12"/>
      <sheetName val="Detail_Cost_Sum12"/>
      <sheetName val="RVO-VO_Sum12"/>
      <sheetName val="Potential_VOs_Sum12"/>
      <sheetName val="Cash_Flow_Sum12"/>
      <sheetName val="CAP_NUOC12"/>
      <sheetName val="cấp_nước_trục_nhà_vs12"/>
      <sheetName val="THOAT_NUOC12"/>
      <sheetName val="THOAT_MUA12"/>
      <sheetName val="Cáp_phòng12"/>
      <sheetName val="TMC_ĐIỆN_Phi12"/>
      <sheetName val="TMC_Tổng12"/>
      <sheetName val="TH_Đèn_Phòng_L112"/>
      <sheetName val="TH_Đèn_Hầm_L112"/>
      <sheetName val="TỦ_MODULE_T112"/>
      <sheetName val="B-2__(DPP)13"/>
      <sheetName val="13_BANG_CT12"/>
      <sheetName val="14_MMUS_GIUA_NHIP12"/>
      <sheetName val="4_HSPBngang12"/>
      <sheetName val="6_Tinh_tai12"/>
      <sheetName val="2_NSl12"/>
      <sheetName val="17_US_CHU_tho_a_b12"/>
      <sheetName val="15_MMUS_GOI12"/>
      <sheetName val="gia_vt,nc,may12"/>
      <sheetName val="Bieu_gia_HD12"/>
      <sheetName val="Huong_dan12"/>
      <sheetName val="5_2_1_Đo_bóc_KL_OLK-0612"/>
      <sheetName val="Dinh_muc12"/>
      <sheetName val="KS_tuyen12"/>
      <sheetName val="Bang_chiet_tinh_TBA12"/>
      <sheetName val="MB_DT_0212"/>
      <sheetName val="4_2_1_Đo_bóc_KL_OLK-0612"/>
      <sheetName val="4_1_1_CHI_TIET_OLK-0612"/>
      <sheetName val="THONG_SO12"/>
      <sheetName val="Đơn_giá_chi_tiết_TN_3912"/>
      <sheetName val="Bù_giá_CM11"/>
      <sheetName val="HERD_MOVEMENTFARM114"/>
      <sheetName val="HERD_MOVEMENTFARM214"/>
      <sheetName val="CALVES_2-414"/>
      <sheetName val="Cavles_2-414"/>
      <sheetName val="CALVES_4-714"/>
      <sheetName val="HEIFER_7-12m14"/>
      <sheetName val="HEIFER_12+14"/>
      <sheetName val="FRESH_COW_2017-1814"/>
      <sheetName val="HP_COW_201814"/>
      <sheetName val="LP_COW_2017-1814"/>
      <sheetName val="DRY_COW14"/>
      <sheetName val="FIELD_CROPS14"/>
      <sheetName val="EQUIP_LIST12"/>
      <sheetName val="So_sanh12"/>
      <sheetName val="DT__NHA_XUONG12"/>
      <sheetName val="Electrical_Works12"/>
      <sheetName val="H_T__INCOMING_SYSTEM12"/>
      <sheetName val="Cash_Flow12"/>
      <sheetName val="Gia_VT-TB12"/>
      <sheetName val="noi_suy_xa12"/>
      <sheetName val="noi_suy_xa_thu_hoi12"/>
      <sheetName val="Tính_giá_NC12"/>
      <sheetName val="Tiên_lượng12"/>
      <sheetName val="SL_cước12"/>
      <sheetName val="BU_LONG12"/>
      <sheetName val="Thuyết_minh12"/>
      <sheetName val="Đơn_giá_máy12"/>
      <sheetName val="¥_12"/>
      <sheetName val="CHITIET_VL-NCHT1_(2)11"/>
      <sheetName val="Tong_DT11"/>
      <sheetName val="phan_tich_don_gia11"/>
      <sheetName val="Bill_No_1_612"/>
      <sheetName val="Bill_No_1_1012"/>
      <sheetName val="Bill_No_3_312"/>
      <sheetName val="Bill_No_1_412"/>
      <sheetName val="Bill_No_1_712"/>
      <sheetName val="Summary_Bill_No__312"/>
      <sheetName val="Khai_toan6"/>
      <sheetName val="Phu_luc_01_1_EPC_P11-146"/>
      <sheetName val="TDT_P11-P146"/>
      <sheetName val="Chi_phi_khac_6"/>
      <sheetName val="Hang_muc_Chung6"/>
      <sheetName val="Bia_Phu_Luc6"/>
      <sheetName val="DATA_1_CHUNG6"/>
      <sheetName val="Muc_luc6"/>
      <sheetName val="Tra_cuu_9576"/>
      <sheetName val="Unit_price11"/>
      <sheetName val="3__KC_-_PODIUM11"/>
      <sheetName val="Breakdown_(B)11"/>
      <sheetName val="U_P_Breakdown11"/>
      <sheetName val="Bán_đợt_1_trang11"/>
      <sheetName val="CTDZ6kv_(gd1)_11"/>
      <sheetName val="CTDZ_0_4+cto_(GD1)11"/>
      <sheetName val="CTTBA_(gd1)11"/>
      <sheetName val="03_Detailed11"/>
      <sheetName val="01_Bid_Price_summary11"/>
      <sheetName val="Home_Office_Manhours11"/>
      <sheetName val="Field_SPV_Barchart11"/>
      <sheetName val="Luong_BN11"/>
      <sheetName val="Luong_TB11"/>
      <sheetName val="Ca_may_TB11"/>
      <sheetName val="Ca_máy_BN11"/>
      <sheetName val="Vật_liệu11"/>
      <sheetName val="LX_-TT0511"/>
      <sheetName val="NC_Moi_TT0511"/>
      <sheetName val="Tien_Luong11"/>
      <sheetName val="Cost_List11"/>
      <sheetName val="Detail_Cost11"/>
      <sheetName val="IC_Price_New11"/>
      <sheetName val="Summary_Table11"/>
      <sheetName val="Sales_Person11"/>
      <sheetName val="Bidding_Entity11"/>
      <sheetName val="Unit_price(Updateting)11"/>
      <sheetName val="Chiet_tinh_dz3511"/>
      <sheetName val="IMF_Code11"/>
      <sheetName val="Subsidiary_Calculation11"/>
      <sheetName val="Cau_tao_gia_xay_to7"/>
      <sheetName val="SGC_RATE6"/>
      <sheetName val="Tru_TT6"/>
      <sheetName val="Thg_046"/>
      <sheetName val="Thg_056"/>
      <sheetName val="Thg_066"/>
      <sheetName val="Thg_076"/>
      <sheetName val="Thg_086"/>
      <sheetName val="Thg_096"/>
      <sheetName val="Thg_106"/>
      <sheetName val="Thg_116"/>
      <sheetName val="Thg_126"/>
      <sheetName val="5_2_1_Đo_bóc_KL_OLK-1011"/>
      <sheetName val="Bia_lot11"/>
      <sheetName val="DT_san_XD-So_lieu_cu11"/>
      <sheetName val="THPDMoi__(2)7"/>
      <sheetName val="t-h_HA_THE7"/>
      <sheetName val="TH_XL7"/>
      <sheetName val="CHITIET_VL-NC7"/>
      <sheetName val="don_gia_142611"/>
      <sheetName val="Phu_Bai_Bridge11"/>
      <sheetName val="Chu_dau_tu7"/>
      <sheetName val="THÔNG_TIN7"/>
      <sheetName val="w't_table6"/>
      <sheetName val="FF-2_(1)11"/>
      <sheetName val="YTD_12'200311"/>
      <sheetName val="YTD_06'200311"/>
      <sheetName val="YTD_03'200311"/>
      <sheetName val="YTD_09'200311"/>
      <sheetName val="deferred_taxes11"/>
      <sheetName val="Eqpmnt_Plng11"/>
      <sheetName val="TRIAL_BALANCE11"/>
      <sheetName val="DPR_31st_march11"/>
      <sheetName val="current_month11"/>
      <sheetName val="Blng__Vs_Coll_11"/>
      <sheetName val="DM_DU_AN6"/>
      <sheetName val="DM_TP_6"/>
      <sheetName val="File_Chi_tiet6"/>
      <sheetName val="Danh_mục_khối6"/>
      <sheetName val="Danh_mục_đơn_vị_-phòng_chức_nă6"/>
      <sheetName val="BẢNG_DIỄN_GIẢI_KL_(7)11"/>
      <sheetName val="Probbl_-_Production6"/>
      <sheetName val="CHI_PHÍ_NHÔM6"/>
      <sheetName val="BILL_34Āᐁë6"/>
      <sheetName val="Currency_Rate6"/>
      <sheetName val="Dashboard_-_BQL_-_VHL6"/>
      <sheetName val="KEILA_TP_2020-076"/>
      <sheetName val="CFA_(ME)6"/>
      <sheetName val="MEP_Building6"/>
      <sheetName val="BOM-13_11-Other(PS1+PS2)6"/>
      <sheetName val="2__BBNT_KLHT6"/>
      <sheetName val="Dinh_Muc_Vat_Tu6"/>
      <sheetName val="mã_6"/>
      <sheetName val="CHITIET_VL-NC-TT1p6"/>
      <sheetName val="NHOM_KINH5"/>
      <sheetName val="TH_khoi_luong6"/>
      <sheetName val="Chi_tiet_khoi_luong6"/>
      <sheetName val="TK_thep6"/>
      <sheetName val="CT_THOÁT_WC_VP6"/>
      <sheetName val="CT_CẤP_WC_VP6"/>
      <sheetName val="CT_THOÁT_MƯA_VP_TRỤC_LỚN6"/>
      <sheetName val="CT_THOÁT_MƯA_VP_TRỤC_NHỎ6"/>
      <sheetName val="LUONG_SCL6"/>
      <sheetName val="Chênh_lệch_máy_thi_công5"/>
      <sheetName val="Chênh_lệch_nhân_công5"/>
      <sheetName val="Chênh_lệch_vật_liệu5"/>
      <sheetName val="Nhập_liệu4"/>
      <sheetName val="Luong_(TP_Việt_Trì)4"/>
      <sheetName val="DG_5"/>
      <sheetName val="Chao_gia_T12_RE5"/>
      <sheetName val="DSV6_Summ4"/>
      <sheetName val="Boc_KL_DAT+CAT+BT4"/>
      <sheetName val="Boc_KL_thép4"/>
      <sheetName val="Bieu_do_nhan_luc4"/>
      <sheetName val="Don_gia_XD5"/>
      <sheetName val="Aging_Sept5"/>
      <sheetName val="0_Data4"/>
      <sheetName val="0_Data_new4"/>
      <sheetName val="Auto_Monthly_Inputs_4"/>
      <sheetName val="Service_Cost_5"/>
      <sheetName val="Don_gia_Tay_Ninh5"/>
      <sheetName val="Don_gia_Dak_Lak5"/>
      <sheetName val="streeta_and_cacth_pit5"/>
      <sheetName val="Daf_15"/>
      <sheetName val="Gia_NC_theo_TT054"/>
      <sheetName val="Khoi_luong_kenh_dan3"/>
      <sheetName val="Thep_Be_TN(tai_C10)3"/>
      <sheetName val="Sum_ELE__CAP_S1-4__4"/>
      <sheetName val="CONSOIDATE_44"/>
      <sheetName val="CONSOIDATE_24"/>
      <sheetName val="PHẦN_KIẾN_TRÚC4"/>
      <sheetName val="Land_Dev't__Ph-14"/>
      <sheetName val="Hac_Lots4"/>
      <sheetName val="4-Lane_bridge4"/>
      <sheetName val="Res_Lots4"/>
      <sheetName val="Spine_Road4"/>
      <sheetName val="Bill_24"/>
      <sheetName val="Bill_34"/>
      <sheetName val="Bill_4a_-_1A4"/>
      <sheetName val="Bill_4a_(Fiber)_-_1A4"/>
      <sheetName val="Bill_4b4"/>
      <sheetName val="Bill_4c4"/>
      <sheetName val="Bill_54"/>
      <sheetName val="Bill_4a_-_1B4"/>
      <sheetName val="Bill_4a_(Fiber)_-_1B4"/>
      <sheetName val="So_sanh_gia4"/>
      <sheetName val="Luong_2622EVN4"/>
      <sheetName val="DO_AM_DT4"/>
      <sheetName val="01__Nha_xuong4"/>
      <sheetName val="Cước_CG4"/>
      <sheetName val="MTO_REV_04"/>
      <sheetName val="NC_CU4"/>
      <sheetName val="Cuoc_4"/>
      <sheetName val="gia_chao4"/>
      <sheetName val="Vat_lieu_BTN4"/>
      <sheetName val="Bank_Rev4"/>
      <sheetName val="Merit_&amp;_Market_Grid4"/>
      <sheetName val="BP_DECLINE_IT4"/>
      <sheetName val="Input_List4"/>
      <sheetName val="Valid_data_revised4"/>
      <sheetName val="DETAIL_MIX_%_REPORT4"/>
      <sheetName val="Fill_this_out_first___4"/>
      <sheetName val="BC_chi_tiết_TT4"/>
      <sheetName val="0,SO_LIEU_DAU_VAO4"/>
      <sheetName val="Corner_Arch4"/>
      <sheetName val="End_Arch4"/>
      <sheetName val="Intermediate_Arch4"/>
      <sheetName val="reinforcement_6754"/>
      <sheetName val="ext_wall_fin_qty4"/>
      <sheetName val="SL_Plum_4"/>
      <sheetName val="Physical_Schedule_3D4"/>
      <sheetName val="Tabel_Berat4"/>
      <sheetName val="Data_Umum_Penawaran4"/>
      <sheetName val="Real_Cost4"/>
      <sheetName val="bill_qty4"/>
      <sheetName val="REKAP_ARSITEKTUR_4"/>
      <sheetName val="RAB_ADMINISTRASI_PUSAT_(1)4"/>
      <sheetName val="Hrg_Readymix4"/>
      <sheetName val="Input_-_Facilities4"/>
      <sheetName val="BP_CAPEX_MoD-100%_Area_4_USD4"/>
      <sheetName val="DGKL_TRỤC_NGOAI_NHA4"/>
      <sheetName val="5_2_1_Đo_bóc_KL_OLK-074"/>
      <sheetName val="Da_xay_dung4"/>
      <sheetName val="Elemental_Breakdown+20%4"/>
      <sheetName val="TCVN_1651-20083"/>
      <sheetName val="Dai_tu4"/>
      <sheetName val="02__PHAN_TICH4"/>
      <sheetName val="03__NGAN_SACH4"/>
      <sheetName val="6__Scope_of_work_4"/>
      <sheetName val="4_6_Phân_tích_nhân_sự_4"/>
      <sheetName val="4_5_Mức_độ_tham_gia_dự_án4"/>
      <sheetName val="Define_finishing4"/>
      <sheetName val="Dynamic_Ranges3"/>
      <sheetName val="242_3_summaryOPC4"/>
      <sheetName val="1_1General4"/>
      <sheetName val="Gia_giao_VL_den_HT3"/>
      <sheetName val="THONG_SO_KICH_THUOC3"/>
      <sheetName val="Fixed_asset_register3"/>
      <sheetName val="repeatative_rejection3"/>
      <sheetName val="General_Info3"/>
      <sheetName val="Full_PBD3"/>
      <sheetName val="Non-Statistical_Sampling3"/>
      <sheetName val="98FORECAST_(1)3"/>
      <sheetName val="Sch_18_Bank3"/>
      <sheetName val="Stock_details3"/>
      <sheetName val="Part_A_General3"/>
      <sheetName val="_3"/>
      <sheetName val="XL4Poppy_(2)4"/>
      <sheetName val="he_so_dong_thoi3"/>
      <sheetName val="CT_-THVLNC3"/>
      <sheetName val="Thang_013"/>
      <sheetName val="Thống_kê3"/>
      <sheetName val="BAN_IN3"/>
      <sheetName val="NOVA_MEDIC3"/>
      <sheetName val="DGKL_MEDIC3"/>
      <sheetName val="ADJ_20113"/>
      <sheetName val="THCP_thiet_bi3"/>
      <sheetName val="Piano_Montaggio_PO-02_bozza23"/>
      <sheetName val="SLTh_ke3"/>
      <sheetName val="OVER_VIEW3"/>
      <sheetName val="SCOPE_OF_WORK3"/>
      <sheetName val="Listes_Caractéristiques3"/>
      <sheetName val="Liste_Référentiel3"/>
      <sheetName val="Bill_4_1a___3"/>
      <sheetName val="chi_tiet_TS_theo_so_lieu_ktoan3"/>
      <sheetName val="DS_Cty3"/>
      <sheetName val="THÁNG_053"/>
      <sheetName val="TONGKE3p_3"/>
      <sheetName val="Data_(2)3"/>
      <sheetName val="Book_1_Summary3"/>
      <sheetName val="1_설계조건3"/>
      <sheetName val="Wood_Mckenzie3"/>
      <sheetName val="Đầu_ra_sản_phẩm3"/>
      <sheetName val="Tổng_quan_và_Input3"/>
      <sheetName val="Đầu_vào_sản_xuất3"/>
      <sheetName val="Tính_toán_doanh_thu3"/>
      <sheetName val="Phân_tích_độ_nhạy3"/>
      <sheetName val="Khấu_hao_TSCĐ3"/>
      <sheetName val="Nguồn_vốn3"/>
      <sheetName val="Giải_ngân_nguồn_vốn3"/>
      <sheetName val="Tính_toán_thuế3"/>
      <sheetName val="Tính_toán_chi_phí_SX3"/>
      <sheetName val="TH_ĐƠN_GIÁ3"/>
      <sheetName val="cable,_lighting,_switch3"/>
      <sheetName val="ĐỢT_13"/>
      <sheetName val="DTXL(_270)3"/>
      <sheetName val="KL_T16_BÀN_GIAO_19_43"/>
      <sheetName val="Bldg_Brkdown3"/>
      <sheetName val="DG_VL_KS3"/>
      <sheetName val="Bill_rekap3"/>
      <sheetName val="Cash_Flow_bulanan3"/>
      <sheetName val="CươcVC_tinh3"/>
      <sheetName val="List_of_Staff3"/>
      <sheetName val="__QUOTATION_xlsx3"/>
      <sheetName val="2_5_Ducts_(2)3"/>
      <sheetName val="S_N3"/>
      <sheetName val="NHOM_KINH_3"/>
      <sheetName val="입찰내역_발주처_양식3"/>
      <sheetName val="DIEN_TICH3"/>
      <sheetName val="3_공통공사대비3"/>
      <sheetName val="Don_vi3"/>
      <sheetName val="TH_khối_lượng_phải_làm3"/>
      <sheetName val="Giá_VL,_NC,_M3"/>
      <sheetName val="Lương_2135_nhóm_I3"/>
      <sheetName val="Luong_2050_hà_NAm3"/>
      <sheetName val="Lương2045_nhóm_I3"/>
      <sheetName val="May_3_huyện3"/>
      <sheetName val="May_yên_mô3"/>
      <sheetName val="Phân_tich_ĐG3"/>
      <sheetName val="PLV_mới3"/>
      <sheetName val="May_TT11(TB)3"/>
      <sheetName val="May_TT11_(HP)3"/>
      <sheetName val="May_TT11(NB)3"/>
      <sheetName val="May_TT11(NĐ)3"/>
      <sheetName val="Lương_theo_TT17(Thái_Bình)3"/>
      <sheetName val="Lương_theo_TT17_(HP)3"/>
      <sheetName val="Lương_theo_TT17_(Ninh_Bình)3"/>
      <sheetName val="Lương_theo_TT17_(Nam_Định)3"/>
      <sheetName val="KL_CHI_TIẾT_(2)3"/>
      <sheetName val="5_Gia3"/>
      <sheetName val="Danh_sach_KV23"/>
      <sheetName val="Danh_sach_doan_KT3"/>
      <sheetName val="Loại_cọc_P23"/>
      <sheetName val="CP_NC-MTC_XD3"/>
      <sheetName val="H_Satuan3"/>
      <sheetName val="4_3_Scope_of_work_3"/>
      <sheetName val="Gia_HĐ3"/>
      <sheetName val="2__Tổng_hợp3"/>
      <sheetName val="List_Equip3"/>
      <sheetName val="Process_C_(1-166)3"/>
      <sheetName val="CF_-Update_31Jul063"/>
      <sheetName val="Executive_Summary3"/>
      <sheetName val="MAHANG_BHLD3"/>
      <sheetName val="CHITIETHOADON_TT3"/>
      <sheetName val="mahang_chinh_sua_moi_nhat3"/>
      <sheetName val="Noise_insl3"/>
      <sheetName val="Ca_may3"/>
      <sheetName val="GIA_NC,_CM3"/>
      <sheetName val="GIA_VL3"/>
      <sheetName val="13_Luong3"/>
      <sheetName val="Eq__Mobilization3"/>
      <sheetName val="Link_HG3"/>
      <sheetName val="Danhsach_123"/>
      <sheetName val="List_Danh_mục_nghiệm_thu3"/>
      <sheetName val="02__THONG_TIN_CHUNG3"/>
      <sheetName val="07__DINH_MUC_HBC3"/>
      <sheetName val="TK_SX3"/>
      <sheetName val="Rate_Analysis3"/>
      <sheetName val="Don_gia_vung_III3"/>
      <sheetName val="Don_gia_III17"/>
      <sheetName val="Don_gia_CT3"/>
      <sheetName val="PLHD_doi_cot_ham_0101-043"/>
      <sheetName val="Luong_TT053"/>
      <sheetName val="unit_weight3"/>
      <sheetName val="DIV_INC4"/>
      <sheetName val="A1_-_Income_Statement4"/>
      <sheetName val="SCB_-_Annexure_A3"/>
      <sheetName val="PL6-Revenue_Bridge3"/>
      <sheetName val="OC5-Push_Diag3"/>
      <sheetName val="Franchise_Input3"/>
      <sheetName val="Project_ODC_NDEU3"/>
      <sheetName val="Inter_connect_Revenue3"/>
      <sheetName val="2020_RFS_Summary3"/>
      <sheetName val="Well_Construction_Summary3"/>
      <sheetName val="RFS_2020_-_Details_and_Notes3"/>
      <sheetName val="AN_20003"/>
      <sheetName val="6_9_DM_CTP2"/>
      <sheetName val="ADJ_-_RATE2"/>
      <sheetName val="CDPS_SAU_KC2"/>
      <sheetName val="Thong_tin2"/>
      <sheetName val="BTDC_B3602"/>
      <sheetName val="Danh_muc_LIST2"/>
      <sheetName val="CF_(DR)_IN2"/>
      <sheetName val="PL_02_-_Vay2"/>
      <sheetName val="PL_03_-_Von2"/>
      <sheetName val="CP_yếu_tố2"/>
      <sheetName val="BS_4202"/>
      <sheetName val="PL_4202"/>
      <sheetName val="RT_4202"/>
      <sheetName val="BTDC_B360_2"/>
      <sheetName val="Table_of_contents2"/>
      <sheetName val="11__Loans2"/>
      <sheetName val="Adj_entries_3"/>
      <sheetName val="Annexure_13"/>
      <sheetName val="Annexure_23"/>
      <sheetName val="Updated_2018_COA3"/>
      <sheetName val="IC_Listing3"/>
      <sheetName val="SLA_cost_distr_FEB_20203"/>
      <sheetName val="Legal_entities_details3"/>
      <sheetName val="Invoice_base_FEB_20203"/>
      <sheetName val="Le317_into_80503"/>
      <sheetName val="Basic_principles_to_the_distr_3"/>
      <sheetName val="Cost_elements3"/>
      <sheetName val="Ref_rate_change3"/>
      <sheetName val="Synergi_life_credit3"/>
      <sheetName val="Change_in_NH3"/>
      <sheetName val="NPS_to_O&amp;G3"/>
      <sheetName val="RC_Revenue2"/>
      <sheetName val="AOP_20202"/>
      <sheetName val="DATA_LE2"/>
      <sheetName val="DATA_LE_(LY)2"/>
      <sheetName val="DATA_RC2"/>
      <sheetName val="DATA_RC_(LY)2"/>
      <sheetName val="LE_Test2"/>
      <sheetName val="DATA_(RC_ORG)2"/>
      <sheetName val="DATA_(TESTING_1)2"/>
      <sheetName val="DATA_(TESTING_CHRSPR)2"/>
      <sheetName val="2018_VADIS2"/>
      <sheetName val="Income_Statement19"/>
      <sheetName val="DLC_DIEN_AP2"/>
      <sheetName val="SL_dau_tien2"/>
      <sheetName val="DB_FEE2"/>
      <sheetName val="BHYT_Tự_Nguyện_-_Vinschool-Mau2"/>
      <sheetName val="Tonghop_theo_Vendor2"/>
      <sheetName val="Tu_dien2"/>
      <sheetName val="T_kê2"/>
      <sheetName val="dulieu_cot2"/>
      <sheetName val="Bank_Bal__Dec_222"/>
      <sheetName val="Vat_lieu_cat_song_rac2"/>
      <sheetName val="Project_Info_3"/>
      <sheetName val="Cost_Summary3"/>
      <sheetName val="Cost_Summary_-_USD3"/>
      <sheetName val="Price_Summary_-_Offshore3"/>
      <sheetName val="Factory_&amp;_Import_Material3"/>
      <sheetName val="Labour_Hours_Upload3"/>
      <sheetName val="Technical_Info_3"/>
      <sheetName val="PM_Cost3"/>
      <sheetName val="SED_INPUT3"/>
      <sheetName val="Du_lieu_ban_dau3"/>
      <sheetName val="GZ_TP3"/>
      <sheetName val="GZ_VT3"/>
      <sheetName val="Be_tong3"/>
      <sheetName val="bar_nor3"/>
      <sheetName val="conc_nor3"/>
      <sheetName val="conc_frus3"/>
      <sheetName val="conc_trap3"/>
      <sheetName val="bar_frus3"/>
      <sheetName val="bar_trap3"/>
      <sheetName val="ĐM4970_2016(Lap_dat_TBA)3"/>
      <sheetName val="Gia_Nhan_công3"/>
      <sheetName val="Đon_gia_228_sua_chua3"/>
      <sheetName val="ĐM01_2000(thinghiem_ĐZTTĐL)3"/>
      <sheetName val="ĐM1781_2007(T_N_đien_ĐZ&amp;TBA)3"/>
      <sheetName val="Cuoc_van_chuyen3"/>
      <sheetName val="Beam_reinfocement_schedule3"/>
      <sheetName val="Thong_so_dam3"/>
      <sheetName val="Wall_Block_C3"/>
      <sheetName val="General_Schedule3"/>
      <sheetName val="Factor_F_Data3"/>
      <sheetName val="bang_1_NCXD3"/>
      <sheetName val="bang_1_NCXD_(V_I)3"/>
      <sheetName val="2__Summary-cash3"/>
      <sheetName val="May_Goc_(QD2436)3"/>
      <sheetName val="VC_theo_cuoc_tinh3"/>
      <sheetName val="BCVC__3"/>
      <sheetName val="Bang_khoi_luong2"/>
      <sheetName val="NC_HY2"/>
      <sheetName val="NC_HN2"/>
      <sheetName val="Summary_-_Budget2"/>
      <sheetName val="KL_Chi_tiết_BV_dự_thầu2"/>
      <sheetName val="KL_chi_tiết_BV_thi_công2"/>
      <sheetName val="INDEX_HẠ_TẦNG3"/>
      <sheetName val="CTG_HẠ_TẦNG3"/>
      <sheetName val="DGG_HẠ_TẦNG3"/>
      <sheetName val="DGG_LB_CỌC3"/>
      <sheetName val="DGG_MT_CỌC3"/>
      <sheetName val="INFO_CỌC3"/>
      <sheetName val="INDEX_CỌC3"/>
      <sheetName val="Du_lieu_TKT3"/>
      <sheetName val="TÍNH_TOÁN_KHỐI_LƯỢNG_P63"/>
      <sheetName val="Assignment_Schedule2"/>
      <sheetName val="FINANCIAL_(FLR)2"/>
      <sheetName val="Bảng_dung_trọng3"/>
      <sheetName val="Tong_Luong_Thep2"/>
      <sheetName val="bang_tien_luong2"/>
      <sheetName val="Gia_2"/>
      <sheetName val="Bearing_Capacity2"/>
      <sheetName val="Kien_truc2"/>
      <sheetName val="Chuong_I2"/>
      <sheetName val="1_INPUT2"/>
      <sheetName val="Phan_tich_vat_tu2"/>
      <sheetName val="D_Trong2"/>
      <sheetName val="Du_thau_03xd2"/>
      <sheetName val="Cost_of_DM_Water3"/>
      <sheetName val="Other_assumptions3"/>
      <sheetName val="Field_Lists3"/>
      <sheetName val="CUSTOMER_GROUP_WISE2"/>
      <sheetName val="Q4_2009_History2"/>
      <sheetName val="_Final_Balance_Sheet2"/>
      <sheetName val="Sch2_-_BalSht_Summary3"/>
      <sheetName val="Sch1_-_P&amp;L_Summary3"/>
      <sheetName val="Interest_on_WC2"/>
      <sheetName val="CAN_DOI_-_KET_QUA4"/>
      <sheetName val="Pivot_Financials3"/>
      <sheetName val="Review_20153"/>
      <sheetName val="People_3"/>
      <sheetName val="Production_volumes3"/>
      <sheetName val="Salary_increase_budget_assump_3"/>
      <sheetName val="Production_initiative3"/>
      <sheetName val="Prod__KPI_-_OEE%3"/>
      <sheetName val="B&amp;P_KPI3"/>
      <sheetName val="Customer_SC3"/>
      <sheetName val="Production_KPIs3"/>
      <sheetName val="Total_losses3"/>
      <sheetName val="Savings_overview3"/>
      <sheetName val="Prod_FTE_Dev_3"/>
      <sheetName val="Log_FTE_Dev_3"/>
      <sheetName val="Loss_tree3"/>
      <sheetName val="Inventory_development3"/>
      <sheetName val="Capex_Phasing3"/>
      <sheetName val="Std_to_Std_MC_only3"/>
      <sheetName val="Top_20_BOM3"/>
      <sheetName val="MC_Development_OLD3"/>
      <sheetName val="NMC_&amp;_Log_Ass_3"/>
      <sheetName val="_Material_Ass_3"/>
      <sheetName val="COGS_Dev_3"/>
      <sheetName val="MC_Dev_3"/>
      <sheetName val="NMC_Dev_3"/>
      <sheetName val="NMC_Development_OLD3"/>
      <sheetName val="Log_Dev_3"/>
      <sheetName val="Prod__capex_overview3"/>
      <sheetName val="Production_-_Risks_&amp;_Opport_3"/>
      <sheetName val="AOCM_Overview3"/>
      <sheetName val="AOCM_Cost_Group_Summary3"/>
      <sheetName val="Sievo_Saving3"/>
      <sheetName val="AOCM_Sub-group3"/>
      <sheetName val="Quality_RFT3"/>
      <sheetName val="Back-up_3"/>
      <sheetName val="Absorption_Phasing3"/>
      <sheetName val="One_off3"/>
      <sheetName val="Reporting_changes3"/>
      <sheetName val="Prod__KPI_-_OEE%_by_line3"/>
      <sheetName val="Key_dependencies3"/>
      <sheetName val="Orgex_and_restructuring3"/>
      <sheetName val="COGS_movement3"/>
      <sheetName val="Back-up_HR3"/>
      <sheetName val="2016_FTE_Variability3"/>
      <sheetName val="2_Sievo_saving_recon__vs_bridg3"/>
      <sheetName val="1__PPV_recon__T04_vs_bridges3"/>
      <sheetName val="INPUT_&amp;_Guidance3"/>
      <sheetName val="data_for_deck,_thinkcell3"/>
      <sheetName val="Flash_call_deck3"/>
      <sheetName val="Supply_chain_bridge3"/>
      <sheetName val="COS_bridge3"/>
      <sheetName val="3_Gross_&amp;_Net_efficiency_repor3"/>
      <sheetName val="PVM_report3"/>
      <sheetName val="Capex_comments3"/>
      <sheetName val="Log_bridge3"/>
      <sheetName val="One_pager3"/>
      <sheetName val="Option_1,Data(from_HFM)_3"/>
      <sheetName val="Option_2,_Data(_Manual_Input)3"/>
      <sheetName val="FX_&amp;_HIERARCHY3"/>
      <sheetName val="Bihar_Plant_FAR2"/>
      <sheetName val="Verification_Report2"/>
      <sheetName val="BASE_GRAPHE2"/>
      <sheetName val="CTG_(GIAM)2"/>
      <sheetName val="Beam__2_2"/>
      <sheetName val="B_1_Engineering2"/>
      <sheetName val="Mobilisasi_&amp;_Demob2"/>
      <sheetName val="B_2_5_Proc_&amp;_Constr_Civil12"/>
      <sheetName val="B_2_3_Proc_&amp;_Constr_Electrical2"/>
      <sheetName val="B_2_4_Proc_&amp;_Constr_Instru2"/>
      <sheetName val="B_2_1_Proc_&amp;_Constr_Mech_2"/>
      <sheetName val="B_2_2_Proc_&amp;_Constr_Pipe_2"/>
      <sheetName val="Work_Permit2"/>
      <sheetName val="Agregat_Halus_&amp;_Kasar2"/>
      <sheetName val="Data_Tower2"/>
      <sheetName val="Du_thau_dau_noi2"/>
      <sheetName val="Du_Thau2"/>
      <sheetName val="Du_thau_PSBS2"/>
      <sheetName val="DG_theo_HD_PSBS2"/>
      <sheetName val="Du_thau_TC112"/>
      <sheetName val="DETAIL_PROGRESS_CLAIM2"/>
      <sheetName val="3_NGAN_SACH2"/>
      <sheetName val="2_PHAN_TICH2"/>
      <sheetName val="Phan_tich_don_gia_de_xuat_-_ca2"/>
      <sheetName val="간접비_총괄표3"/>
      <sheetName val="DG_THIET_BI2"/>
      <sheetName val="DG_vat_lieu2"/>
      <sheetName val="Loại_22"/>
      <sheetName val="Chi_tiet_VL-NC-MTC2"/>
      <sheetName val="Chiet_tinh_dz222"/>
      <sheetName val="A1_82"/>
      <sheetName val="DZ_352"/>
      <sheetName val="DP_TRUOT_GIA2"/>
      <sheetName val="VL-NC-M_2"/>
      <sheetName val="VL_NC_M2"/>
      <sheetName val="Đơn_trọng2"/>
      <sheetName val="DTCT_-XL_42"/>
      <sheetName val="EE_(3)2"/>
      <sheetName val="Tra_Cứu2"/>
      <sheetName val="Ban_Qua_do2"/>
      <sheetName val="Dự_kiến_SL-NT_20132"/>
      <sheetName val="SL_HM-T1_20142"/>
      <sheetName val="TT_16-20192"/>
      <sheetName val="Giai_trinh2"/>
      <sheetName val="Cost_center2"/>
      <sheetName val="Details_Sales_(local)3"/>
      <sheetName val="FA_list2"/>
      <sheetName val="Enc_3A2"/>
      <sheetName val="Fixed_Prof_Fees2"/>
      <sheetName val="BS,_PL,_Sch_5_to_92"/>
      <sheetName val="301_RTI2"/>
      <sheetName val="1__Questionnaire2"/>
      <sheetName val="Excise_on_RM2"/>
      <sheetName val="_Payroll_Empl_(Wkng)2"/>
      <sheetName val="Insight_28-6-002"/>
      <sheetName val="DL_codes2"/>
      <sheetName val="Simulator_Detail2"/>
      <sheetName val="Trnf_to_Reimb_2"/>
      <sheetName val="Power_&amp;_Fuel_(S)2"/>
      <sheetName val="Book_details2"/>
      <sheetName val="July_06-Mar_072"/>
      <sheetName val="Ctiet_Cthe2"/>
      <sheetName val="Window_Door_schedule2"/>
      <sheetName val="M_672"/>
      <sheetName val="Summary_of_My_Chanh_Bridge2"/>
      <sheetName val="My_Chanh_Bridge2"/>
      <sheetName val="Summary_of_Phu_Bai_Bridge2"/>
      <sheetName val="Summary_of_Nong_Bridge2"/>
      <sheetName val="Nong_Bridge2"/>
      <sheetName val="Summary_of_Phong_Le_Bridge2"/>
      <sheetName val="Phong_Le_Bridge2"/>
      <sheetName val="Summary_of_Ky_Lam_Bridge2"/>
      <sheetName val="Nghỉ_lễ2"/>
      <sheetName val="ﾄﾞﾊﾞｲFUEL_GAS追見2"/>
      <sheetName val="Wall_Pier2"/>
      <sheetName val="IV_1_Lkdt2"/>
      <sheetName val="III_2_dah2"/>
      <sheetName val="II_2_dn2"/>
      <sheetName val="IV_2_Lkdd2"/>
      <sheetName val="III_1_tai2"/>
      <sheetName val="DA01_HD-List2"/>
      <sheetName val="DM01_CDT2"/>
      <sheetName val="DM02_NT2"/>
      <sheetName val="NT01_HD-List2"/>
      <sheetName val="DG_CANTHO2"/>
      <sheetName val="Check_C2"/>
      <sheetName val="BANG_TONGHOP2"/>
      <sheetName val="SUMMARY_QUANTITIES2"/>
      <sheetName val="DM_17813"/>
      <sheetName val="Giá_đến_hiện_trường2"/>
      <sheetName val="DG_2852"/>
      <sheetName val="DG__2862"/>
      <sheetName val="DG_852"/>
      <sheetName val="DG_892"/>
      <sheetName val="DGVCTC_2852"/>
      <sheetName val="M6A-208_Steering_dust2"/>
      <sheetName val="JT3_0견적-구12"/>
      <sheetName val="SELISIH_HARGA2"/>
      <sheetName val="Code_HT_CB_-OT2"/>
      <sheetName val="Code_HT_CB_-_PO2"/>
      <sheetName val="DOOR_A_(4-roof)2"/>
      <sheetName val="Door_HT2"/>
      <sheetName val="DOOR_B1_(4-roof)2"/>
      <sheetName val="DOOR_B2_(4-roof)2"/>
      <sheetName val="rate_code2"/>
      <sheetName val="Xuất_DL_AP2"/>
      <sheetName val="Xuất_DL_OT2"/>
      <sheetName val="Xuat_DL_PO2"/>
      <sheetName val="Ban_QD2"/>
      <sheetName val="SL_DT_2011so_sanh2"/>
      <sheetName val="Main_Model2"/>
      <sheetName val="Xuly_Data2"/>
      <sheetName val="Cst_Pkg-Eden2"/>
      <sheetName val="Cashflow_Analysis2"/>
      <sheetName val="Labor_Sum2"/>
      <sheetName val="Sheet1_(2)2"/>
      <sheetName val="Chi_Thao2"/>
      <sheetName val="4__Đo_bóc_KL2"/>
      <sheetName val="V_c_noi_bo2"/>
      <sheetName val="Tổng_kê2"/>
      <sheetName val="Kich_thuoc_mo_M1-nam_lay2"/>
      <sheetName val="Dau_vào2"/>
      <sheetName val="Data-SỔ_KHO2"/>
      <sheetName val="SỔ_KHO2"/>
      <sheetName val="BSD_(2)2"/>
      <sheetName val="Thông_tin_chung2"/>
      <sheetName val="B1_CN2"/>
      <sheetName val="Đường_dây2"/>
      <sheetName val="Vị_trí2"/>
      <sheetName val="Đơn_giá-NC2"/>
      <sheetName val="Đơn_giá-VL-CM2"/>
      <sheetName val="KL_CHI_TIET2"/>
      <sheetName val="Anx_102"/>
      <sheetName val="Full_20122"/>
      <sheetName val="Summary_Page_VDF2"/>
      <sheetName val="Invested_capital_VDF2"/>
      <sheetName val="BB_Contribution_by_store_T__2"/>
      <sheetName val="DG_SUA_CHUA2"/>
      <sheetName val="TAM_TINH2"/>
      <sheetName val="080_(2)3"/>
      <sheetName val="BTO_Dept_4"/>
      <sheetName val="Input_&amp;_Instruct4"/>
      <sheetName val="Purchase_Calc_3"/>
      <sheetName val="Balance_Sheet3"/>
      <sheetName val="Report_Summary3"/>
      <sheetName val="Monthly_Notes3"/>
      <sheetName val="Trial_Bal2"/>
      <sheetName val="CC_Inventory_Assumption2"/>
      <sheetName val="Validation_and_Lookup_tables2"/>
      <sheetName val="Dec__08_RDD2"/>
      <sheetName val="Int_Others2"/>
      <sheetName val="Sub_Lead2"/>
      <sheetName val="nhat_ky_2"/>
      <sheetName val="DGKL_L2_THÉP_MÓNG2"/>
      <sheetName val="Bieu_chi_tiet_gia_du_thau2"/>
      <sheetName val="Gia_vat_lieu_trong_gia_du_thau2"/>
      <sheetName val="Bang_phan_tich_don_gia_du_thau2"/>
      <sheetName val="Costos_Alt22"/>
      <sheetName val="B-10_otros_activos_20032"/>
      <sheetName val="B-10_otros_activos_20042"/>
      <sheetName val="liste_ANDI2"/>
      <sheetName val="Daily_Forwards2"/>
      <sheetName val="CREDIT_STATS2"/>
      <sheetName val="basic_inputs2"/>
      <sheetName val="INSTRUCTION_Read_me2"/>
      <sheetName val="DATOS_DE_CAMPO2"/>
      <sheetName val="Basic_Data_Inputs2"/>
      <sheetName val="Du_lieu_dau_vao2"/>
      <sheetName val="Du_lieu_TKT1"/>
      <sheetName val="간접비_총괄표1"/>
      <sheetName val="ﾄﾞﾊﾞｲFUEL_GAS追見"/>
      <sheetName val="Wall_Pier"/>
      <sheetName val="DM_17811"/>
      <sheetName val="Giá_đến_hiện_trường"/>
      <sheetName val="DG_285"/>
      <sheetName val="DG__286"/>
      <sheetName val="DG_85"/>
      <sheetName val="DG_89"/>
      <sheetName val="DGVCTC_285"/>
      <sheetName val="M6A-208_Steering_dust"/>
      <sheetName val="JT3_0견적-구1"/>
      <sheetName val="SL_DT_2011so_sanh"/>
      <sheetName val="Cashflow_Analysis"/>
      <sheetName val="Labor_Sum"/>
      <sheetName val="BSD_(2)"/>
      <sheetName val="BB_Contribution_by_store_T__"/>
      <sheetName val="080_(2)1"/>
      <sheetName val="BTO_Dept_2"/>
      <sheetName val="Input_&amp;_Instruct2"/>
      <sheetName val="Purchase_Calc_1"/>
      <sheetName val="Balance_Sheet1"/>
      <sheetName val="Report_Summary1"/>
      <sheetName val="Monthly_Notes1"/>
      <sheetName val="Trial_Bal"/>
      <sheetName val="CC_Inventory_Assumption"/>
      <sheetName val="Validation_and_Lookup_tables"/>
      <sheetName val="Dec__08_RDD"/>
      <sheetName val="Int_Others"/>
      <sheetName val="Sub_Lead"/>
      <sheetName val="TH_DZ3520"/>
      <sheetName val="RAB_AR&amp;STR18"/>
      <sheetName val="chi_tiet_TBA18"/>
      <sheetName val="chi_tiet_C18"/>
      <sheetName val="DON_GIA_CAN_THO20"/>
      <sheetName val="Don_gia18"/>
      <sheetName val="Don_gia_chi_tiet18"/>
      <sheetName val="Customize_Your_Purchase_Order18"/>
      <sheetName val="DON_GIA_TRAM_(3)18"/>
      <sheetName val="CHITIET_VL-NC-TT_-1p18"/>
      <sheetName val="CHITIET_VL-NC-TT-3p17"/>
      <sheetName val="TONG_HOP_VL-NC_TT18"/>
      <sheetName val="KPVC-BD_18"/>
      <sheetName val="HĐ_ngoài17"/>
      <sheetName val="XT_Buoc_317"/>
      <sheetName val="dongia_(2)17"/>
      <sheetName val="S-curve_17"/>
      <sheetName val="Commercial_value17"/>
      <sheetName val="7606_DZ18"/>
      <sheetName val="Ky_Lam_Bridge17"/>
      <sheetName val="Provisional_Sums_Item17"/>
      <sheetName val="Gas_Pressure_Welding17"/>
      <sheetName val="General_Item&amp;General_Requirem17"/>
      <sheetName val="General_Items17"/>
      <sheetName val="Regenral_Requirements17"/>
      <sheetName val="TONG_HOP_VL-NC17"/>
      <sheetName val="So_doi_chieu_LC17"/>
      <sheetName val="project_management17"/>
      <sheetName val="Adix_A17"/>
      <sheetName val="MAIN_GATE_HOUSE17"/>
      <sheetName val="REINF_17"/>
      <sheetName val="Rates_200917"/>
      <sheetName val="Đầu_vào16"/>
      <sheetName val="MH_RATE17"/>
      <sheetName val="A1_CN16"/>
      <sheetName val="Data_Input17"/>
      <sheetName val="Du_toan17"/>
      <sheetName val="chiet_tinh17"/>
      <sheetName val="Ng_hàng_xà+bulong17"/>
      <sheetName val="Bang_KL17"/>
      <sheetName val="DM_606117"/>
      <sheetName val="Equip_16"/>
      <sheetName val="DG_thep_ma_kem17"/>
      <sheetName val="Lcau_-_Lxuc17"/>
      <sheetName val="Chi_tiet_XD_TBA16"/>
      <sheetName val="EIRR&gt;_216"/>
      <sheetName val="TONG_HOP_T5_199816"/>
      <sheetName val="CT_vat_lieu17"/>
      <sheetName val="Trạm_biến_áp16"/>
      <sheetName val="Đơn_Giá_16"/>
      <sheetName val="Chenh_lech_vat_tu16"/>
      <sheetName val="Diện_tích16"/>
      <sheetName val="1_Khái_toán16"/>
      <sheetName val="13-Cốt_thép_(10mm&lt;D≤18mm)_FO115"/>
      <sheetName val="6787CWFASE2CASE2_00_xls16"/>
      <sheetName val="CT-0_4KV16"/>
      <sheetName val="rate_material16"/>
      <sheetName val="4_PTDG16"/>
      <sheetName val="DG_DZ17"/>
      <sheetName val="DG_TBA17"/>
      <sheetName val="Chi_tiet_KL16"/>
      <sheetName val="Tổng_hợp_KL16"/>
      <sheetName val="KL_Chi_tiết_Xây_tô16"/>
      <sheetName val="07Base_Cost16"/>
      <sheetName val="Bill_1_Quy_dinh_chung16"/>
      <sheetName val="1_R18_BF16"/>
      <sheetName val="6_External_works-R1816"/>
      <sheetName val="Phan_khai_KLuong16"/>
      <sheetName val="04_-_XUONG_DET_B16"/>
      <sheetName val="Area_Cal16"/>
      <sheetName val="_0316"/>
      <sheetName val="chieu_day_san16"/>
      <sheetName val="Podium_Concrete_Works16"/>
      <sheetName val="KLCT-_TOWER16"/>
      <sheetName val="KLCT-_PODIUM16"/>
      <sheetName val="Xay_lapduongR316"/>
      <sheetName val="Gia_thanh_chuoi_su16"/>
      <sheetName val="Tiep_dia16"/>
      <sheetName val="Don_gia_vung_III-Can_Tho16"/>
      <sheetName val="Loại_Vật_tư16"/>
      <sheetName val="Measure_130616"/>
      <sheetName val="gia_cong_tac16"/>
      <sheetName val="Isolasi_Luar_Dalam16"/>
      <sheetName val="Isolasi_Luar16"/>
      <sheetName val="Analisa_Gabungan16"/>
      <sheetName val="GV1-D13_(Casement_door)16"/>
      <sheetName val="Project_Data16"/>
      <sheetName val="Elect_(3)16"/>
      <sheetName val="plan&amp;section_of_foundation16"/>
      <sheetName val="design_criteria16"/>
      <sheetName val="Bond_수수료_계산_포맷16"/>
      <sheetName val="ITB_COST16"/>
      <sheetName val="PAGE_116"/>
      <sheetName val="6PILE__(돌출)16"/>
      <sheetName val="HÐ_ngoài17"/>
      <sheetName val="DM_6716"/>
      <sheetName val="Đầu_tư16"/>
      <sheetName val="Chenh_lech_ca_may16"/>
      <sheetName val="TLg_CN&amp;Laixe16"/>
      <sheetName val="TLg_CN&amp;Laixe_(2)16"/>
      <sheetName val="TLg_Laitau16"/>
      <sheetName val="TLg_Laitau_(2)16"/>
      <sheetName val="ESTI_16"/>
      <sheetName val="KL_san_lap16"/>
      <sheetName val="Bill_01_-_CTN16"/>
      <sheetName val="Bill_2_2_Villa_2_beds16"/>
      <sheetName val="DETAIL_16"/>
      <sheetName val="dg_tphcm16"/>
      <sheetName val="T_KÊ_K_CẤU16"/>
      <sheetName val="A1,_May16"/>
      <sheetName val="Vat_lieu16"/>
      <sheetName val="Door_and_window10"/>
      <sheetName val="Harga_ME_16"/>
      <sheetName val="_Bill_5-Earthing_2_-_Add_Work16"/>
      <sheetName val="Bill_02_-_Xay_gach-Pou_16"/>
      <sheetName val="Bill_03-Chống_thấm-Pou16"/>
      <sheetName val="Bill_04-Kim_loại-Pou16"/>
      <sheetName val="Bill_05_-_Hoan_thien-Pou_16"/>
      <sheetName val="Bill_02_-_Xay_gach-Tower16"/>
      <sheetName val="Bill_03-Chống_thấm-Tower16"/>
      <sheetName val="Bill_04-Kim_loại-Tower16"/>
      <sheetName val="Bill_05_-_Hoan_thien-Tower16"/>
      <sheetName val="KL-_KHAC16"/>
      <sheetName val="BILL_3_-_KẾT_CẤU_HẦM16"/>
      <sheetName val="PTĐG_LTBT16"/>
      <sheetName val="CTG-PRECHEx1_416"/>
      <sheetName val="CTG-AB_(2)16"/>
      <sheetName val="CTG-AB_(3)16"/>
      <sheetName val="CTG-PLP-1_0816"/>
      <sheetName val="Pre_Đội_nhóm16"/>
      <sheetName val="Vat_tu_XD16"/>
      <sheetName val="CẤP_THOÁT_NƯỚC16"/>
      <sheetName val="Cước_VC_+_ĐM_CP_Tư_vấn16"/>
      <sheetName val="Hệ_số16"/>
      <sheetName val="THDT_goi_thau_TB16"/>
      <sheetName val="Tien_do_TV16"/>
      <sheetName val="Tower_-_Concrete_Works16"/>
      <sheetName val="Bill-04_ket_cau_thap-_UNI16"/>
      <sheetName val="TH_Vat_tu16"/>
      <sheetName val="Bang_trong_luong_rieng_thep16"/>
      <sheetName val="LV_data16"/>
      <sheetName val="Gia_vat_tu16"/>
      <sheetName val="TH_MTC16"/>
      <sheetName val="TH_N_Cong16"/>
      <sheetName val="Equipment_list_(PAC)16"/>
      <sheetName val="TINH_KHOI_LUONG16"/>
      <sheetName val="DATA_BASE16"/>
      <sheetName val="bridge_#_116"/>
      <sheetName val="Bang_3_Chi_tiet_phan_Dz16"/>
      <sheetName val="KHOI_LUONG16"/>
      <sheetName val="HVAC_BLOCK_B416"/>
      <sheetName val="subcon_sched16"/>
      <sheetName val="Chi_tiet16"/>
      <sheetName val="Buy_vs__Lease_Car16"/>
      <sheetName val="BẢNG_KHỐI_LƯỢNG_TỔNG_HỢP15"/>
      <sheetName val="CTKL_KTX_HT15"/>
      <sheetName val="CP_Khac_cuoc_VC15"/>
      <sheetName val="Budget_Code15"/>
      <sheetName val="2_Chiet_tinh15"/>
      <sheetName val="du_lieu_du_toan15"/>
      <sheetName val="PRE_(E)16"/>
      <sheetName val="Luong_NII15"/>
      <sheetName val="DINH_MUC_THI_NGHIEM15"/>
      <sheetName val="Luong_NI15"/>
      <sheetName val="NHÀ_NHẬP_LIỆU15"/>
      <sheetName val="MÓNG_SILO15"/>
      <sheetName val="BOQ_THAN15"/>
      <sheetName val="Tong_du_toan15"/>
      <sheetName val="Bill_2_-_ketcau15"/>
      <sheetName val="D_&amp;_W_sizes15"/>
      <sheetName val="DL_ĐẦU_VÀO15"/>
      <sheetName val="Chi_tiet_lan_can15"/>
      <sheetName val="Purchase_Order15"/>
      <sheetName val="Analisa_&amp;_Upah15"/>
      <sheetName val="Nhap_VT_oto13"/>
      <sheetName val="dm_36613"/>
      <sheetName val="DM_606013"/>
      <sheetName val="Du_lieu16"/>
      <sheetName val="Phan_tich15"/>
      <sheetName val="CT_Thang_Mo15"/>
      <sheetName val="CT__PL15"/>
      <sheetName val="dongia__2_15"/>
      <sheetName val="Thép_CKN15"/>
      <sheetName val="GOC-KO_IN15"/>
      <sheetName val="MAU_8A15"/>
      <sheetName val="MAU_8B15"/>
      <sheetName val="MAU_915"/>
      <sheetName val="MAU_1015"/>
      <sheetName val="cash_budget15"/>
      <sheetName val="sochitiettaikhoan_15"/>
      <sheetName val="Share_price_data15"/>
      <sheetName val="19_315"/>
      <sheetName val="20_315"/>
      <sheetName val="Chieu_4_315"/>
      <sheetName val="Cow_req15"/>
      <sheetName val="TỔNG_HỢP15"/>
      <sheetName val="14-LẦN_3-CHIỀU15"/>
      <sheetName val="14-LẦN_1-SÁNG15"/>
      <sheetName val="14-LẦN_2-TRƯA15"/>
      <sheetName val="1_3+1_4-TOTAL_-_Ko_IN15"/>
      <sheetName val="2_1-LẦN_3-CHIỀU15"/>
      <sheetName val="2_1-LẦN_1-SÁNG15"/>
      <sheetName val="2_1-LẦN_2-TRƯA15"/>
      <sheetName val="2_1-TOTAL-Ko_IN15"/>
      <sheetName val="1_3(TMR_4)15"/>
      <sheetName val="CHO_DE15"/>
      <sheetName val="1_1+1_2+2_2+2_3(TMR_3)15"/>
      <sheetName val="CK1+CK2_(VS_SAN_CHOI_23)15"/>
      <sheetName val="CK1+CK2_(2)15"/>
      <sheetName val="12-16_THÁNG15"/>
      <sheetName val="CAN_SỮA15"/>
      <sheetName val="54+55+56(SAU_CAI_SỮA-6)15"/>
      <sheetName val="BÊ_71-90_NGÀY15"/>
      <sheetName val="BÊ_12-16_tháng15"/>
      <sheetName val="BÊ_6-1215"/>
      <sheetName val="BÊ_1-315"/>
      <sheetName val="F01-BC_KHAU_PHAN_SANG_20_315"/>
      <sheetName val="F01-BC_KHAU_PHAN_CHIEU_19_315"/>
      <sheetName val="dinh_mưc_cty15"/>
      <sheetName val="Giá_thành15"/>
      <sheetName val="Thong_ke15"/>
      <sheetName val="Energy_for_milk_prod15"/>
      <sheetName val="DE_NGHI_XUAT_15"/>
      <sheetName val="phieu_xuat_mau15"/>
      <sheetName val="PHIEU_XUAT_CHIEU15"/>
      <sheetName val="11_rai_them_cỏ15"/>
      <sheetName val="PHU_LUC_02-_HDSD_CAC_BIEU_MAU15"/>
      <sheetName val="PhU_LUC_01-_MA_CAC_NHOM_BO15"/>
      <sheetName val="F03-BC_THUC_TRON_SANG_20_315"/>
      <sheetName val="F03-BC_THUC_TRON_CHIEU_19_315"/>
      <sheetName val="F02-BC_THEO_DOI_THUC_AN_DU15"/>
      <sheetName val="Tham_khao-_Bao_cao_xuat_thuc_15"/>
      <sheetName val="Dự_thầu13"/>
      <sheetName val="DK1_Don_gia15"/>
      <sheetName val="Dlieu_dau_vao15"/>
      <sheetName val="BANCO_(2)15"/>
      <sheetName val="MT_DPin_(2)15"/>
      <sheetName val="02__PTDG15"/>
      <sheetName val="Chiết_tính15"/>
      <sheetName val="Shareholders'_Equity15"/>
      <sheetName val="VC_xd13"/>
      <sheetName val="Gia_VLTB13"/>
      <sheetName val="B_Luong13"/>
      <sheetName val="C_May13"/>
      <sheetName val="Don_gia_(khong_in)15"/>
      <sheetName val="1_MONG_1-215"/>
      <sheetName val="BẢNG_ÁP_GIÁ_(in)12"/>
      <sheetName val="NT_(KL)_IN12"/>
      <sheetName val="DOM_D212"/>
      <sheetName val="nhà_ăn12"/>
      <sheetName val="Công_nhật12"/>
      <sheetName val="btkt_cột12"/>
      <sheetName val="DG_142612"/>
      <sheetName val="wk_prgs13"/>
      <sheetName val="TH_TN13"/>
      <sheetName val="Bill_No_3_-_Prov__Sum_(Ph2&amp;3)13"/>
      <sheetName val="Du_tru_CP-Bieu_0113"/>
      <sheetName val="TB_NẶNG13"/>
      <sheetName val="Ma_don_vi13"/>
      <sheetName val="bang_cc13"/>
      <sheetName val="AG_Pipe_Qty_Analysis13"/>
      <sheetName val="TK_chi_tiet13"/>
      <sheetName val="Bill_2-Road_HR213"/>
      <sheetName val="Bill_3_-_Softscape_HR213"/>
      <sheetName val="Hao_phí13"/>
      <sheetName val="CP_HMC13"/>
      <sheetName val="gui_BKCT12"/>
      <sheetName val="đọc_số13"/>
      <sheetName val="TH_các_CC12"/>
      <sheetName val="Don_gia_chi_tiet_DIEN_212"/>
      <sheetName val="Dự_toán13"/>
      <sheetName val="Đơn_Giá_TH13"/>
      <sheetName val="Nhân_công13"/>
      <sheetName val="Phân_tích13"/>
      <sheetName val="C_P_Thiết_bị13"/>
      <sheetName val="T_H_Kinh_phí13"/>
      <sheetName val="Vật_tư13"/>
      <sheetName val="Trang_bìa13"/>
      <sheetName val="CĂN_HỘ_T16-17_13"/>
      <sheetName val="TRỤC_ĐỨNG_THOÁT_BẨN_T15-1713"/>
      <sheetName val="TRỤC_ĐỨNG_TM_T15-1713"/>
      <sheetName val="THEP_TAM13"/>
      <sheetName val="THEP_HÌNH13"/>
      <sheetName val="THEP_HINH13"/>
      <sheetName val="XA_GO13"/>
      <sheetName val="BANG_TRA13"/>
      <sheetName val="Ｎｏ_1313"/>
      <sheetName val="DGchitiet_13"/>
      <sheetName val="Structure_data13"/>
      <sheetName val="HỆ_THỐNG_PHÒNG_CHÁY_CHỮA_CHÁY13"/>
      <sheetName val="HỆ_THỐNG_CẤP_THOÁT_NƯỚC13"/>
      <sheetName val="HỆ_THỐNG_ĐHKK13"/>
      <sheetName val="MÁY_PHÁT_ĐIỆN13"/>
      <sheetName val="HỆ_THỐNG_ĐIỆN13"/>
      <sheetName val="Thiết_bị_chính13"/>
      <sheetName val="CP_Du_phong13"/>
      <sheetName val="THCP_Lap_dat13"/>
      <sheetName val="THCP_xay_dung13"/>
      <sheetName val="Tong_hop_kinh_phi13"/>
      <sheetName val="2_1Warehouse_113"/>
      <sheetName val="CHI_PHI13"/>
      <sheetName val="Main_Bldg-Rev0213"/>
      <sheetName val="D&amp;W_def_13"/>
      <sheetName val="Nhan_cong13"/>
      <sheetName val="Thiet_bi13"/>
      <sheetName val="Vat_tu13"/>
      <sheetName val="DM_ChiPhi13"/>
      <sheetName val="May_TC13"/>
      <sheetName val="TH_Kinh_phi13"/>
      <sheetName val="Ptvl_13"/>
      <sheetName val="Móng,_nền_13"/>
      <sheetName val="1_Requisition(E)13"/>
      <sheetName val="Theo_doi_Doanh_thu_201712"/>
      <sheetName val="TONG_HOP13"/>
      <sheetName val="phan_tic_chi_tiet13"/>
      <sheetName val="3__CNT12"/>
      <sheetName val="unit_price_list(M)12"/>
      <sheetName val="Data_Wall13"/>
      <sheetName val="Gia_vat_lieu12"/>
      <sheetName val="Chi_tiet_-tong_9_thang12"/>
      <sheetName val="Tổng_GT13"/>
      <sheetName val="Chi_tiết_KL13"/>
      <sheetName val="khấu_trừ_phạt13"/>
      <sheetName val="GT__KHAU_TRU13"/>
      <sheetName val="HAO_HUT_VAT_TU_(2)13"/>
      <sheetName val="cao_độ13"/>
      <sheetName val="Chi_tiet_cong_no13"/>
      <sheetName val="PHÁT_SINH_TẦNG_1_13"/>
      <sheetName val="PHÁT_SINH_TẦNG_213"/>
      <sheetName val="Hầm_chuyển_psinh13"/>
      <sheetName val="Ống_thẳng13"/>
      <sheetName val="Côn_thu13"/>
      <sheetName val="Vuông_tròn13"/>
      <sheetName val="Chân_rẽ13"/>
      <sheetName val="Chạc_ba13"/>
      <sheetName val="0__Input12"/>
      <sheetName val="KL_THEP__GIAM_DO_DUNG_COUPLER12"/>
      <sheetName val="01_KL_THÉP_NHẬP_VỀ12"/>
      <sheetName val="2__NT_VLDV12"/>
      <sheetName val="GHI_CHU12"/>
      <sheetName val="1_BB_LMHT12"/>
      <sheetName val="1_2_Staff_Schedule12"/>
      <sheetName val="Precios_unitarios_AXH12"/>
      <sheetName val="Bill_Prelim-CDT12"/>
      <sheetName val="Bill_BPTC-CDT12"/>
      <sheetName val="Chi_tiết_BPTC12"/>
      <sheetName val="Bill_BPTC-CDT_(PA_MCT_CDT)12"/>
      <sheetName val="Chi_tiết_BPTC_(PA_MCT_CDT)12"/>
      <sheetName val="Bê_tông_bảo_vệ12"/>
      <sheetName val="01__Data12"/>
      <sheetName val="Neo,_nối_cốt_thép_dầm,_cột12"/>
      <sheetName val="Uốn_móc_cốt_thép12"/>
      <sheetName val="Tiêu_chuẩn_cốt_thép12"/>
      <sheetName val="So_lieu_chung12"/>
      <sheetName val="TH_VL,_NC,_DDHT_Thanhphuoc12"/>
      <sheetName val="1__Office12"/>
      <sheetName val="KHOI_LUONG15-412"/>
      <sheetName val="Doi_so12"/>
      <sheetName val="DANH_MỤC_HỒ_SƠ12"/>
      <sheetName val="GT_PHÁT_SINH_NGOÀI_HĐ12"/>
      <sheetName val="KL_PHÁT_SINH_12"/>
      <sheetName val="PS_NGOÀI_HĐ12"/>
      <sheetName val="GT_PHÁT_SINH_VƯỢT_HĐ12"/>
      <sheetName val="PS_TĂNG_GIẢM_TRONG_HĐ12"/>
      <sheetName val="DGCT_PHÁT_SINH12"/>
      <sheetName val="DGCT_TRẦN_NLV12"/>
      <sheetName val="DGKL_chi_tiết_NLV12"/>
      <sheetName val="DGKL_chi_tiết_NHN,NK12"/>
      <sheetName val="TG_KL12"/>
      <sheetName val="DGCT_SƠN_BẢ_TƯỜNG_NLV12"/>
      <sheetName val="DGKL_TRẦN_NHN12"/>
      <sheetName val="MTO_REV_2(ARMOR)12"/>
      <sheetName val="KL_thep_lam_sat12"/>
      <sheetName val="DM-VNT_ko_sd12"/>
      <sheetName val="B3A_-_TOWER_A12"/>
      <sheetName val="Annex_B12"/>
      <sheetName val="Cotthep_NPT12"/>
      <sheetName val="vl_nc_mtc12"/>
      <sheetName val="1_Civil_(Org)12"/>
      <sheetName val="Tien_Thuong12"/>
      <sheetName val="NC_XL_6T_cuoi_01_CTy12"/>
      <sheetName val="Data_-6T_dau12"/>
      <sheetName val="Cong_6T12"/>
      <sheetName val="Bảng_đo_bóc_KL_OLK-0912"/>
      <sheetName val="6_3_CHI_TIET_OLK-0912"/>
      <sheetName val="Dot_412"/>
      <sheetName val="Chi_phi_van_chuyen12"/>
      <sheetName val="Tong_hop_vat_tu12"/>
      <sheetName val="1_San_12"/>
      <sheetName val="DT_hợp_đồng11"/>
      <sheetName val="Bảng_KL_đợt_111"/>
      <sheetName val="Dgia_vat_tu12"/>
      <sheetName val="Don_gia_III14"/>
      <sheetName val="D÷_liÖu12"/>
      <sheetName val="TLG_Type12"/>
      <sheetName val="Thop_Ksat12"/>
      <sheetName val="Thu_hoi_12"/>
      <sheetName val="HM_chung12"/>
      <sheetName val="CP_xd-thiet_bi12"/>
      <sheetName val="TH-TN_LD_TB12"/>
      <sheetName val="CP_xaydung12"/>
      <sheetName val="Thao_ha_phu_kien12"/>
      <sheetName val="VL-NC-MTC_ket_cau12"/>
      <sheetName val="KHOI_LUONG_TONG12"/>
      <sheetName val="TK_22KV12"/>
      <sheetName val="DM_366-177712"/>
      <sheetName val="Thi_nhiem12"/>
      <sheetName val="Gia_goc_VT-TB12"/>
      <sheetName val="Gia_vc_den_chan_CT12"/>
      <sheetName val="culy_2212"/>
      <sheetName val="Luong_205012"/>
      <sheetName val="ca_may_QN12"/>
      <sheetName val="TNHC1246_12"/>
      <sheetName val="Ca_may_TT06_201012"/>
      <sheetName val="Don_gia_VLXD_dia_phuong12"/>
      <sheetName val="Bang_luong_SCL12"/>
      <sheetName val="Dinh_muc_TN142612"/>
      <sheetName val="HRG_BHN12"/>
      <sheetName val="CĂN_ĐH12"/>
      <sheetName val="Div26_-_Elect12"/>
      <sheetName val="Tổng_hợp_KPHM11"/>
      <sheetName val="DM_336cai_tao12"/>
      <sheetName val="4_CĂN12"/>
      <sheetName val="PV_Graph_Data11"/>
      <sheetName val="Danh_mục11"/>
      <sheetName val="Q_A01_2-Sh12"/>
      <sheetName val="Dutoan_KL11"/>
      <sheetName val="doanh_thu11"/>
      <sheetName val="BTK-Dai_Hoc_Kien_Giang11"/>
      <sheetName val="GIÁ_DỰ_THẦU_30_CĂN11"/>
      <sheetName val="2_CDPS12"/>
      <sheetName val="DG_Chi_tiet11"/>
      <sheetName val="Kê_0,411"/>
      <sheetName val="TH_0,411"/>
      <sheetName val="Kê_2211"/>
      <sheetName val="TH_2211"/>
      <sheetName val="TBA_CAI_TAO11"/>
      <sheetName val="TBA_XDM11"/>
      <sheetName val="TONG_HOP_DU_TOAN11"/>
      <sheetName val="Thop_XAY_DUNG11"/>
      <sheetName val="CP_HANG_MUC_CHUNG11"/>
      <sheetName val="CHI_PHI_XD11"/>
      <sheetName val="CHI_PHI_THI_NGHIEM11"/>
      <sheetName val="VLDIEN_2211"/>
      <sheetName val="Dao_dat11"/>
      <sheetName val="TH_Denbu11"/>
      <sheetName val="Do_ve_DC11"/>
      <sheetName val="TH_Bommin11"/>
      <sheetName val="CHI_PHI_THI_NGHIEM-LD_thiet_b11"/>
      <sheetName val="Luong_TT0111"/>
      <sheetName val="Camay_QB11"/>
      <sheetName val="gia_ca_may_BXD11"/>
      <sheetName val="BANG_LUONG_KY_SU11"/>
      <sheetName val="Bang_luong_NHOM_I11"/>
      <sheetName val="Bangluong_NHOM_II_11"/>
      <sheetName val="09-GIA_nhien_lieu-ko_in11"/>
      <sheetName val="Tinh_V_cot_chiem_cho11"/>
      <sheetName val="ĐM_135411"/>
      <sheetName val="KHOAN_MAU11"/>
      <sheetName val="ĐO_ĐỊA_VẬT_LÝ11"/>
      <sheetName val="khoan_tiep_dia11"/>
      <sheetName val="DZ_22KV11"/>
      <sheetName val="_1710_HOINGHINLD11"/>
      <sheetName val="99_(2)11"/>
      <sheetName val="134_11"/>
      <sheetName val="DG_497011"/>
      <sheetName val="Heso_DZ12"/>
      <sheetName val="DG_BINH_THUAN12"/>
      <sheetName val="TINH_GIA_-_SAN_XUAT_Vertico11"/>
      <sheetName val="Financ__Overview11"/>
      <sheetName val="7_Khau_tru_12"/>
      <sheetName val="Don_gia_NC12"/>
      <sheetName val="Summary_Sheet11"/>
      <sheetName val="Finishing-Tower_A11"/>
      <sheetName val="Finishing-Tower_B11"/>
      <sheetName val="Finishing-Tower_C11"/>
      <sheetName val="Finishing-Tower_D11"/>
      <sheetName val="MEP-Tower_A11"/>
      <sheetName val="MEP-Tower_B11"/>
      <sheetName val="MEP-Tower_C11"/>
      <sheetName val="MEP-Tower_D11"/>
      <sheetName val="Cost_Report_Sum11"/>
      <sheetName val="Detail_Cost_Sum11"/>
      <sheetName val="RVO-VO_Sum11"/>
      <sheetName val="Potential_VOs_Sum11"/>
      <sheetName val="Cash_Flow_Sum11"/>
      <sheetName val="CAP_NUOC11"/>
      <sheetName val="cấp_nước_trục_nhà_vs11"/>
      <sheetName val="THOAT_NUOC11"/>
      <sheetName val="THOAT_MUA11"/>
      <sheetName val="Cáp_phòng11"/>
      <sheetName val="TMC_ĐIỆN_Phi11"/>
      <sheetName val="TMC_Tổng11"/>
      <sheetName val="TH_Đèn_Phòng_L111"/>
      <sheetName val="TH_Đèn_Hầm_L111"/>
      <sheetName val="TỦ_MODULE_T111"/>
      <sheetName val="B-2__(DPP)12"/>
      <sheetName val="13_BANG_CT11"/>
      <sheetName val="14_MMUS_GIUA_NHIP11"/>
      <sheetName val="4_HSPBngang11"/>
      <sheetName val="6_Tinh_tai11"/>
      <sheetName val="2_NSl11"/>
      <sheetName val="17_US_CHU_tho_a_b11"/>
      <sheetName val="15_MMUS_GOI11"/>
      <sheetName val="gia_vt,nc,may11"/>
      <sheetName val="Bieu_gia_HD11"/>
      <sheetName val="Huong_dan11"/>
      <sheetName val="5_2_1_Đo_bóc_KL_OLK-0611"/>
      <sheetName val="Dinh_muc11"/>
      <sheetName val="KS_tuyen11"/>
      <sheetName val="Bang_chiet_tinh_TBA11"/>
      <sheetName val="MB_DT_0211"/>
      <sheetName val="4_2_1_Đo_bóc_KL_OLK-0611"/>
      <sheetName val="4_1_1_CHI_TIET_OLK-0611"/>
      <sheetName val="THONG_SO11"/>
      <sheetName val="Đơn_giá_chi_tiết_TN_3911"/>
      <sheetName val="Bù_giá_CM10"/>
      <sheetName val="HERD_MOVEMENTFARM113"/>
      <sheetName val="HERD_MOVEMENTFARM213"/>
      <sheetName val="CALVES_2-413"/>
      <sheetName val="Cavles_2-413"/>
      <sheetName val="CALVES_4-713"/>
      <sheetName val="HEIFER_7-12m13"/>
      <sheetName val="HEIFER_12+13"/>
      <sheetName val="FRESH_COW_2017-1813"/>
      <sheetName val="HP_COW_201813"/>
      <sheetName val="LP_COW_2017-1813"/>
      <sheetName val="DRY_COW13"/>
      <sheetName val="FIELD_CROPS13"/>
      <sheetName val="EQUIP_LIST11"/>
      <sheetName val="So_sanh11"/>
      <sheetName val="DT__NHA_XUONG11"/>
      <sheetName val="Electrical_Works11"/>
      <sheetName val="H_T__INCOMING_SYSTEM11"/>
      <sheetName val="Cash_Flow11"/>
      <sheetName val="Gia_VT-TB11"/>
      <sheetName val="noi_suy_xa11"/>
      <sheetName val="noi_suy_xa_thu_hoi11"/>
      <sheetName val="Tính_giá_NC11"/>
      <sheetName val="Tiên_lượng11"/>
      <sheetName val="SL_cước11"/>
      <sheetName val="BU_LONG11"/>
      <sheetName val="Thuyết_minh11"/>
      <sheetName val="Đơn_giá_máy11"/>
      <sheetName val="¥_11"/>
      <sheetName val="CHITIET_VL-NCHT1_(2)10"/>
      <sheetName val="Tong_DT10"/>
      <sheetName val="phan_tich_don_gia10"/>
      <sheetName val="Bill_No_1_611"/>
      <sheetName val="Bill_No_1_1011"/>
      <sheetName val="Bill_No_3_311"/>
      <sheetName val="Bill_No_1_411"/>
      <sheetName val="Bill_No_1_711"/>
      <sheetName val="Summary_Bill_No__311"/>
      <sheetName val="Khai_toan5"/>
      <sheetName val="Phu_luc_01_1_EPC_P11-145"/>
      <sheetName val="TDT_P11-P145"/>
      <sheetName val="Chi_phi_khac_5"/>
      <sheetName val="Hang_muc_Chung5"/>
      <sheetName val="Bia_Phu_Luc5"/>
      <sheetName val="DATA_1_CHUNG5"/>
      <sheetName val="Muc_luc5"/>
      <sheetName val="Tra_cuu_9575"/>
      <sheetName val="Unit_price10"/>
      <sheetName val="3__KC_-_PODIUM10"/>
      <sheetName val="Breakdown_(B)10"/>
      <sheetName val="U_P_Breakdown10"/>
      <sheetName val="Bán_đợt_1_trang10"/>
      <sheetName val="CTDZ6kv_(gd1)_10"/>
      <sheetName val="CTDZ_0_4+cto_(GD1)10"/>
      <sheetName val="CTTBA_(gd1)10"/>
      <sheetName val="03_Detailed10"/>
      <sheetName val="01_Bid_Price_summary10"/>
      <sheetName val="Home_Office_Manhours10"/>
      <sheetName val="Field_SPV_Barchart10"/>
      <sheetName val="Luong_BN10"/>
      <sheetName val="Luong_TB10"/>
      <sheetName val="Ca_may_TB10"/>
      <sheetName val="Ca_máy_BN10"/>
      <sheetName val="Vật_liệu10"/>
      <sheetName val="LX_-TT0510"/>
      <sheetName val="NC_Moi_TT0510"/>
      <sheetName val="Tien_Luong10"/>
      <sheetName val="Cost_List10"/>
      <sheetName val="Detail_Cost10"/>
      <sheetName val="IC_Price_New10"/>
      <sheetName val="Summary_Table10"/>
      <sheetName val="Sales_Person10"/>
      <sheetName val="Bidding_Entity10"/>
      <sheetName val="Unit_price(Updateting)10"/>
      <sheetName val="Chiet_tinh_dz3510"/>
      <sheetName val="IMF_Code10"/>
      <sheetName val="Subsidiary_Calculation10"/>
      <sheetName val="Cau_tao_gia_xay_to6"/>
      <sheetName val="SGC_RATE5"/>
      <sheetName val="Tru_TT5"/>
      <sheetName val="Thg_045"/>
      <sheetName val="Thg_055"/>
      <sheetName val="Thg_065"/>
      <sheetName val="Thg_075"/>
      <sheetName val="Thg_085"/>
      <sheetName val="Thg_095"/>
      <sheetName val="Thg_105"/>
      <sheetName val="Thg_115"/>
      <sheetName val="Thg_125"/>
      <sheetName val="5_2_1_Đo_bóc_KL_OLK-1010"/>
      <sheetName val="Bia_lot10"/>
      <sheetName val="DT_san_XD-So_lieu_cu10"/>
      <sheetName val="THPDMoi__(2)6"/>
      <sheetName val="t-h_HA_THE6"/>
      <sheetName val="TH_XL6"/>
      <sheetName val="CHITIET_VL-NC6"/>
      <sheetName val="don_gia_142610"/>
      <sheetName val="Phu_Bai_Bridge10"/>
      <sheetName val="Chu_dau_tu6"/>
      <sheetName val="THÔNG_TIN6"/>
      <sheetName val="w't_table5"/>
      <sheetName val="FF-2_(1)10"/>
      <sheetName val="YTD_12'200310"/>
      <sheetName val="YTD_06'200310"/>
      <sheetName val="YTD_03'200310"/>
      <sheetName val="YTD_09'200310"/>
      <sheetName val="deferred_taxes10"/>
      <sheetName val="Eqpmnt_Plng10"/>
      <sheetName val="TRIAL_BALANCE10"/>
      <sheetName val="DPR_31st_march10"/>
      <sheetName val="current_month10"/>
      <sheetName val="Blng__Vs_Coll_10"/>
      <sheetName val="DM_DU_AN5"/>
      <sheetName val="DM_TP_5"/>
      <sheetName val="File_Chi_tiet5"/>
      <sheetName val="Danh_mục_khối5"/>
      <sheetName val="Danh_mục_đơn_vị_-phòng_chức_nă5"/>
      <sheetName val="BẢNG_DIỄN_GIẢI_KL_(7)10"/>
      <sheetName val="Probbl_-_Production5"/>
      <sheetName val="CHI_PHÍ_NHÔM5"/>
      <sheetName val="BILL_34Āᐁë5"/>
      <sheetName val="Currency_Rate5"/>
      <sheetName val="Dashboard_-_BQL_-_VHL5"/>
      <sheetName val="KEILA_TP_2020-075"/>
      <sheetName val="CFA_(ME)5"/>
      <sheetName val="MEP_Building5"/>
      <sheetName val="BOM-13_11-Other(PS1+PS2)5"/>
      <sheetName val="2__BBNT_KLHT5"/>
      <sheetName val="Dinh_Muc_Vat_Tu5"/>
      <sheetName val="mã_5"/>
      <sheetName val="CHITIET_VL-NC-TT1p5"/>
      <sheetName val="NHOM_KINH4"/>
      <sheetName val="TH_khoi_luong5"/>
      <sheetName val="Chi_tiet_khoi_luong5"/>
      <sheetName val="TK_thep5"/>
      <sheetName val="CT_THOÁT_WC_VP5"/>
      <sheetName val="CT_CẤP_WC_VP5"/>
      <sheetName val="CT_THOÁT_MƯA_VP_TRỤC_LỚN5"/>
      <sheetName val="CT_THOÁT_MƯA_VP_TRỤC_NHỎ5"/>
      <sheetName val="LUONG_SCL5"/>
      <sheetName val="Chênh_lệch_máy_thi_công4"/>
      <sheetName val="Chênh_lệch_nhân_công4"/>
      <sheetName val="Chênh_lệch_vật_liệu4"/>
      <sheetName val="Nhập_liệu3"/>
      <sheetName val="Luong_(TP_Việt_Trì)3"/>
      <sheetName val="DG_4"/>
      <sheetName val="Chao_gia_T12_RE4"/>
      <sheetName val="DSV6_Summ3"/>
      <sheetName val="Boc_KL_DAT+CAT+BT3"/>
      <sheetName val="Boc_KL_thép3"/>
      <sheetName val="Bieu_do_nhan_luc3"/>
      <sheetName val="Don_gia_XD4"/>
      <sheetName val="Aging_Sept4"/>
      <sheetName val="0_Data3"/>
      <sheetName val="0_Data_new3"/>
      <sheetName val="Auto_Monthly_Inputs_3"/>
      <sheetName val="Service_Cost_4"/>
      <sheetName val="Don_gia_Tay_Ninh4"/>
      <sheetName val="Don_gia_Dak_Lak4"/>
      <sheetName val="streeta_and_cacth_pit4"/>
      <sheetName val="Daf_14"/>
      <sheetName val="Gia_NC_theo_TT053"/>
      <sheetName val="Khoi_luong_kenh_dan2"/>
      <sheetName val="Thep_Be_TN(tai_C10)2"/>
      <sheetName val="Sum_ELE__CAP_S1-4__3"/>
      <sheetName val="CONSOIDATE_43"/>
      <sheetName val="CONSOIDATE_23"/>
      <sheetName val="PHẦN_KIẾN_TRÚC3"/>
      <sheetName val="Land_Dev't__Ph-13"/>
      <sheetName val="Hac_Lots3"/>
      <sheetName val="4-Lane_bridge3"/>
      <sheetName val="Res_Lots3"/>
      <sheetName val="Spine_Road3"/>
      <sheetName val="Bill_23"/>
      <sheetName val="Bill_33"/>
      <sheetName val="Bill_4a_-_1A3"/>
      <sheetName val="Bill_4a_(Fiber)_-_1A3"/>
      <sheetName val="Bill_4b3"/>
      <sheetName val="Bill_4c3"/>
      <sheetName val="Bill_53"/>
      <sheetName val="Bill_4a_-_1B3"/>
      <sheetName val="Bill_4a_(Fiber)_-_1B3"/>
      <sheetName val="So_sanh_gia3"/>
      <sheetName val="Luong_2622EVN3"/>
      <sheetName val="DO_AM_DT3"/>
      <sheetName val="01__Nha_xuong3"/>
      <sheetName val="Cước_CG3"/>
      <sheetName val="MTO_REV_03"/>
      <sheetName val="NC_CU3"/>
      <sheetName val="Cuoc_3"/>
      <sheetName val="gia_chao3"/>
      <sheetName val="Vat_lieu_BTN3"/>
      <sheetName val="Bank_Rev3"/>
      <sheetName val="BP_DECLINE_IT3"/>
      <sheetName val="Input_List3"/>
      <sheetName val="Valid_data_revised3"/>
      <sheetName val="DETAIL_MIX_%_REPORT3"/>
      <sheetName val="Fill_this_out_first___3"/>
      <sheetName val="BC_chi_tiết_TT3"/>
      <sheetName val="0,SO_LIEU_DAU_VAO3"/>
      <sheetName val="Corner_Arch3"/>
      <sheetName val="End_Arch3"/>
      <sheetName val="Intermediate_Arch3"/>
      <sheetName val="reinforcement_6753"/>
      <sheetName val="ext_wall_fin_qty3"/>
      <sheetName val="SL_Plum_3"/>
      <sheetName val="Physical_Schedule_3D3"/>
      <sheetName val="Hrg_Readymix3"/>
      <sheetName val="Input_-_Facilities3"/>
      <sheetName val="BP_CAPEX_MoD-100%_Area_4_USD3"/>
      <sheetName val="DGKL_TRỤC_NGOAI_NHA3"/>
      <sheetName val="5_2_1_Đo_bóc_KL_OLK-073"/>
      <sheetName val="Da_xay_dung3"/>
      <sheetName val="Elemental_Breakdown+20%3"/>
      <sheetName val="TCVN_1651-20082"/>
      <sheetName val="Dai_tu3"/>
      <sheetName val="02__PHAN_TICH3"/>
      <sheetName val="03__NGAN_SACH3"/>
      <sheetName val="6__Scope_of_work_3"/>
      <sheetName val="4_6_Phân_tích_nhân_sự_3"/>
      <sheetName val="4_5_Mức_độ_tham_gia_dự_án3"/>
      <sheetName val="Define_finishing3"/>
      <sheetName val="Dynamic_Ranges2"/>
      <sheetName val="242_3_summaryOPC3"/>
      <sheetName val="1_1General3"/>
      <sheetName val="Gia_giao_VL_den_HT2"/>
      <sheetName val="THONG_SO_KICH_THUOC2"/>
      <sheetName val="XL4Poppy_(2)3"/>
      <sheetName val="he_so_dong_thoi2"/>
      <sheetName val="CT_-THVLNC2"/>
      <sheetName val="Thang_012"/>
      <sheetName val="Thống_kê2"/>
      <sheetName val="BAN_IN2"/>
      <sheetName val="NOVA_MEDIC2"/>
      <sheetName val="DGKL_MEDIC2"/>
      <sheetName val="ADJ_20112"/>
      <sheetName val="THCP_thiet_bi2"/>
      <sheetName val="Piano_Montaggio_PO-02_bozza22"/>
      <sheetName val="SLTh_ke2"/>
      <sheetName val="OVER_VIEW2"/>
      <sheetName val="SCOPE_OF_WORK2"/>
      <sheetName val="Listes_Caractéristiques2"/>
      <sheetName val="Liste_Référentiel2"/>
      <sheetName val="Bill_4_1a___2"/>
      <sheetName val="chi_tiet_TS_theo_so_lieu_ktoan2"/>
      <sheetName val="DS_Cty2"/>
      <sheetName val="THÁNG_052"/>
      <sheetName val="TONGKE3p_2"/>
      <sheetName val="Data_(2)2"/>
      <sheetName val="Book_1_Summary2"/>
      <sheetName val="1_설계조건2"/>
      <sheetName val="Wood_Mckenzie2"/>
      <sheetName val="Đầu_ra_sản_phẩm2"/>
      <sheetName val="Tổng_quan_và_Input2"/>
      <sheetName val="Đầu_vào_sản_xuất2"/>
      <sheetName val="Tính_toán_doanh_thu2"/>
      <sheetName val="Phân_tích_độ_nhạy2"/>
      <sheetName val="Khấu_hao_TSCĐ2"/>
      <sheetName val="Nguồn_vốn2"/>
      <sheetName val="Giải_ngân_nguồn_vốn2"/>
      <sheetName val="Tính_toán_thuế2"/>
      <sheetName val="Tính_toán_chi_phí_SX2"/>
      <sheetName val="TH_ĐƠN_GIÁ2"/>
      <sheetName val="cable,_lighting,_switch2"/>
      <sheetName val="ĐỢT_12"/>
      <sheetName val="DTXL(_270)2"/>
      <sheetName val="KL_T16_BÀN_GIAO_19_42"/>
      <sheetName val="Bldg_Brkdown2"/>
      <sheetName val="DG_VL_KS2"/>
      <sheetName val="Bill_rekap2"/>
      <sheetName val="Cash_Flow_bulanan2"/>
      <sheetName val="CươcVC_tinh2"/>
      <sheetName val="List_of_Staff2"/>
      <sheetName val="__QUOTATION_xlsx2"/>
      <sheetName val="2_5_Ducts_(2)2"/>
      <sheetName val="S_N2"/>
      <sheetName val="NHOM_KINH_2"/>
      <sheetName val="입찰내역_발주처_양식2"/>
      <sheetName val="DIEN_TICH2"/>
      <sheetName val="3_공통공사대비2"/>
      <sheetName val="Don_vi2"/>
      <sheetName val="TH_khối_lượng_phải_làm2"/>
      <sheetName val="Giá_VL,_NC,_M2"/>
      <sheetName val="Lương_2135_nhóm_I2"/>
      <sheetName val="Luong_2050_hà_NAm2"/>
      <sheetName val="Lương2045_nhóm_I2"/>
      <sheetName val="May_3_huyện2"/>
      <sheetName val="May_yên_mô2"/>
      <sheetName val="Phân_tich_ĐG2"/>
      <sheetName val="PLV_mới2"/>
      <sheetName val="May_TT11(TB)2"/>
      <sheetName val="May_TT11_(HP)2"/>
      <sheetName val="May_TT11(NB)2"/>
      <sheetName val="May_TT11(NĐ)2"/>
      <sheetName val="Lương_theo_TT17(Thái_Bình)2"/>
      <sheetName val="Lương_theo_TT17_(HP)2"/>
      <sheetName val="Lương_theo_TT17_(Ninh_Bình)2"/>
      <sheetName val="Lương_theo_TT17_(Nam_Định)2"/>
      <sheetName val="KL_CHI_TIẾT_(2)2"/>
      <sheetName val="5_Gia2"/>
      <sheetName val="Danh_sach_KV22"/>
      <sheetName val="Danh_sach_doan_KT2"/>
      <sheetName val="Loại_cọc_P22"/>
      <sheetName val="CP_NC-MTC_XD2"/>
      <sheetName val="H_Satuan2"/>
      <sheetName val="4_3_Scope_of_work_2"/>
      <sheetName val="Gia_HĐ2"/>
      <sheetName val="2__Tổng_hợp2"/>
      <sheetName val="List_Equip2"/>
      <sheetName val="Process_C_(1-166)2"/>
      <sheetName val="CF_-Update_31Jul062"/>
      <sheetName val="Executive_Summary2"/>
      <sheetName val="MAHANG_BHLD2"/>
      <sheetName val="CHITIETHOADON_TT2"/>
      <sheetName val="mahang_chinh_sua_moi_nhat2"/>
      <sheetName val="Noise_insl2"/>
      <sheetName val="Ca_may2"/>
      <sheetName val="GIA_NC,_CM2"/>
      <sheetName val="GIA_VL2"/>
      <sheetName val="13_Luong2"/>
      <sheetName val="Eq__Mobilization2"/>
      <sheetName val="Link_HG2"/>
      <sheetName val="Danhsach_122"/>
      <sheetName val="List_Danh_mục_nghiệm_thu2"/>
      <sheetName val="02__THONG_TIN_CHUNG2"/>
      <sheetName val="07__DINH_MUC_HBC2"/>
      <sheetName val="TK_SX2"/>
      <sheetName val="Rate_Analysis2"/>
      <sheetName val="Don_gia_vung_III2"/>
      <sheetName val="Don_gia_III15"/>
      <sheetName val="Don_gia_CT2"/>
      <sheetName val="PLHD_doi_cot_ham_0101-042"/>
      <sheetName val="Luong_TT052"/>
      <sheetName val="unit_weight2"/>
      <sheetName val="DIV_INC3"/>
      <sheetName val="A1_-_Income_Statement3"/>
      <sheetName val="Adj_entries_2"/>
      <sheetName val="Annexure_12"/>
      <sheetName val="Annexure_22"/>
      <sheetName val="Updated_2018_COA2"/>
      <sheetName val="IC_Listing2"/>
      <sheetName val="SLA_cost_distr_FEB_20202"/>
      <sheetName val="Legal_entities_details2"/>
      <sheetName val="Invoice_base_FEB_20202"/>
      <sheetName val="Le317_into_80502"/>
      <sheetName val="Basic_principles_to_the_distr_2"/>
      <sheetName val="Cost_elements2"/>
      <sheetName val="Ref_rate_change2"/>
      <sheetName val="Synergi_life_credit2"/>
      <sheetName val="Change_in_NH2"/>
      <sheetName val="NPS_to_O&amp;G2"/>
      <sheetName val="Income_Statement17"/>
      <sheetName val="Project_Info_2"/>
      <sheetName val="Cost_Summary2"/>
      <sheetName val="Cost_Summary_-_USD2"/>
      <sheetName val="Price_Summary_-_Offshore2"/>
      <sheetName val="Factory_&amp;_Import_Material2"/>
      <sheetName val="Labour_Hours_Upload2"/>
      <sheetName val="Technical_Info_2"/>
      <sheetName val="PM_Cost2"/>
      <sheetName val="SED_INPUT2"/>
      <sheetName val="Du_lieu_ban_dau2"/>
      <sheetName val="GZ_TP2"/>
      <sheetName val="GZ_VT2"/>
      <sheetName val="Be_tong2"/>
      <sheetName val="bar_nor2"/>
      <sheetName val="conc_nor2"/>
      <sheetName val="conc_frus2"/>
      <sheetName val="conc_trap2"/>
      <sheetName val="bar_frus2"/>
      <sheetName val="bar_trap2"/>
      <sheetName val="ĐM4970_2016(Lap_dat_TBA)2"/>
      <sheetName val="Gia_Nhan_công2"/>
      <sheetName val="Đon_gia_228_sua_chua2"/>
      <sheetName val="ĐM01_2000(thinghiem_ĐZTTĐL)2"/>
      <sheetName val="ĐM1781_2007(T_N_đien_ĐZ&amp;TBA)2"/>
      <sheetName val="Cuoc_van_chuyen2"/>
      <sheetName val="Beam_reinfocement_schedule2"/>
      <sheetName val="Thong_so_dam2"/>
      <sheetName val="Wall_Block_C2"/>
      <sheetName val="General_Schedule2"/>
      <sheetName val="Factor_F_Data2"/>
      <sheetName val="bang_1_NCXD2"/>
      <sheetName val="bang_1_NCXD_(V_I)2"/>
      <sheetName val="2__Summary-cash2"/>
      <sheetName val="May_Goc_(QD2436)2"/>
      <sheetName val="VC_theo_cuoc_tinh2"/>
      <sheetName val="BCVC__2"/>
      <sheetName val="Bang_khoi_luong1"/>
      <sheetName val="INDEX_HẠ_TẦNG2"/>
      <sheetName val="CTG_HẠ_TẦNG2"/>
      <sheetName val="DGG_HẠ_TẦNG2"/>
      <sheetName val="DGG_LB_CỌC2"/>
      <sheetName val="DGG_MT_CỌC2"/>
      <sheetName val="INFO_CỌC2"/>
      <sheetName val="INDEX_CỌC2"/>
      <sheetName val="Du_lieu_TKT2"/>
      <sheetName val="TÍNH_TOÁN_KHỐI_LƯỢNG_P62"/>
      <sheetName val="FINANCIAL_(FLR)1"/>
      <sheetName val="Bảng_dung_trọng2"/>
      <sheetName val="Tong_Luong_Thep1"/>
      <sheetName val="bang_tien_luong1"/>
      <sheetName val="1_INPUT1"/>
      <sheetName val="Phan_tich_vat_tu1"/>
      <sheetName val="Du_thau_03xd1"/>
      <sheetName val="Cost_of_DM_Water2"/>
      <sheetName val="Sch2_-_BalSht_Summary2"/>
      <sheetName val="Sch1_-_P&amp;L_Summary2"/>
      <sheetName val="Beam__2_1"/>
      <sheetName val="DETAIL_PROGRESS_CLAIM1"/>
      <sheetName val="Phan_tich_don_gia_de_xuat_-_ca1"/>
      <sheetName val="간접비_총괄표2"/>
      <sheetName val="EE_(3)1"/>
      <sheetName val="Ban_Qua_do1"/>
      <sheetName val="Dự_kiến_SL-NT_20131"/>
      <sheetName val="SL_HM-T1_20141"/>
      <sheetName val="Cost_center1"/>
      <sheetName val="Details_Sales_(local)2"/>
      <sheetName val="FA_list1"/>
      <sheetName val="Enc_3A1"/>
      <sheetName val="Fixed_Prof_Fees1"/>
      <sheetName val="BS,_PL,_Sch_5_to_91"/>
      <sheetName val="301_RTI1"/>
      <sheetName val="1__Questionnaire1"/>
      <sheetName val="Excise_on_RM1"/>
      <sheetName val="_Payroll_Empl_(Wkng)1"/>
      <sheetName val="Insight_28-6-001"/>
      <sheetName val="DL_codes1"/>
      <sheetName val="Simulator_Detail1"/>
      <sheetName val="Trnf_to_Reimb_1"/>
      <sheetName val="Power_&amp;_Fuel_(S)1"/>
      <sheetName val="Book_details1"/>
      <sheetName val="July_06-Mar_071"/>
      <sheetName val="Ctiet_Cthe1"/>
      <sheetName val="Window_Door_schedule1"/>
      <sheetName val="M_671"/>
      <sheetName val="Summary_of_My_Chanh_Bridge1"/>
      <sheetName val="My_Chanh_Bridge1"/>
      <sheetName val="Summary_of_Phu_Bai_Bridge1"/>
      <sheetName val="Summary_of_Nong_Bridge1"/>
      <sheetName val="Nong_Bridge1"/>
      <sheetName val="Summary_of_Phong_Le_Bridge1"/>
      <sheetName val="Phong_Le_Bridge1"/>
      <sheetName val="Summary_of_Ky_Lam_Bridge1"/>
      <sheetName val="Nghỉ_lễ1"/>
      <sheetName val="ﾄﾞﾊﾞｲFUEL_GAS追見1"/>
      <sheetName val="Wall_Pier1"/>
      <sheetName val="DA01_HD-List1"/>
      <sheetName val="DM01_CDT1"/>
      <sheetName val="DM02_NT1"/>
      <sheetName val="NT01_HD-List1"/>
      <sheetName val="DG_CANTHO1"/>
      <sheetName val="Check_C1"/>
      <sheetName val="BANG_TONGHOP1"/>
      <sheetName val="SUMMARY_QUANTITIES1"/>
      <sheetName val="DM_17812"/>
      <sheetName val="Giá_đến_hiện_trường1"/>
      <sheetName val="DG_2851"/>
      <sheetName val="DG__2861"/>
      <sheetName val="DG_851"/>
      <sheetName val="DG_891"/>
      <sheetName val="DGVCTC_2851"/>
      <sheetName val="M6A-208_Steering_dust1"/>
      <sheetName val="JT3_0견적-구11"/>
      <sheetName val="SELISIH_HARGA1"/>
      <sheetName val="Code_HT_CB_-OT1"/>
      <sheetName val="Code_HT_CB_-_PO1"/>
      <sheetName val="DOOR_A_(4-roof)1"/>
      <sheetName val="Door_HT1"/>
      <sheetName val="DOOR_B1_(4-roof)1"/>
      <sheetName val="DOOR_B2_(4-roof)1"/>
      <sheetName val="rate_code1"/>
      <sheetName val="Xuất_DL_AP1"/>
      <sheetName val="Xuất_DL_OT1"/>
      <sheetName val="Xuat_DL_PO1"/>
      <sheetName val="Ban_QD1"/>
      <sheetName val="SL_DT_2011so_sanh1"/>
      <sheetName val="Main_Model1"/>
      <sheetName val="Xuly_Data1"/>
      <sheetName val="Cst_Pkg-Eden1"/>
      <sheetName val="Cashflow_Analysis1"/>
      <sheetName val="Labor_Sum1"/>
      <sheetName val="Sheet1_(2)1"/>
      <sheetName val="Chi_Thao1"/>
      <sheetName val="4__Đo_bóc_KL1"/>
      <sheetName val="V_c_noi_bo1"/>
      <sheetName val="Tổng_kê1"/>
      <sheetName val="Kich_thuoc_mo_M1-nam_lay1"/>
      <sheetName val="Dau_vào1"/>
      <sheetName val="Data-SỔ_KHO1"/>
      <sheetName val="SỔ_KHO1"/>
      <sheetName val="BSD_(2)1"/>
      <sheetName val="Thông_tin_chung1"/>
      <sheetName val="B1_CN1"/>
      <sheetName val="Đường_dây1"/>
      <sheetName val="Vị_trí1"/>
      <sheetName val="Đơn_giá-NC1"/>
      <sheetName val="Đơn_giá-VL-CM1"/>
      <sheetName val="KL_CHI_TIET1"/>
      <sheetName val="Anx_101"/>
      <sheetName val="Full_20121"/>
      <sheetName val="Summary_Page_VDF1"/>
      <sheetName val="Invested_capital_VDF1"/>
      <sheetName val="BB_Contribution_by_store_T__1"/>
      <sheetName val="DG_SUA_CHUA1"/>
      <sheetName val="TAM_TINH1"/>
      <sheetName val="080_(2)2"/>
      <sheetName val="BTO_Dept_3"/>
      <sheetName val="Input_&amp;_Instruct3"/>
      <sheetName val="Purchase_Calc_2"/>
      <sheetName val="Balance_Sheet2"/>
      <sheetName val="Report_Summary2"/>
      <sheetName val="Monthly_Notes2"/>
      <sheetName val="Trial_Bal1"/>
      <sheetName val="CC_Inventory_Assumption1"/>
      <sheetName val="Validation_and_Lookup_tables1"/>
      <sheetName val="Dec__08_RDD1"/>
      <sheetName val="Int_Others1"/>
      <sheetName val="Sub_Lead1"/>
      <sheetName val="nhat_ky_1"/>
      <sheetName val="DGKL_L2_THÉP_MÓNG1"/>
      <sheetName val="Bieu_chi_tiet_gia_du_thau1"/>
      <sheetName val="Gia_vat_lieu_trong_gia_du_thau1"/>
      <sheetName val="Bang_phan_tich_don_gia_du_thau1"/>
      <sheetName val="Costos_Alt21"/>
      <sheetName val="B-10_otros_activos_20031"/>
      <sheetName val="B-10_otros_activos_20041"/>
      <sheetName val="liste_ANDI1"/>
      <sheetName val="Daily_Forwards1"/>
      <sheetName val="CREDIT_STATS1"/>
      <sheetName val="basic_inputs1"/>
      <sheetName val="INSTRUCTION_Read_me1"/>
      <sheetName val="DATOS_DE_CAMPO1"/>
      <sheetName val="Basic_Data_Inputs1"/>
      <sheetName val="Du_lieu_dau_vao1"/>
      <sheetName val="InputĠList"/>
      <sheetName val="도체종-상수표"/>
      <sheetName val="실행내역"/>
      <sheetName val="기성내역"/>
      <sheetName val="MASSPROP"/>
      <sheetName val="COLUMN-CR"/>
      <sheetName val="Dg cay"/>
      <sheetName val="Betong"/>
      <sheetName val="Vankhuon"/>
      <sheetName val="BFT"/>
      <sheetName val="Le MERIDIEN"/>
      <sheetName val="MARRIOT"/>
      <sheetName val="NOVOTEL"/>
      <sheetName val="ROYAL"/>
      <sheetName val="SPRING"/>
      <sheetName val="SUNRISE"/>
      <sheetName val="TERUMO"/>
      <sheetName val="UNITED PHARMA"/>
      <sheetName val="ctiet mong DD"/>
      <sheetName val="DMTK"/>
      <sheetName val="SMT"/>
      <sheetName val="進貨驗收明細"/>
      <sheetName val="A.16.INTERNAL ROAD"/>
      <sheetName val="内围地梁钢筋说明"/>
      <sheetName val="Productivity"/>
      <sheetName val="CPKHAC"/>
      <sheetName val="KH chi tiet 2019 (IN)"/>
      <sheetName val="C.tinh"/>
      <sheetName val="기초단가"/>
      <sheetName val="TN_M"/>
      <sheetName val="kich thuoc chung"/>
      <sheetName val="So lieu"/>
      <sheetName val="FILE"/>
      <sheetName val="GIA TRI"/>
      <sheetName val="BM.07.DCCCVT"/>
      <sheetName val="XLP"/>
      <sheetName val="TONG"/>
      <sheetName val="HOLE PILE"/>
      <sheetName val="L45M"/>
      <sheetName val="L50M"/>
      <sheetName val="T,L45M"/>
      <sheetName val="T,L50M"/>
      <sheetName val="KL-C1"/>
      <sheetName val="KL13"/>
      <sheetName val="KL14"/>
      <sheetName val="KL15"/>
      <sheetName val="Tong hop1"/>
      <sheetName val="KLTK"/>
      <sheetName val="LISTNT"/>
      <sheetName val="TKLT"/>
      <sheetName val="Mã vật tư"/>
      <sheetName val="GTXL2"/>
      <sheetName val="KL16"/>
      <sheetName val="KL17"/>
      <sheetName val="KL18"/>
      <sheetName val="KL19"/>
      <sheetName val="KL20"/>
      <sheetName val="KL21"/>
      <sheetName val="KL22"/>
      <sheetName val="KL23"/>
      <sheetName val="KL24"/>
      <sheetName val="KL25"/>
      <sheetName val="KL26"/>
      <sheetName val="KL27"/>
      <sheetName val="KL28"/>
      <sheetName val="KL29"/>
      <sheetName val="KL30"/>
      <sheetName val="KL31"/>
      <sheetName val="KL32"/>
      <sheetName val="KL33"/>
      <sheetName val="KL34"/>
      <sheetName val="KL35"/>
      <sheetName val="KL36"/>
      <sheetName val="KL37"/>
      <sheetName val="KL38"/>
      <sheetName val="KL39"/>
      <sheetName val="KL40"/>
      <sheetName val="KL41"/>
      <sheetName val="KL42"/>
      <sheetName val="KL43"/>
      <sheetName val="KL44"/>
      <sheetName val="KL45"/>
      <sheetName val="KL46"/>
      <sheetName val="KL47"/>
      <sheetName val="KL48"/>
      <sheetName val="KL49"/>
      <sheetName val="KL50"/>
      <sheetName val="KL51"/>
      <sheetName val="KL52"/>
      <sheetName val="KL53"/>
      <sheetName val="KL54"/>
      <sheetName val="KL55"/>
      <sheetName val="KL56"/>
      <sheetName val="KL57"/>
      <sheetName val="KL58"/>
      <sheetName val="MTC"/>
      <sheetName val="KL Lớp"/>
      <sheetName val="Doan"/>
      <sheetName val="THAN"/>
      <sheetName val="DT KHOAN DS"/>
      <sheetName val="Cước bộ"/>
      <sheetName val="wHaTiSnAmE"/>
      <sheetName val="NT vat lieu"/>
      <sheetName val=" GULF"/>
      <sheetName val="Category"/>
      <sheetName val="DETAIL_THEP"/>
      <sheetName val="NK_EPCOC"/>
      <sheetName val="INPUT_HOP_DONG"/>
      <sheetName val="THUC_HIEN"/>
      <sheetName val="Moc"/>
      <sheetName val="pag 12 "/>
      <sheetName val="lived_load"/>
      <sheetName val="TDT"/>
      <sheetName val="Gia NC theo QD 3987-QD-UBND"/>
      <sheetName val="Beam Calculate"/>
      <sheetName val="CAD"/>
      <sheetName val="NC_May"/>
      <sheetName val="DLHG"/>
      <sheetName val="Nut giao"/>
      <sheetName val="BS 8666-2005 + 272-05"/>
      <sheetName val="Than cong D2"/>
      <sheetName val="ASTM A615M"/>
      <sheetName val="Than cong"/>
      <sheetName val="CB400-V"/>
      <sheetName val="CB240-T"/>
      <sheetName val="TTin"/>
      <sheetName val="Bang du lieu"/>
      <sheetName val="Danh muc tieu chuan"/>
      <sheetName val="MÁY_PHÁT"/>
      <sheetName val="CT35"/>
      <sheetName val="Dau vao"/>
      <sheetName val="10.TM cũ"/>
      <sheetName val="lý trình"/>
      <sheetName val="KT1"/>
      <sheetName val="PYC 1"/>
      <sheetName val="Đ1 - BTM"/>
      <sheetName val="CVXD"/>
      <sheetName val="gia chung tính m2"/>
      <sheetName val="TK KT CAU KIEN"/>
      <sheetName val="Noi luc"/>
      <sheetName val="Data_NT"/>
      <sheetName val="Pile-Br-Capacity"/>
      <sheetName val="bang luong thang 6"/>
      <sheetName val="LTMay"/>
      <sheetName val="Nlieu"/>
      <sheetName val="Biểu mẫu số 2"/>
      <sheetName val="F01-BC_KHAU_PHAN_SANG_2_x0000__31"/>
      <sheetName val="Bill_05_-_Hoan_thien-To_x0003_er3"/>
      <sheetName val="F01-BC_KHAU_PHAN_SANG_2"/>
      <sheetName val="Closing"/>
      <sheetName val="F01-BC_KHAU_PHAN_SANG_2_31"/>
      <sheetName val="평3"/>
      <sheetName val="확산동"/>
      <sheetName val="XD VA PHU TRO"/>
      <sheetName val="Phan tich DG"/>
      <sheetName val="우수공"/>
      <sheetName val="TL-Goc Ko in"/>
      <sheetName val="Khong xo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sheetData sheetId="8286"/>
      <sheetData sheetId="8287">
        <row r="4">
          <cell r="A4" t="str">
            <v>BẢNG TÍNH TOÁN, ĐO BÓC KHỐI LƯỢNG HOÀN THÀNH ĐƯA VÀO QUYẾT TOÁN</v>
          </cell>
        </row>
      </sheetData>
      <sheetData sheetId="8288">
        <row r="4">
          <cell r="A4" t="str">
            <v>BẢNG TÍNH TOÁN, ĐO BÓC KHỐI LƯỢNG HOÀN THÀNH ĐƯA VÀO QUYẾT TOÁN</v>
          </cell>
        </row>
      </sheetData>
      <sheetData sheetId="8289">
        <row r="4">
          <cell r="A4" t="str">
            <v>BẢNG TÍNH TOÁN, ĐO BÓC KHỐI LƯỢNG HOÀN THÀNH ĐƯA VÀO QUYẾT TOÁN</v>
          </cell>
        </row>
      </sheetData>
      <sheetData sheetId="8290">
        <row r="4">
          <cell r="A4" t="str">
            <v>BẢNG TÍNH TOÁN, ĐO BÓC KHỐI LƯỢNG HOÀN THÀNH ĐƯA VÀO QUYẾT TOÁN</v>
          </cell>
        </row>
      </sheetData>
      <sheetData sheetId="8291">
        <row r="4">
          <cell r="A4" t="str">
            <v>BẢNG TÍNH TOÁN, ĐO BÓC KHỐI LƯỢNG HOÀN THÀNH ĐƯA VÀO QUYẾT TOÁN</v>
          </cell>
        </row>
      </sheetData>
      <sheetData sheetId="8292" refreshError="1"/>
      <sheetData sheetId="8293">
        <row r="4">
          <cell r="A4" t="str">
            <v>BẢNG TÍNH TOÁN, ĐO BÓC KHỐI LƯỢNG HOÀN THÀNH ĐƯA VÀO QUYẾT TOÁN</v>
          </cell>
        </row>
      </sheetData>
      <sheetData sheetId="8294">
        <row r="4">
          <cell r="A4" t="str">
            <v>BẢNG TÍNH TOÁN, ĐO BÓC KHỐI LƯỢNG HOÀN THÀNH ĐƯA VÀO QUYẾT TOÁN</v>
          </cell>
        </row>
      </sheetData>
      <sheetData sheetId="8295">
        <row r="4">
          <cell r="A4" t="str">
            <v>BẢNG TÍNH TOÁN, ĐO BÓC KHỐI LƯỢNG HOÀN THÀNH ĐƯA VÀO QUYẾT TOÁN</v>
          </cell>
        </row>
      </sheetData>
      <sheetData sheetId="8296">
        <row r="4">
          <cell r="A4" t="str">
            <v>BẢNG TÍNH TOÁN, ĐO BÓC KHỐI LƯỢNG HOÀN THÀNH ĐƯA VÀO QUYẾT TOÁN</v>
          </cell>
        </row>
      </sheetData>
      <sheetData sheetId="8297">
        <row r="4">
          <cell r="A4" t="str">
            <v>BẢNG TÍNH TOÁN, ĐO BÓC KHỐI LƯỢNG HOÀN THÀNH ĐƯA VÀO QUYẾT TOÁN</v>
          </cell>
        </row>
      </sheetData>
      <sheetData sheetId="8298">
        <row r="4">
          <cell r="A4" t="str">
            <v>BẢNG TÍNH TOÁN, ĐO BÓC KHỐI LƯỢNG HOÀN THÀNH ĐƯA VÀO QUYẾT TOÁN</v>
          </cell>
        </row>
      </sheetData>
      <sheetData sheetId="8299">
        <row r="4">
          <cell r="A4" t="str">
            <v>BẢNG TÍNH TOÁN, ĐO BÓC KHỐI LƯỢNG HOÀN THÀNH ĐƯA VÀO QUYẾT TOÁN</v>
          </cell>
        </row>
      </sheetData>
      <sheetData sheetId="8300">
        <row r="4">
          <cell r="A4" t="str">
            <v>BẢNG TÍNH TOÁN, ĐO BÓC KHỐI LƯỢNG HOÀN THÀNH ĐƯA VÀO QUYẾT TOÁN</v>
          </cell>
        </row>
      </sheetData>
      <sheetData sheetId="8301">
        <row r="4">
          <cell r="A4" t="str">
            <v>BẢNG TÍNH TOÁN, ĐO BÓC KHỐI LƯỢNG HOÀN THÀNH ĐƯA VÀO QUYẾT TOÁN</v>
          </cell>
        </row>
      </sheetData>
      <sheetData sheetId="8302">
        <row r="4">
          <cell r="A4" t="str">
            <v>BẢNG TÍNH TOÁN, ĐO BÓC KHỐI LƯỢNG HOÀN THÀNH ĐƯA VÀO QUYẾT TOÁN</v>
          </cell>
        </row>
      </sheetData>
      <sheetData sheetId="8303">
        <row r="4">
          <cell r="A4" t="str">
            <v>BẢNG TÍNH TOÁN, ĐO BÓC KHỐI LƯỢNG HOÀN THÀNH ĐƯA VÀO QUYẾT TOÁN</v>
          </cell>
        </row>
      </sheetData>
      <sheetData sheetId="8304">
        <row r="4">
          <cell r="A4" t="str">
            <v>BẢNG TÍNH TOÁN, ĐO BÓC KHỐI LƯỢNG HOÀN THÀNH ĐƯA VÀO QUYẾT TOÁN</v>
          </cell>
        </row>
      </sheetData>
      <sheetData sheetId="8305">
        <row r="4">
          <cell r="A4" t="str">
            <v>BẢNG TÍNH TOÁN, ĐO BÓC KHỐI LƯỢNG HOÀN THÀNH ĐƯA VÀO QUYẾT TOÁN</v>
          </cell>
        </row>
      </sheetData>
      <sheetData sheetId="8306">
        <row r="4">
          <cell r="A4" t="str">
            <v>BẢNG TÍNH TOÁN, ĐO BÓC KHỐI LƯỢNG HOÀN THÀNH ĐƯA VÀO QUYẾT TOÁN</v>
          </cell>
        </row>
      </sheetData>
      <sheetData sheetId="8307">
        <row r="4">
          <cell r="A4" t="str">
            <v>BẢNG TÍNH TOÁN, ĐO BÓC KHỐI LƯỢNG HOÀN THÀNH ĐƯA VÀO QUYẾT TOÁN</v>
          </cell>
        </row>
      </sheetData>
      <sheetData sheetId="8308">
        <row r="4">
          <cell r="A4" t="str">
            <v>BẢNG TÍNH TOÁN, ĐO BÓC KHỐI LƯỢNG HOÀN THÀNH ĐƯA VÀO QUYẾT TOÁN</v>
          </cell>
        </row>
      </sheetData>
      <sheetData sheetId="8309">
        <row r="4">
          <cell r="A4" t="str">
            <v>BẢNG TÍNH TOÁN, ĐO BÓC KHỐI LƯỢNG HOÀN THÀNH ĐƯA VÀO QUYẾT TOÁN</v>
          </cell>
        </row>
      </sheetData>
      <sheetData sheetId="8310">
        <row r="4">
          <cell r="A4" t="str">
            <v>BẢNG TÍNH TOÁN, ĐO BÓC KHỐI LƯỢNG HOÀN THÀNH ĐƯA VÀO QUYẾT TOÁN</v>
          </cell>
        </row>
      </sheetData>
      <sheetData sheetId="8311">
        <row r="4">
          <cell r="A4" t="str">
            <v>BẢNG TÍNH TOÁN, ĐO BÓC KHỐI LƯỢNG HOÀN THÀNH ĐƯA VÀO QUYẾT TOÁN</v>
          </cell>
        </row>
      </sheetData>
      <sheetData sheetId="8312">
        <row r="4">
          <cell r="A4" t="str">
            <v>BẢNG TÍNH TOÁN, ĐO BÓC KHỐI LƯỢNG HOÀN THÀNH ĐƯA VÀO QUYẾT TOÁN</v>
          </cell>
        </row>
      </sheetData>
      <sheetData sheetId="8313">
        <row r="4">
          <cell r="A4" t="str">
            <v>BẢNG TÍNH TOÁN, ĐO BÓC KHỐI LƯỢNG HOÀN THÀNH ĐƯA VÀO QUYẾT TOÁN</v>
          </cell>
        </row>
      </sheetData>
      <sheetData sheetId="8314">
        <row r="4">
          <cell r="A4" t="str">
            <v>BẢNG TÍNH TOÁN, ĐO BÓC KHỐI LƯỢNG HOÀN THÀNH ĐƯA VÀO QUYẾT TOÁN</v>
          </cell>
        </row>
      </sheetData>
      <sheetData sheetId="8315">
        <row r="4">
          <cell r="A4" t="str">
            <v>BẢNG TÍNH TOÁN, ĐO BÓC KHỐI LƯỢNG HOÀN THÀNH ĐƯA VÀO QUYẾT TOÁN</v>
          </cell>
        </row>
      </sheetData>
      <sheetData sheetId="8316">
        <row r="4">
          <cell r="A4" t="str">
            <v>BẢNG TÍNH TOÁN, ĐO BÓC KHỐI LƯỢNG HOÀN THÀNH ĐƯA VÀO QUYẾT TOÁN</v>
          </cell>
        </row>
      </sheetData>
      <sheetData sheetId="8317">
        <row r="4">
          <cell r="A4" t="str">
            <v>BẢNG TÍNH TOÁN, ĐO BÓC KHỐI LƯỢNG HOÀN THÀNH ĐƯA VÀO QUYẾT TOÁN</v>
          </cell>
        </row>
      </sheetData>
      <sheetData sheetId="8318">
        <row r="4">
          <cell r="A4" t="str">
            <v>BẢNG TÍNH TOÁN, ĐO BÓC KHỐI LƯỢNG HOÀN THÀNH ĐƯA VÀO QUYẾT TOÁN</v>
          </cell>
        </row>
      </sheetData>
      <sheetData sheetId="8319">
        <row r="4">
          <cell r="A4" t="str">
            <v>BẢNG TÍNH TOÁN, ĐO BÓC KHỐI LƯỢNG HOÀN THÀNH ĐƯA VÀO QUYẾT TOÁN</v>
          </cell>
        </row>
      </sheetData>
      <sheetData sheetId="8320">
        <row r="4">
          <cell r="A4" t="str">
            <v>BẢNG TÍNH TOÁN, ĐO BÓC KHỐI LƯỢNG HOÀN THÀNH ĐƯA VÀO QUYẾT TOÁN</v>
          </cell>
        </row>
      </sheetData>
      <sheetData sheetId="8321">
        <row r="4">
          <cell r="A4" t="str">
            <v>BẢNG TÍNH TOÁN, ĐO BÓC KHỐI LƯỢNG HOÀN THÀNH ĐƯA VÀO QUYẾT TOÁN</v>
          </cell>
        </row>
      </sheetData>
      <sheetData sheetId="8322">
        <row r="4">
          <cell r="A4" t="str">
            <v>BẢNG TÍNH TOÁN, ĐO BÓC KHỐI LƯỢNG HOÀN THÀNH ĐƯA VÀO QUYẾT TOÁN</v>
          </cell>
        </row>
      </sheetData>
      <sheetData sheetId="8323">
        <row r="4">
          <cell r="A4" t="str">
            <v>BẢNG TÍNH TOÁN, ĐO BÓC KHỐI LƯỢNG HOÀN THÀNH ĐƯA VÀO QUYẾT TOÁN</v>
          </cell>
        </row>
      </sheetData>
      <sheetData sheetId="8324">
        <row r="4">
          <cell r="A4" t="str">
            <v>BẢNG TÍNH TOÁN, ĐO BÓC KHỐI LƯỢNG HOÀN THÀNH ĐƯA VÀO QUYẾT TOÁN</v>
          </cell>
        </row>
      </sheetData>
      <sheetData sheetId="8325">
        <row r="4">
          <cell r="A4" t="str">
            <v>BẢNG TÍNH TOÁN, ĐO BÓC KHỐI LƯỢNG HOÀN THÀNH ĐƯA VÀO QUYẾT TOÁN</v>
          </cell>
        </row>
      </sheetData>
      <sheetData sheetId="8326">
        <row r="4">
          <cell r="A4" t="str">
            <v>BẢNG TÍNH TOÁN, ĐO BÓC KHỐI LƯỢNG HOÀN THÀNH ĐƯA VÀO QUYẾT TOÁN</v>
          </cell>
        </row>
      </sheetData>
      <sheetData sheetId="8327">
        <row r="4">
          <cell r="A4" t="str">
            <v>BẢNG TÍNH TOÁN, ĐO BÓC KHỐI LƯỢNG HOÀN THÀNH ĐƯA VÀO QUYẾT TOÁN</v>
          </cell>
        </row>
      </sheetData>
      <sheetData sheetId="8328">
        <row r="4">
          <cell r="A4" t="str">
            <v>BẢNG TÍNH TOÁN, ĐO BÓC KHỐI LƯỢNG HOÀN THÀNH ĐƯA VÀO QUYẾT TOÁN</v>
          </cell>
        </row>
      </sheetData>
      <sheetData sheetId="8329">
        <row r="4">
          <cell r="A4" t="str">
            <v>BẢNG TÍNH TOÁN, ĐO BÓC KHỐI LƯỢNG HOÀN THÀNH ĐƯA VÀO QUYẾT TOÁN</v>
          </cell>
        </row>
      </sheetData>
      <sheetData sheetId="8330">
        <row r="4">
          <cell r="A4" t="str">
            <v>BẢNG TÍNH TOÁN, ĐO BÓC KHỐI LƯỢNG HOÀN THÀNH ĐƯA VÀO QUYẾT TOÁN</v>
          </cell>
        </row>
      </sheetData>
      <sheetData sheetId="8331">
        <row r="4">
          <cell r="A4" t="str">
            <v>BẢNG TÍNH TOÁN, ĐO BÓC KHỐI LƯỢNG HOÀN THÀNH ĐƯA VÀO QUYẾT TOÁN</v>
          </cell>
        </row>
      </sheetData>
      <sheetData sheetId="8332">
        <row r="4">
          <cell r="A4" t="str">
            <v>BẢNG TÍNH TOÁN, ĐO BÓC KHỐI LƯỢNG HOÀN THÀNH ĐƯA VÀO QUYẾT TOÁN</v>
          </cell>
        </row>
      </sheetData>
      <sheetData sheetId="8333">
        <row r="4">
          <cell r="A4" t="str">
            <v>BẢNG TÍNH TOÁN, ĐO BÓC KHỐI LƯỢNG HOÀN THÀNH ĐƯA VÀO QUYẾT TOÁN</v>
          </cell>
        </row>
      </sheetData>
      <sheetData sheetId="8334">
        <row r="4">
          <cell r="A4" t="str">
            <v>BẢNG TÍNH TOÁN, ĐO BÓC KHỐI LƯỢNG HOÀN THÀNH ĐƯA VÀO QUYẾT TOÁN</v>
          </cell>
        </row>
      </sheetData>
      <sheetData sheetId="8335">
        <row r="4">
          <cell r="A4" t="str">
            <v>BẢNG TÍNH TOÁN, ĐO BÓC KHỐI LƯỢNG HOÀN THÀNH ĐƯA VÀO QUYẾT TOÁN</v>
          </cell>
        </row>
      </sheetData>
      <sheetData sheetId="8336">
        <row r="4">
          <cell r="A4" t="str">
            <v>BẢNG TÍNH TOÁN, ĐO BÓC KHỐI LƯỢNG HOÀN THÀNH ĐƯA VÀO QUYẾT TOÁN</v>
          </cell>
        </row>
      </sheetData>
      <sheetData sheetId="8337">
        <row r="4">
          <cell r="A4" t="str">
            <v>BẢNG TÍNH TOÁN, ĐO BÓC KHỐI LƯỢNG HOÀN THÀNH ĐƯA VÀO QUYẾT TOÁN</v>
          </cell>
        </row>
      </sheetData>
      <sheetData sheetId="8338">
        <row r="4">
          <cell r="A4" t="str">
            <v>BẢNG TÍNH TOÁN, ĐO BÓC KHỐI LƯỢNG HOÀN THÀNH ĐƯA VÀO QUYẾT TOÁN</v>
          </cell>
        </row>
      </sheetData>
      <sheetData sheetId="8339">
        <row r="4">
          <cell r="A4" t="str">
            <v>BẢNG TÍNH TOÁN, ĐO BÓC KHỐI LƯỢNG HOÀN THÀNH ĐƯA VÀO QUYẾT TOÁN</v>
          </cell>
        </row>
      </sheetData>
      <sheetData sheetId="8340">
        <row r="4">
          <cell r="A4" t="str">
            <v>BẢNG TÍNH TOÁN, ĐO BÓC KHỐI LƯỢNG HOÀN THÀNH ĐƯA VÀO QUYẾT TOÁN</v>
          </cell>
        </row>
      </sheetData>
      <sheetData sheetId="8341">
        <row r="4">
          <cell r="A4" t="str">
            <v>BẢNG TÍNH TOÁN, ĐO BÓC KHỐI LƯỢNG HOÀN THÀNH ĐƯA VÀO QUYẾT TOÁN</v>
          </cell>
        </row>
      </sheetData>
      <sheetData sheetId="8342">
        <row r="4">
          <cell r="A4" t="str">
            <v>BẢNG TÍNH TOÁN, ĐO BÓC KHỐI LƯỢNG HOÀN THÀNH ĐƯA VÀO QUYẾT TOÁN</v>
          </cell>
        </row>
      </sheetData>
      <sheetData sheetId="8343">
        <row r="4">
          <cell r="A4" t="str">
            <v>BẢNG TÍNH TOÁN, ĐO BÓC KHỐI LƯỢNG HOÀN THÀNH ĐƯA VÀO QUYẾT TOÁN</v>
          </cell>
        </row>
      </sheetData>
      <sheetData sheetId="8344">
        <row r="4">
          <cell r="A4" t="str">
            <v>BẢNG TÍNH TOÁN, ĐO BÓC KHỐI LƯỢNG HOÀN THÀNH ĐƯA VÀO QUYẾT TOÁN</v>
          </cell>
        </row>
      </sheetData>
      <sheetData sheetId="8345">
        <row r="4">
          <cell r="A4" t="str">
            <v>BẢNG TÍNH TOÁN, ĐO BÓC KHỐI LƯỢNG HOÀN THÀNH ĐƯA VÀO QUYẾT TOÁN</v>
          </cell>
        </row>
      </sheetData>
      <sheetData sheetId="8346">
        <row r="4">
          <cell r="A4" t="str">
            <v>BẢNG TÍNH TOÁN, ĐO BÓC KHỐI LƯỢNG HOÀN THÀNH ĐƯA VÀO QUYẾT TOÁN</v>
          </cell>
        </row>
      </sheetData>
      <sheetData sheetId="8347">
        <row r="4">
          <cell r="A4" t="str">
            <v>BẢNG TÍNH TOÁN, ĐO BÓC KHỐI LƯỢNG HOÀN THÀNH ĐƯA VÀO QUYẾT TOÁN</v>
          </cell>
        </row>
      </sheetData>
      <sheetData sheetId="8348">
        <row r="4">
          <cell r="A4" t="str">
            <v>BẢNG TÍNH TOÁN, ĐO BÓC KHỐI LƯỢNG HOÀN THÀNH ĐƯA VÀO QUYẾT TOÁN</v>
          </cell>
        </row>
      </sheetData>
      <sheetData sheetId="8349">
        <row r="4">
          <cell r="A4" t="str">
            <v>BẢNG TÍNH TOÁN, ĐO BÓC KHỐI LƯỢNG HOÀN THÀNH ĐƯA VÀO QUYẾT TOÁN</v>
          </cell>
        </row>
      </sheetData>
      <sheetData sheetId="8350">
        <row r="4">
          <cell r="A4" t="str">
            <v>BẢNG TÍNH TOÁN, ĐO BÓC KHỐI LƯỢNG HOÀN THÀNH ĐƯA VÀO QUYẾT TOÁN</v>
          </cell>
        </row>
      </sheetData>
      <sheetData sheetId="8351">
        <row r="4">
          <cell r="A4" t="str">
            <v>BẢNG TÍNH TOÁN, ĐO BÓC KHỐI LƯỢNG HOÀN THÀNH ĐƯA VÀO QUYẾT TOÁN</v>
          </cell>
        </row>
      </sheetData>
      <sheetData sheetId="8352">
        <row r="4">
          <cell r="A4" t="str">
            <v>BẢNG TÍNH TOÁN, ĐO BÓC KHỐI LƯỢNG HOÀN THÀNH ĐƯA VÀO QUYẾT TOÁN</v>
          </cell>
        </row>
      </sheetData>
      <sheetData sheetId="8353">
        <row r="4">
          <cell r="A4" t="str">
            <v>BẢNG TÍNH TOÁN, ĐO BÓC KHỐI LƯỢNG HOÀN THÀNH ĐƯA VÀO QUYẾT TOÁN</v>
          </cell>
        </row>
      </sheetData>
      <sheetData sheetId="8354">
        <row r="4">
          <cell r="A4" t="str">
            <v>BẢNG TÍNH TOÁN, ĐO BÓC KHỐI LƯỢNG HOÀN THÀNH ĐƯA VÀO QUYẾT TOÁN</v>
          </cell>
        </row>
      </sheetData>
      <sheetData sheetId="8355">
        <row r="4">
          <cell r="A4" t="str">
            <v>BẢNG TÍNH TOÁN, ĐO BÓC KHỐI LƯỢNG HOÀN THÀNH ĐƯA VÀO QUYẾT TOÁN</v>
          </cell>
        </row>
      </sheetData>
      <sheetData sheetId="8356">
        <row r="4">
          <cell r="A4" t="str">
            <v>BẢNG TÍNH TOÁN, ĐO BÓC KHỐI LƯỢNG HOÀN THÀNH ĐƯA VÀO QUYẾT TOÁN</v>
          </cell>
        </row>
      </sheetData>
      <sheetData sheetId="8357">
        <row r="4">
          <cell r="A4" t="str">
            <v>BẢNG TÍNH TOÁN, ĐO BÓC KHỐI LƯỢNG HOÀN THÀNH ĐƯA VÀO QUYẾT TOÁN</v>
          </cell>
        </row>
      </sheetData>
      <sheetData sheetId="8358">
        <row r="4">
          <cell r="A4" t="str">
            <v>BẢNG TÍNH TOÁN, ĐO BÓC KHỐI LƯỢNG HOÀN THÀNH ĐƯA VÀO QUYẾT TOÁN</v>
          </cell>
        </row>
      </sheetData>
      <sheetData sheetId="8359">
        <row r="4">
          <cell r="A4" t="str">
            <v>BẢNG TÍNH TOÁN, ĐO BÓC KHỐI LƯỢNG HOÀN THÀNH ĐƯA VÀO QUYẾT TOÁN</v>
          </cell>
        </row>
      </sheetData>
      <sheetData sheetId="8360">
        <row r="4">
          <cell r="A4" t="str">
            <v>BẢNG TÍNH TOÁN, ĐO BÓC KHỐI LƯỢNG HOÀN THÀNH ĐƯA VÀO QUYẾT TOÁN</v>
          </cell>
        </row>
      </sheetData>
      <sheetData sheetId="8361">
        <row r="4">
          <cell r="A4" t="str">
            <v>BẢNG TÍNH TOÁN, ĐO BÓC KHỐI LƯỢNG HOÀN THÀNH ĐƯA VÀO QUYẾT TOÁN</v>
          </cell>
        </row>
      </sheetData>
      <sheetData sheetId="8362">
        <row r="4">
          <cell r="A4" t="str">
            <v>BẢNG TÍNH TOÁN, ĐO BÓC KHỐI LƯỢNG HOÀN THÀNH ĐƯA VÀO QUYẾT TOÁN</v>
          </cell>
        </row>
      </sheetData>
      <sheetData sheetId="8363">
        <row r="4">
          <cell r="A4" t="str">
            <v>BẢNG TÍNH TOÁN, ĐO BÓC KHỐI LƯỢNG HOÀN THÀNH ĐƯA VÀO QUYẾT TOÁN</v>
          </cell>
        </row>
      </sheetData>
      <sheetData sheetId="8364">
        <row r="4">
          <cell r="A4" t="str">
            <v>BẢNG TÍNH TOÁN, ĐO BÓC KHỐI LƯỢNG HOÀN THÀNH ĐƯA VÀO QUYẾT TOÁN</v>
          </cell>
        </row>
      </sheetData>
      <sheetData sheetId="8365">
        <row r="4">
          <cell r="A4" t="str">
            <v>BẢNG TÍNH TOÁN, ĐO BÓC KHỐI LƯỢNG HOÀN THÀNH ĐƯA VÀO QUYẾT TOÁN</v>
          </cell>
        </row>
      </sheetData>
      <sheetData sheetId="8366">
        <row r="4">
          <cell r="A4" t="str">
            <v>BẢNG TÍNH TOÁN, ĐO BÓC KHỐI LƯỢNG HOÀN THÀNH ĐƯA VÀO QUYẾT TOÁN</v>
          </cell>
        </row>
      </sheetData>
      <sheetData sheetId="8367">
        <row r="4">
          <cell r="A4" t="str">
            <v>BẢNG TÍNH TOÁN, ĐO BÓC KHỐI LƯỢNG HOÀN THÀNH ĐƯA VÀO QUYẾT TOÁN</v>
          </cell>
        </row>
      </sheetData>
      <sheetData sheetId="8368">
        <row r="4">
          <cell r="A4" t="str">
            <v>BẢNG TÍNH TOÁN, ĐO BÓC KHỐI LƯỢNG HOÀN THÀNH ĐƯA VÀO QUYẾT TOÁN</v>
          </cell>
        </row>
      </sheetData>
      <sheetData sheetId="8369">
        <row r="4">
          <cell r="A4" t="str">
            <v>BẢNG TÍNH TOÁN, ĐO BÓC KHỐI LƯỢNG HOÀN THÀNH ĐƯA VÀO QUYẾT TOÁN</v>
          </cell>
        </row>
      </sheetData>
      <sheetData sheetId="8370">
        <row r="4">
          <cell r="A4" t="str">
            <v>BẢNG TÍNH TOÁN, ĐO BÓC KHỐI LƯỢNG HOÀN THÀNH ĐƯA VÀO QUYẾT TOÁN</v>
          </cell>
        </row>
      </sheetData>
      <sheetData sheetId="8371">
        <row r="4">
          <cell r="A4" t="str">
            <v>BẢNG TÍNH TOÁN, ĐO BÓC KHỐI LƯỢNG HOÀN THÀNH ĐƯA VÀO QUYẾT TOÁN</v>
          </cell>
        </row>
      </sheetData>
      <sheetData sheetId="8372">
        <row r="4">
          <cell r="A4" t="str">
            <v>BẢNG TÍNH TOÁN, ĐO BÓC KHỐI LƯỢNG HOÀN THÀNH ĐƯA VÀO QUYẾT TOÁN</v>
          </cell>
        </row>
      </sheetData>
      <sheetData sheetId="8373">
        <row r="4">
          <cell r="A4" t="str">
            <v>BẢNG TÍNH TOÁN, ĐO BÓC KHỐI LƯỢNG HOÀN THÀNH ĐƯA VÀO QUYẾT TOÁN</v>
          </cell>
        </row>
      </sheetData>
      <sheetData sheetId="8374">
        <row r="4">
          <cell r="A4" t="str">
            <v>BẢNG TÍNH TOÁN, ĐO BÓC KHỐI LƯỢNG HOÀN THÀNH ĐƯA VÀO QUYẾT TOÁN</v>
          </cell>
        </row>
      </sheetData>
      <sheetData sheetId="8375">
        <row r="4">
          <cell r="A4" t="str">
            <v>BẢNG TÍNH TOÁN, ĐO BÓC KHỐI LƯỢNG HOÀN THÀNH ĐƯA VÀO QUYẾT TOÁN</v>
          </cell>
        </row>
      </sheetData>
      <sheetData sheetId="8376">
        <row r="4">
          <cell r="A4" t="str">
            <v>BẢNG TÍNH TOÁN, ĐO BÓC KHỐI LƯỢNG HOÀN THÀNH ĐƯA VÀO QUYẾT TOÁN</v>
          </cell>
        </row>
      </sheetData>
      <sheetData sheetId="8377">
        <row r="4">
          <cell r="A4" t="str">
            <v>BẢNG TÍNH TOÁN, ĐO BÓC KHỐI LƯỢNG HOÀN THÀNH ĐƯA VÀO QUYẾT TOÁN</v>
          </cell>
        </row>
      </sheetData>
      <sheetData sheetId="8378">
        <row r="4">
          <cell r="A4" t="str">
            <v>BẢNG TÍNH TOÁN, ĐO BÓC KHỐI LƯỢNG HOÀN THÀNH ĐƯA VÀO QUYẾT TOÁN</v>
          </cell>
        </row>
      </sheetData>
      <sheetData sheetId="8379">
        <row r="4">
          <cell r="A4" t="str">
            <v>BẢNG TÍNH TOÁN, ĐO BÓC KHỐI LƯỢNG HOÀN THÀNH ĐƯA VÀO QUYẾT TOÁN</v>
          </cell>
        </row>
      </sheetData>
      <sheetData sheetId="8380">
        <row r="4">
          <cell r="A4" t="str">
            <v>BẢNG TÍNH TOÁN, ĐO BÓC KHỐI LƯỢNG HOÀN THÀNH ĐƯA VÀO QUYẾT TOÁN</v>
          </cell>
        </row>
      </sheetData>
      <sheetData sheetId="8381">
        <row r="4">
          <cell r="A4" t="str">
            <v>BẢNG TÍNH TOÁN, ĐO BÓC KHỐI LƯỢNG HOÀN THÀNH ĐƯA VÀO QUYẾT TOÁN</v>
          </cell>
        </row>
      </sheetData>
      <sheetData sheetId="8382">
        <row r="4">
          <cell r="A4" t="str">
            <v>BẢNG TÍNH TOÁN, ĐO BÓC KHỐI LƯỢNG HOÀN THÀNH ĐƯA VÀO QUYẾT TOÁN</v>
          </cell>
        </row>
      </sheetData>
      <sheetData sheetId="8383">
        <row r="4">
          <cell r="A4" t="str">
            <v>BẢNG TÍNH TOÁN, ĐO BÓC KHỐI LƯỢNG HOÀN THÀNH ĐƯA VÀO QUYẾT TOÁN</v>
          </cell>
        </row>
      </sheetData>
      <sheetData sheetId="8384">
        <row r="4">
          <cell r="A4" t="str">
            <v>BẢNG TÍNH TOÁN, ĐO BÓC KHỐI LƯỢNG HOÀN THÀNH ĐƯA VÀO QUYẾT TOÁN</v>
          </cell>
        </row>
      </sheetData>
      <sheetData sheetId="8385">
        <row r="4">
          <cell r="A4" t="str">
            <v>BẢNG TÍNH TOÁN, ĐO BÓC KHỐI LƯỢNG HOÀN THÀNH ĐƯA VÀO QUYẾT TOÁN</v>
          </cell>
        </row>
      </sheetData>
      <sheetData sheetId="8386">
        <row r="4">
          <cell r="A4" t="str">
            <v>BẢNG TÍNH TOÁN, ĐO BÓC KHỐI LƯỢNG HOÀN THÀNH ĐƯA VÀO QUYẾT TOÁN</v>
          </cell>
        </row>
      </sheetData>
      <sheetData sheetId="8387">
        <row r="4">
          <cell r="A4" t="str">
            <v>BẢNG TÍNH TOÁN, ĐO BÓC KHỐI LƯỢNG HOÀN THÀNH ĐƯA VÀO QUYẾT TOÁN</v>
          </cell>
        </row>
      </sheetData>
      <sheetData sheetId="8388">
        <row r="4">
          <cell r="A4" t="str">
            <v>BẢNG TÍNH TOÁN, ĐO BÓC KHỐI LƯỢNG HOÀN THÀNH ĐƯA VÀO QUYẾT TOÁN</v>
          </cell>
        </row>
      </sheetData>
      <sheetData sheetId="8389">
        <row r="4">
          <cell r="A4" t="str">
            <v>BẢNG TÍNH TOÁN, ĐO BÓC KHỐI LƯỢNG HOÀN THÀNH ĐƯA VÀO QUYẾT TOÁN</v>
          </cell>
        </row>
      </sheetData>
      <sheetData sheetId="8390">
        <row r="4">
          <cell r="A4" t="str">
            <v>BẢNG TÍNH TOÁN, ĐO BÓC KHỐI LƯỢNG HOÀN THÀNH ĐƯA VÀO QUYẾT TOÁN</v>
          </cell>
        </row>
      </sheetData>
      <sheetData sheetId="8391">
        <row r="4">
          <cell r="A4" t="str">
            <v>BẢNG TÍNH TOÁN, ĐO BÓC KHỐI LƯỢNG HOÀN THÀNH ĐƯA VÀO QUYẾT TOÁN</v>
          </cell>
        </row>
      </sheetData>
      <sheetData sheetId="8392">
        <row r="4">
          <cell r="A4" t="str">
            <v>BẢNG TÍNH TOÁN, ĐO BÓC KHỐI LƯỢNG HOÀN THÀNH ĐƯA VÀO QUYẾT TOÁN</v>
          </cell>
        </row>
      </sheetData>
      <sheetData sheetId="8393">
        <row r="4">
          <cell r="A4" t="str">
            <v>BẢNG TÍNH TOÁN, ĐO BÓC KHỐI LƯỢNG HOÀN THÀNH ĐƯA VÀO QUYẾT TOÁN</v>
          </cell>
        </row>
      </sheetData>
      <sheetData sheetId="8394">
        <row r="4">
          <cell r="A4" t="str">
            <v>BẢNG TÍNH TOÁN, ĐO BÓC KHỐI LƯỢNG HOÀN THÀNH ĐƯA VÀO QUYẾT TOÁN</v>
          </cell>
        </row>
      </sheetData>
      <sheetData sheetId="8395">
        <row r="4">
          <cell r="A4" t="str">
            <v>BẢNG TÍNH TOÁN, ĐO BÓC KHỐI LƯỢNG HOÀN THÀNH ĐƯA VÀO QUYẾT TOÁN</v>
          </cell>
        </row>
      </sheetData>
      <sheetData sheetId="8396">
        <row r="4">
          <cell r="A4" t="str">
            <v>BẢNG TÍNH TOÁN, ĐO BÓC KHỐI LƯỢNG HOÀN THÀNH ĐƯA VÀO QUYẾT TOÁN</v>
          </cell>
        </row>
      </sheetData>
      <sheetData sheetId="8397">
        <row r="4">
          <cell r="A4" t="str">
            <v>BẢNG TÍNH TOÁN, ĐO BÓC KHỐI LƯỢNG HOÀN THÀNH ĐƯA VÀO QUYẾT TOÁN</v>
          </cell>
        </row>
      </sheetData>
      <sheetData sheetId="8398">
        <row r="4">
          <cell r="A4" t="str">
            <v>BẢNG TÍNH TOÁN, ĐO BÓC KHỐI LƯỢNG HOÀN THÀNH ĐƯA VÀO QUYẾT TOÁN</v>
          </cell>
        </row>
      </sheetData>
      <sheetData sheetId="8399">
        <row r="4">
          <cell r="A4" t="str">
            <v>BẢNG TÍNH TOÁN, ĐO BÓC KHỐI LƯỢNG HOÀN THÀNH ĐƯA VÀO QUYẾT TOÁN</v>
          </cell>
        </row>
      </sheetData>
      <sheetData sheetId="8400">
        <row r="4">
          <cell r="A4" t="str">
            <v>BẢNG TÍNH TOÁN, ĐO BÓC KHỐI LƯỢNG HOÀN THÀNH ĐƯA VÀO QUYẾT TOÁN</v>
          </cell>
        </row>
      </sheetData>
      <sheetData sheetId="8401">
        <row r="4">
          <cell r="A4" t="str">
            <v>BẢNG TÍNH TOÁN, ĐO BÓC KHỐI LƯỢNG HOÀN THÀNH ĐƯA VÀO QUYẾT TOÁN</v>
          </cell>
        </row>
      </sheetData>
      <sheetData sheetId="8402">
        <row r="4">
          <cell r="A4" t="str">
            <v>BẢNG TÍNH TOÁN, ĐO BÓC KHỐI LƯỢNG HOÀN THÀNH ĐƯA VÀO QUYẾT TOÁN</v>
          </cell>
        </row>
      </sheetData>
      <sheetData sheetId="8403">
        <row r="4">
          <cell r="A4" t="str">
            <v>BẢNG TÍNH TOÁN, ĐO BÓC KHỐI LƯỢNG HOÀN THÀNH ĐƯA VÀO QUYẾT TOÁN</v>
          </cell>
        </row>
      </sheetData>
      <sheetData sheetId="8404">
        <row r="4">
          <cell r="A4" t="str">
            <v>BẢNG TÍNH TOÁN, ĐO BÓC KHỐI LƯỢNG HOÀN THÀNH ĐƯA VÀO QUYẾT TOÁN</v>
          </cell>
        </row>
      </sheetData>
      <sheetData sheetId="8405">
        <row r="4">
          <cell r="A4" t="str">
            <v>BẢNG TÍNH TOÁN, ĐO BÓC KHỐI LƯỢNG HOÀN THÀNH ĐƯA VÀO QUYẾT TOÁN</v>
          </cell>
        </row>
      </sheetData>
      <sheetData sheetId="8406">
        <row r="4">
          <cell r="A4" t="str">
            <v>BẢNG TÍNH TOÁN, ĐO BÓC KHỐI LƯỢNG HOÀN THÀNH ĐƯA VÀO QUYẾT TOÁN</v>
          </cell>
        </row>
      </sheetData>
      <sheetData sheetId="8407">
        <row r="4">
          <cell r="A4" t="str">
            <v>BẢNG TÍNH TOÁN, ĐO BÓC KHỐI LƯỢNG HOÀN THÀNH ĐƯA VÀO QUYẾT TOÁN</v>
          </cell>
        </row>
      </sheetData>
      <sheetData sheetId="8408">
        <row r="4">
          <cell r="A4" t="str">
            <v>BẢNG TÍNH TOÁN, ĐO BÓC KHỐI LƯỢNG HOÀN THÀNH ĐƯA VÀO QUYẾT TOÁN</v>
          </cell>
        </row>
      </sheetData>
      <sheetData sheetId="8409">
        <row r="4">
          <cell r="A4" t="str">
            <v>BẢNG TÍNH TOÁN, ĐO BÓC KHỐI LƯỢNG HOÀN THÀNH ĐƯA VÀO QUYẾT TOÁN</v>
          </cell>
        </row>
      </sheetData>
      <sheetData sheetId="8410">
        <row r="4">
          <cell r="A4" t="str">
            <v>BẢNG TÍNH TOÁN, ĐO BÓC KHỐI LƯỢNG HOÀN THÀNH ĐƯA VÀO QUYẾT TOÁN</v>
          </cell>
        </row>
      </sheetData>
      <sheetData sheetId="8411">
        <row r="4">
          <cell r="A4" t="str">
            <v>BẢNG TÍNH TOÁN, ĐO BÓC KHỐI LƯỢNG HOÀN THÀNH ĐƯA VÀO QUYẾT TOÁN</v>
          </cell>
        </row>
      </sheetData>
      <sheetData sheetId="8412">
        <row r="4">
          <cell r="A4" t="str">
            <v>BẢNG TÍNH TOÁN, ĐO BÓC KHỐI LƯỢNG HOÀN THÀNH ĐƯA VÀO QUYẾT TOÁN</v>
          </cell>
        </row>
      </sheetData>
      <sheetData sheetId="8413">
        <row r="4">
          <cell r="A4" t="str">
            <v>BẢNG TÍNH TOÁN, ĐO BÓC KHỐI LƯỢNG HOÀN THÀNH ĐƯA VÀO QUYẾT TOÁN</v>
          </cell>
        </row>
      </sheetData>
      <sheetData sheetId="8414">
        <row r="4">
          <cell r="A4" t="str">
            <v>BẢNG TÍNH TOÁN, ĐO BÓC KHỐI LƯỢNG HOÀN THÀNH ĐƯA VÀO QUYẾT TOÁN</v>
          </cell>
        </row>
      </sheetData>
      <sheetData sheetId="8415">
        <row r="4">
          <cell r="A4" t="str">
            <v>BẢNG TÍNH TOÁN, ĐO BÓC KHỐI LƯỢNG HOÀN THÀNH ĐƯA VÀO QUYẾT TOÁN</v>
          </cell>
        </row>
      </sheetData>
      <sheetData sheetId="8416">
        <row r="4">
          <cell r="A4" t="str">
            <v>BẢNG TÍNH TOÁN, ĐO BÓC KHỐI LƯỢNG HOÀN THÀNH ĐƯA VÀO QUYẾT TOÁN</v>
          </cell>
        </row>
      </sheetData>
      <sheetData sheetId="8417">
        <row r="4">
          <cell r="A4" t="str">
            <v>BẢNG TÍNH TOÁN, ĐO BÓC KHỐI LƯỢNG HOÀN THÀNH ĐƯA VÀO QUYẾT TOÁN</v>
          </cell>
        </row>
      </sheetData>
      <sheetData sheetId="8418">
        <row r="4">
          <cell r="A4" t="str">
            <v>BẢNG TÍNH TOÁN, ĐO BÓC KHỐI LƯỢNG HOÀN THÀNH ĐƯA VÀO QUYẾT TOÁN</v>
          </cell>
        </row>
      </sheetData>
      <sheetData sheetId="8419">
        <row r="4">
          <cell r="A4" t="str">
            <v>BẢNG TÍNH TOÁN, ĐO BÓC KHỐI LƯỢNG HOÀN THÀNH ĐƯA VÀO QUYẾT TOÁN</v>
          </cell>
        </row>
      </sheetData>
      <sheetData sheetId="8420">
        <row r="4">
          <cell r="A4" t="str">
            <v>BẢNG TÍNH TOÁN, ĐO BÓC KHỐI LƯỢNG HOÀN THÀNH ĐƯA VÀO QUYẾT TOÁN</v>
          </cell>
        </row>
      </sheetData>
      <sheetData sheetId="8421">
        <row r="4">
          <cell r="A4" t="str">
            <v>BẢNG TÍNH TOÁN, ĐO BÓC KHỐI LƯỢNG HOÀN THÀNH ĐƯA VÀO QUYẾT TOÁN</v>
          </cell>
        </row>
      </sheetData>
      <sheetData sheetId="8422">
        <row r="4">
          <cell r="A4" t="str">
            <v>BẢNG TÍNH TOÁN, ĐO BÓC KHỐI LƯỢNG HOÀN THÀNH ĐƯA VÀO QUYẾT TOÁN</v>
          </cell>
        </row>
      </sheetData>
      <sheetData sheetId="8423">
        <row r="4">
          <cell r="A4" t="str">
            <v>BẢNG TÍNH TOÁN, ĐO BÓC KHỐI LƯỢNG HOÀN THÀNH ĐƯA VÀO QUYẾT TOÁN</v>
          </cell>
        </row>
      </sheetData>
      <sheetData sheetId="8424">
        <row r="4">
          <cell r="A4" t="str">
            <v>BẢNG TÍNH TOÁN, ĐO BÓC KHỐI LƯỢNG HOÀN THÀNH ĐƯA VÀO QUYẾT TOÁN</v>
          </cell>
        </row>
      </sheetData>
      <sheetData sheetId="8425">
        <row r="4">
          <cell r="A4" t="str">
            <v>BẢNG TÍNH TOÁN, ĐO BÓC KHỐI LƯỢNG HOÀN THÀNH ĐƯA VÀO QUYẾT TOÁN</v>
          </cell>
        </row>
      </sheetData>
      <sheetData sheetId="8426">
        <row r="4">
          <cell r="A4" t="str">
            <v>BẢNG TÍNH TOÁN, ĐO BÓC KHỐI LƯỢNG HOÀN THÀNH ĐƯA VÀO QUYẾT TOÁN</v>
          </cell>
        </row>
      </sheetData>
      <sheetData sheetId="8427">
        <row r="4">
          <cell r="A4" t="str">
            <v>BẢNG TÍNH TOÁN, ĐO BÓC KHỐI LƯỢNG HOÀN THÀNH ĐƯA VÀO QUYẾT TOÁN</v>
          </cell>
        </row>
      </sheetData>
      <sheetData sheetId="8428">
        <row r="4">
          <cell r="A4" t="str">
            <v>BẢNG TÍNH TOÁN, ĐO BÓC KHỐI LƯỢNG HOÀN THÀNH ĐƯA VÀO QUYẾT TOÁN</v>
          </cell>
        </row>
      </sheetData>
      <sheetData sheetId="8429">
        <row r="4">
          <cell r="A4" t="str">
            <v>BẢNG TÍNH TOÁN, ĐO BÓC KHỐI LƯỢNG HOÀN THÀNH ĐƯA VÀO QUYẾT TOÁN</v>
          </cell>
        </row>
      </sheetData>
      <sheetData sheetId="8430">
        <row r="4">
          <cell r="A4" t="str">
            <v>BẢNG TÍNH TOÁN, ĐO BÓC KHỐI LƯỢNG HOÀN THÀNH ĐƯA VÀO QUYẾT TOÁN</v>
          </cell>
        </row>
      </sheetData>
      <sheetData sheetId="8431">
        <row r="4">
          <cell r="A4" t="str">
            <v>BẢNG TÍNH TOÁN, ĐO BÓC KHỐI LƯỢNG HOÀN THÀNH ĐƯA VÀO QUYẾT TOÁN</v>
          </cell>
        </row>
      </sheetData>
      <sheetData sheetId="8432">
        <row r="4">
          <cell r="A4" t="str">
            <v>BẢNG TÍNH TOÁN, ĐO BÓC KHỐI LƯỢNG HOÀN THÀNH ĐƯA VÀO QUYẾT TOÁN</v>
          </cell>
        </row>
      </sheetData>
      <sheetData sheetId="8433">
        <row r="4">
          <cell r="A4" t="str">
            <v>BẢNG TÍNH TOÁN, ĐO BÓC KHỐI LƯỢNG HOÀN THÀNH ĐƯA VÀO QUYẾT TOÁN</v>
          </cell>
        </row>
      </sheetData>
      <sheetData sheetId="8434">
        <row r="4">
          <cell r="A4" t="str">
            <v>BẢNG TÍNH TOÁN, ĐO BÓC KHỐI LƯỢNG HOÀN THÀNH ĐƯA VÀO QUYẾT TOÁN</v>
          </cell>
        </row>
      </sheetData>
      <sheetData sheetId="8435">
        <row r="4">
          <cell r="A4" t="str">
            <v>BẢNG TÍNH TOÁN, ĐO BÓC KHỐI LƯỢNG HOÀN THÀNH ĐƯA VÀO QUYẾT TOÁN</v>
          </cell>
        </row>
      </sheetData>
      <sheetData sheetId="8436">
        <row r="4">
          <cell r="A4" t="str">
            <v>BẢNG TÍNH TOÁN, ĐO BÓC KHỐI LƯỢNG HOÀN THÀNH ĐƯA VÀO QUYẾT TOÁN</v>
          </cell>
        </row>
      </sheetData>
      <sheetData sheetId="8437">
        <row r="4">
          <cell r="A4" t="str">
            <v>BẢNG TÍNH TOÁN, ĐO BÓC KHỐI LƯỢNG HOÀN THÀNH ĐƯA VÀO QUYẾT TOÁN</v>
          </cell>
        </row>
      </sheetData>
      <sheetData sheetId="8438">
        <row r="4">
          <cell r="A4" t="str">
            <v>BẢNG TÍNH TOÁN, ĐO BÓC KHỐI LƯỢNG HOÀN THÀNH ĐƯA VÀO QUYẾT TOÁN</v>
          </cell>
        </row>
      </sheetData>
      <sheetData sheetId="8439">
        <row r="4">
          <cell r="A4" t="str">
            <v>BẢNG TÍNH TOÁN, ĐO BÓC KHỐI LƯỢNG HOÀN THÀNH ĐƯA VÀO QUYẾT TOÁN</v>
          </cell>
        </row>
      </sheetData>
      <sheetData sheetId="8440">
        <row r="4">
          <cell r="A4" t="str">
            <v>BẢNG TÍNH TOÁN, ĐO BÓC KHỐI LƯỢNG HOÀN THÀNH ĐƯA VÀO QUYẾT TOÁN</v>
          </cell>
        </row>
      </sheetData>
      <sheetData sheetId="8441">
        <row r="4">
          <cell r="A4" t="str">
            <v>BẢNG TÍNH TOÁN, ĐO BÓC KHỐI LƯỢNG HOÀN THÀNH ĐƯA VÀO QUYẾT TOÁN</v>
          </cell>
        </row>
      </sheetData>
      <sheetData sheetId="8442">
        <row r="4">
          <cell r="A4" t="str">
            <v>BẢNG TÍNH TOÁN, ĐO BÓC KHỐI LƯỢNG HOÀN THÀNH ĐƯA VÀO QUYẾT TOÁN</v>
          </cell>
        </row>
      </sheetData>
      <sheetData sheetId="8443">
        <row r="4">
          <cell r="A4" t="str">
            <v>BẢNG TÍNH TOÁN, ĐO BÓC KHỐI LƯỢNG HOÀN THÀNH ĐƯA VÀO QUYẾT TOÁN</v>
          </cell>
        </row>
      </sheetData>
      <sheetData sheetId="8444">
        <row r="4">
          <cell r="A4" t="str">
            <v>BẢNG TÍNH TOÁN, ĐO BÓC KHỐI LƯỢNG HOÀN THÀNH ĐƯA VÀO QUYẾT TOÁN</v>
          </cell>
        </row>
      </sheetData>
      <sheetData sheetId="8445">
        <row r="4">
          <cell r="A4" t="str">
            <v>BẢNG TÍNH TOÁN, ĐO BÓC KHỐI LƯỢNG HOÀN THÀNH ĐƯA VÀO QUYẾT TOÁN</v>
          </cell>
        </row>
      </sheetData>
      <sheetData sheetId="8446">
        <row r="4">
          <cell r="A4" t="str">
            <v>BẢNG TÍNH TOÁN, ĐO BÓC KHỐI LƯỢNG HOÀN THÀNH ĐƯA VÀO QUYẾT TOÁN</v>
          </cell>
        </row>
      </sheetData>
      <sheetData sheetId="8447">
        <row r="4">
          <cell r="A4" t="str">
            <v>BẢNG TÍNH TOÁN, ĐO BÓC KHỐI LƯỢNG HOÀN THÀNH ĐƯA VÀO QUYẾT TOÁN</v>
          </cell>
        </row>
      </sheetData>
      <sheetData sheetId="8448">
        <row r="4">
          <cell r="A4" t="str">
            <v>BẢNG TÍNH TOÁN, ĐO BÓC KHỐI LƯỢNG HOÀN THÀNH ĐƯA VÀO QUYẾT TOÁN</v>
          </cell>
        </row>
      </sheetData>
      <sheetData sheetId="8449">
        <row r="4">
          <cell r="A4" t="str">
            <v>BẢNG TÍNH TOÁN, ĐO BÓC KHỐI LƯỢNG HOÀN THÀNH ĐƯA VÀO QUYẾT TOÁN</v>
          </cell>
        </row>
      </sheetData>
      <sheetData sheetId="8450">
        <row r="4">
          <cell r="A4" t="str">
            <v>BẢNG TÍNH TOÁN, ĐO BÓC KHỐI LƯỢNG HOÀN THÀNH ĐƯA VÀO QUYẾT TOÁN</v>
          </cell>
        </row>
      </sheetData>
      <sheetData sheetId="8451">
        <row r="4">
          <cell r="A4" t="str">
            <v>BẢNG TÍNH TOÁN, ĐO BÓC KHỐI LƯỢNG HOÀN THÀNH ĐƯA VÀO QUYẾT TOÁN</v>
          </cell>
        </row>
      </sheetData>
      <sheetData sheetId="8452">
        <row r="4">
          <cell r="A4" t="str">
            <v>BẢNG TÍNH TOÁN, ĐO BÓC KHỐI LƯỢNG HOÀN THÀNH ĐƯA VÀO QUYẾT TOÁN</v>
          </cell>
        </row>
      </sheetData>
      <sheetData sheetId="8453">
        <row r="4">
          <cell r="A4" t="str">
            <v>BẢNG TÍNH TOÁN, ĐO BÓC KHỐI LƯỢNG HOÀN THÀNH ĐƯA VÀO QUYẾT TOÁN</v>
          </cell>
        </row>
      </sheetData>
      <sheetData sheetId="8454">
        <row r="4">
          <cell r="A4" t="str">
            <v>BẢNG TÍNH TOÁN, ĐO BÓC KHỐI LƯỢNG HOÀN THÀNH ĐƯA VÀO QUYẾT TOÁN</v>
          </cell>
        </row>
      </sheetData>
      <sheetData sheetId="8455">
        <row r="4">
          <cell r="A4" t="str">
            <v>BẢNG TÍNH TOÁN, ĐO BÓC KHỐI LƯỢNG HOÀN THÀNH ĐƯA VÀO QUYẾT TOÁN</v>
          </cell>
        </row>
      </sheetData>
      <sheetData sheetId="8456">
        <row r="4">
          <cell r="A4" t="str">
            <v>BẢNG TÍNH TOÁN, ĐO BÓC KHỐI LƯỢNG HOÀN THÀNH ĐƯA VÀO QUYẾT TOÁN</v>
          </cell>
        </row>
      </sheetData>
      <sheetData sheetId="8457">
        <row r="4">
          <cell r="A4" t="str">
            <v>BẢNG TÍNH TOÁN, ĐO BÓC KHỐI LƯỢNG HOÀN THÀNH ĐƯA VÀO QUYẾT TOÁN</v>
          </cell>
        </row>
      </sheetData>
      <sheetData sheetId="8458">
        <row r="4">
          <cell r="A4" t="str">
            <v>BẢNG TÍNH TOÁN, ĐO BÓC KHỐI LƯỢNG HOÀN THÀNH ĐƯA VÀO QUYẾT TOÁN</v>
          </cell>
        </row>
      </sheetData>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ow r="4">
          <cell r="A4" t="str">
            <v>BẢNG TÍNH TOÁN, ĐO BÓC KHỐI LƯỢNG HOÀN THÀNH ĐƯA VÀO QUYẾT TOÁN</v>
          </cell>
        </row>
      </sheetData>
      <sheetData sheetId="8908">
        <row r="4">
          <cell r="A4" t="str">
            <v>BẢNG TÍNH TOÁN, ĐO BÓC KHỐI LƯỢNG HOÀN THÀNH ĐƯA VÀO QUYẾT TOÁN</v>
          </cell>
        </row>
      </sheetData>
      <sheetData sheetId="8909">
        <row r="4">
          <cell r="A4" t="str">
            <v>BẢNG TÍNH TOÁN, ĐO BÓC KHỐI LƯỢNG HOÀN THÀNH ĐƯA VÀO QUYẾT TOÁN</v>
          </cell>
        </row>
      </sheetData>
      <sheetData sheetId="8910">
        <row r="4">
          <cell r="A4" t="str">
            <v>BẢNG TÍNH TOÁN, ĐO BÓC KHỐI LƯỢNG HOÀN THÀNH ĐƯA VÀO QUYẾT TOÁN</v>
          </cell>
        </row>
      </sheetData>
      <sheetData sheetId="8911">
        <row r="4">
          <cell r="A4" t="str">
            <v>BẢNG TÍNH TOÁN, ĐO BÓC KHỐI LƯỢNG HOÀN THÀNH ĐƯA VÀO QUYẾT TOÁN</v>
          </cell>
        </row>
      </sheetData>
      <sheetData sheetId="8912">
        <row r="4">
          <cell r="A4" t="str">
            <v>BẢNG TÍNH TOÁN, ĐO BÓC KHỐI LƯỢNG HOÀN THÀNH ĐƯA VÀO QUYẾT TOÁN</v>
          </cell>
        </row>
      </sheetData>
      <sheetData sheetId="8913">
        <row r="4">
          <cell r="A4" t="str">
            <v>BẢNG TÍNH TOÁN, ĐO BÓC KHỐI LƯỢNG HOÀN THÀNH ĐƯA VÀO QUYẾT TOÁN</v>
          </cell>
        </row>
      </sheetData>
      <sheetData sheetId="8914">
        <row r="4">
          <cell r="A4" t="str">
            <v>BẢNG TÍNH TOÁN, ĐO BÓC KHỐI LƯỢNG HOÀN THÀNH ĐƯA VÀO QUYẾT TOÁN</v>
          </cell>
        </row>
      </sheetData>
      <sheetData sheetId="8915">
        <row r="4">
          <cell r="A4" t="str">
            <v>BẢNG TÍNH TOÁN, ĐO BÓC KHỐI LƯỢNG HOÀN THÀNH ĐƯA VÀO QUYẾT TOÁN</v>
          </cell>
        </row>
      </sheetData>
      <sheetData sheetId="8916">
        <row r="4">
          <cell r="A4" t="str">
            <v>BẢNG TÍNH TOÁN, ĐO BÓC KHỐI LƯỢNG HOÀN THÀNH ĐƯA VÀO QUYẾT TOÁN</v>
          </cell>
        </row>
      </sheetData>
      <sheetData sheetId="8917">
        <row r="4">
          <cell r="A4" t="str">
            <v>BẢNG TÍNH TOÁN, ĐO BÓC KHỐI LƯỢNG HOÀN THÀNH ĐƯA VÀO QUYẾT TOÁN</v>
          </cell>
        </row>
      </sheetData>
      <sheetData sheetId="8918">
        <row r="4">
          <cell r="A4" t="str">
            <v>BẢNG TÍNH TOÁN, ĐO BÓC KHỐI LƯỢNG HOÀN THÀNH ĐƯA VÀO QUYẾT TOÁN</v>
          </cell>
        </row>
      </sheetData>
      <sheetData sheetId="8919">
        <row r="4">
          <cell r="A4" t="str">
            <v>BẢNG TÍNH TOÁN, ĐO BÓC KHỐI LƯỢNG HOÀN THÀNH ĐƯA VÀO QUYẾT TOÁN</v>
          </cell>
        </row>
      </sheetData>
      <sheetData sheetId="8920">
        <row r="4">
          <cell r="A4" t="str">
            <v>BẢNG TÍNH TOÁN, ĐO BÓC KHỐI LƯỢNG HOÀN THÀNH ĐƯA VÀO QUYẾT TOÁN</v>
          </cell>
        </row>
      </sheetData>
      <sheetData sheetId="8921">
        <row r="4">
          <cell r="A4" t="str">
            <v>BẢNG TÍNH TOÁN, ĐO BÓC KHỐI LƯỢNG HOÀN THÀNH ĐƯA VÀO QUYẾT TOÁN</v>
          </cell>
        </row>
      </sheetData>
      <sheetData sheetId="8922">
        <row r="4">
          <cell r="A4" t="str">
            <v>BẢNG TÍNH TOÁN, ĐO BÓC KHỐI LƯỢNG HOÀN THÀNH ĐƯA VÀO QUYẾT TOÁN</v>
          </cell>
        </row>
      </sheetData>
      <sheetData sheetId="8923">
        <row r="4">
          <cell r="A4" t="str">
            <v>BẢNG TÍNH TOÁN, ĐO BÓC KHỐI LƯỢNG HOÀN THÀNH ĐƯA VÀO QUYẾT TOÁN</v>
          </cell>
        </row>
      </sheetData>
      <sheetData sheetId="8924">
        <row r="4">
          <cell r="A4" t="str">
            <v>BẢNG TÍNH TOÁN, ĐO BÓC KHỐI LƯỢNG HOÀN THÀNH ĐƯA VÀO QUYẾT TOÁN</v>
          </cell>
        </row>
      </sheetData>
      <sheetData sheetId="8925">
        <row r="4">
          <cell r="A4" t="str">
            <v>BẢNG TÍNH TOÁN, ĐO BÓC KHỐI LƯỢNG HOÀN THÀNH ĐƯA VÀO QUYẾT TOÁN</v>
          </cell>
        </row>
      </sheetData>
      <sheetData sheetId="8926">
        <row r="4">
          <cell r="A4" t="str">
            <v>BẢNG TÍNH TOÁN, ĐO BÓC KHỐI LƯỢNG HOÀN THÀNH ĐƯA VÀO QUYẾT TOÁN</v>
          </cell>
        </row>
      </sheetData>
      <sheetData sheetId="8927">
        <row r="4">
          <cell r="A4" t="str">
            <v>BẢNG TÍNH TOÁN, ĐO BÓC KHỐI LƯỢNG HOÀN THÀNH ĐƯA VÀO QUYẾT TOÁN</v>
          </cell>
        </row>
      </sheetData>
      <sheetData sheetId="8928">
        <row r="4">
          <cell r="A4" t="str">
            <v>BẢNG TÍNH TOÁN, ĐO BÓC KHỐI LƯỢNG HOÀN THÀNH ĐƯA VÀO QUYẾT TOÁN</v>
          </cell>
        </row>
      </sheetData>
      <sheetData sheetId="8929">
        <row r="4">
          <cell r="A4" t="str">
            <v>BẢNG TÍNH TOÁN, ĐO BÓC KHỐI LƯỢNG HOÀN THÀNH ĐƯA VÀO QUYẾT TOÁN</v>
          </cell>
        </row>
      </sheetData>
      <sheetData sheetId="8930">
        <row r="4">
          <cell r="A4" t="str">
            <v>BẢNG TÍNH TOÁN, ĐO BÓC KHỐI LƯỢNG HOÀN THÀNH ĐƯA VÀO QUYẾT TOÁN</v>
          </cell>
        </row>
      </sheetData>
      <sheetData sheetId="8931">
        <row r="4">
          <cell r="A4" t="str">
            <v>BẢNG TÍNH TOÁN, ĐO BÓC KHỐI LƯỢNG HOÀN THÀNH ĐƯA VÀO QUYẾT TOÁN</v>
          </cell>
        </row>
      </sheetData>
      <sheetData sheetId="8932">
        <row r="4">
          <cell r="A4" t="str">
            <v>BẢNG TÍNH TOÁN, ĐO BÓC KHỐI LƯỢNG HOÀN THÀNH ĐƯA VÀO QUYẾT TOÁN</v>
          </cell>
        </row>
      </sheetData>
      <sheetData sheetId="8933">
        <row r="4">
          <cell r="A4" t="str">
            <v>BẢNG TÍNH TOÁN, ĐO BÓC KHỐI LƯỢNG HOÀN THÀNH ĐƯA VÀO QUYẾT TOÁN</v>
          </cell>
        </row>
      </sheetData>
      <sheetData sheetId="8934">
        <row r="4">
          <cell r="A4" t="str">
            <v>BẢNG TÍNH TOÁN, ĐO BÓC KHỐI LƯỢNG HOÀN THÀNH ĐƯA VÀO QUYẾT TOÁN</v>
          </cell>
        </row>
      </sheetData>
      <sheetData sheetId="8935">
        <row r="4">
          <cell r="A4" t="str">
            <v>BẢNG TÍNH TOÁN, ĐO BÓC KHỐI LƯỢNG HOÀN THÀNH ĐƯA VÀO QUYẾT TOÁN</v>
          </cell>
        </row>
      </sheetData>
      <sheetData sheetId="8936">
        <row r="4">
          <cell r="A4" t="str">
            <v>BẢNG TÍNH TOÁN, ĐO BÓC KHỐI LƯỢNG HOÀN THÀNH ĐƯA VÀO QUYẾT TOÁN</v>
          </cell>
        </row>
      </sheetData>
      <sheetData sheetId="8937">
        <row r="4">
          <cell r="A4" t="str">
            <v>BẢNG TÍNH TOÁN, ĐO BÓC KHỐI LƯỢNG HOÀN THÀNH ĐƯA VÀO QUYẾT TOÁN</v>
          </cell>
        </row>
      </sheetData>
      <sheetData sheetId="8938">
        <row r="4">
          <cell r="A4" t="str">
            <v>BẢNG TÍNH TOÁN, ĐO BÓC KHỐI LƯỢNG HOÀN THÀNH ĐƯA VÀO QUYẾT TOÁN</v>
          </cell>
        </row>
      </sheetData>
      <sheetData sheetId="8939" refreshError="1"/>
      <sheetData sheetId="8940">
        <row r="4">
          <cell r="A4" t="str">
            <v>BẢNG TÍNH TOÁN, ĐO BÓC KHỐI LƯỢNG HOÀN THÀNH ĐƯA VÀO QUYẾT TOÁN</v>
          </cell>
        </row>
      </sheetData>
      <sheetData sheetId="8941">
        <row r="4">
          <cell r="A4" t="str">
            <v>BẢNG TÍNH TOÁN, ĐO BÓC KHỐI LƯỢNG HOÀN THÀNH ĐƯA VÀO QUYẾT TOÁN</v>
          </cell>
        </row>
      </sheetData>
      <sheetData sheetId="8942">
        <row r="4">
          <cell r="A4" t="str">
            <v>BẢNG TÍNH TOÁN, ĐO BÓC KHỐI LƯỢNG HOÀN THÀNH ĐƯA VÀO QUYẾT TOÁN</v>
          </cell>
        </row>
      </sheetData>
      <sheetData sheetId="8943">
        <row r="4">
          <cell r="A4" t="str">
            <v>BẢNG TÍNH TOÁN, ĐO BÓC KHỐI LƯỢNG HOÀN THÀNH ĐƯA VÀO QUYẾT TOÁN</v>
          </cell>
        </row>
      </sheetData>
      <sheetData sheetId="8944">
        <row r="4">
          <cell r="A4" t="str">
            <v>BẢNG TÍNH TOÁN, ĐO BÓC KHỐI LƯỢNG HOÀN THÀNH ĐƯA VÀO QUYẾT TOÁN</v>
          </cell>
        </row>
      </sheetData>
      <sheetData sheetId="8945">
        <row r="4">
          <cell r="A4" t="str">
            <v>BẢNG TÍNH TOÁN, ĐO BÓC KHỐI LƯỢNG HOÀN THÀNH ĐƯA VÀO QUYẾT TOÁN</v>
          </cell>
        </row>
      </sheetData>
      <sheetData sheetId="8946">
        <row r="4">
          <cell r="A4" t="str">
            <v>BẢNG TÍNH TOÁN, ĐO BÓC KHỐI LƯỢNG HOÀN THÀNH ĐƯA VÀO QUYẾT TOÁN</v>
          </cell>
        </row>
      </sheetData>
      <sheetData sheetId="8947">
        <row r="4">
          <cell r="A4" t="str">
            <v>BẢNG TÍNH TOÁN, ĐO BÓC KHỐI LƯỢNG HOÀN THÀNH ĐƯA VÀO QUYẾT TOÁN</v>
          </cell>
        </row>
      </sheetData>
      <sheetData sheetId="8948">
        <row r="4">
          <cell r="A4" t="str">
            <v>BẢNG TÍNH TOÁN, ĐO BÓC KHỐI LƯỢNG HOÀN THÀNH ĐƯA VÀO QUYẾT TOÁN</v>
          </cell>
        </row>
      </sheetData>
      <sheetData sheetId="8949">
        <row r="4">
          <cell r="A4" t="str">
            <v>BẢNG TÍNH TOÁN, ĐO BÓC KHỐI LƯỢNG HOÀN THÀNH ĐƯA VÀO QUYẾT TOÁN</v>
          </cell>
        </row>
      </sheetData>
      <sheetData sheetId="8950">
        <row r="4">
          <cell r="A4" t="str">
            <v>BẢNG TÍNH TOÁN, ĐO BÓC KHỐI LƯỢNG HOÀN THÀNH ĐƯA VÀO QUYẾT TOÁN</v>
          </cell>
        </row>
      </sheetData>
      <sheetData sheetId="8951">
        <row r="4">
          <cell r="A4" t="str">
            <v>BẢNG TÍNH TOÁN, ĐO BÓC KHỐI LƯỢNG HOÀN THÀNH ĐƯA VÀO QUYẾT TOÁN</v>
          </cell>
        </row>
      </sheetData>
      <sheetData sheetId="8952">
        <row r="4">
          <cell r="A4" t="str">
            <v>BẢNG TÍNH TOÁN, ĐO BÓC KHỐI LƯỢNG HOÀN THÀNH ĐƯA VÀO QUYẾT TOÁN</v>
          </cell>
        </row>
      </sheetData>
      <sheetData sheetId="8953">
        <row r="4">
          <cell r="A4" t="str">
            <v>BẢNG TÍNH TOÁN, ĐO BÓC KHỐI LƯỢNG HOÀN THÀNH ĐƯA VÀO QUYẾT TOÁN</v>
          </cell>
        </row>
      </sheetData>
      <sheetData sheetId="8954">
        <row r="4">
          <cell r="A4" t="str">
            <v>BẢNG TÍNH TOÁN, ĐO BÓC KHỐI LƯỢNG HOÀN THÀNH ĐƯA VÀO QUYẾT TOÁN</v>
          </cell>
        </row>
      </sheetData>
      <sheetData sheetId="8955">
        <row r="4">
          <cell r="A4" t="str">
            <v>BẢNG TÍNH TOÁN, ĐO BÓC KHỐI LƯỢNG HOÀN THÀNH ĐƯA VÀO QUYẾT TOÁN</v>
          </cell>
        </row>
      </sheetData>
      <sheetData sheetId="8956">
        <row r="4">
          <cell r="A4" t="str">
            <v>BẢNG TÍNH TOÁN, ĐO BÓC KHỐI LƯỢNG HOÀN THÀNH ĐƯA VÀO QUYẾT TOÁN</v>
          </cell>
        </row>
      </sheetData>
      <sheetData sheetId="8957">
        <row r="4">
          <cell r="A4" t="str">
            <v>BẢNG TÍNH TOÁN, ĐO BÓC KHỐI LƯỢNG HOÀN THÀNH ĐƯA VÀO QUYẾT TOÁN</v>
          </cell>
        </row>
      </sheetData>
      <sheetData sheetId="8958">
        <row r="4">
          <cell r="A4" t="str">
            <v>BẢNG TÍNH TOÁN, ĐO BÓC KHỐI LƯỢNG HOÀN THÀNH ĐƯA VÀO QUYẾT TOÁN</v>
          </cell>
        </row>
      </sheetData>
      <sheetData sheetId="8959">
        <row r="4">
          <cell r="A4" t="str">
            <v>BẢNG TÍNH TOÁN, ĐO BÓC KHỐI LƯỢNG HOÀN THÀNH ĐƯA VÀO QUYẾT TOÁN</v>
          </cell>
        </row>
      </sheetData>
      <sheetData sheetId="8960">
        <row r="4">
          <cell r="A4" t="str">
            <v>BẢNG TÍNH TOÁN, ĐO BÓC KHỐI LƯỢNG HOÀN THÀNH ĐƯA VÀO QUYẾT TOÁN</v>
          </cell>
        </row>
      </sheetData>
      <sheetData sheetId="8961">
        <row r="4">
          <cell r="A4" t="str">
            <v>BẢNG TÍNH TOÁN, ĐO BÓC KHỐI LƯỢNG HOÀN THÀNH ĐƯA VÀO QUYẾT TOÁN</v>
          </cell>
        </row>
      </sheetData>
      <sheetData sheetId="8962">
        <row r="4">
          <cell r="A4" t="str">
            <v>BẢNG TÍNH TOÁN, ĐO BÓC KHỐI LƯỢNG HOÀN THÀNH ĐƯA VÀO QUYẾT TOÁN</v>
          </cell>
        </row>
      </sheetData>
      <sheetData sheetId="8963">
        <row r="4">
          <cell r="A4" t="str">
            <v>BẢNG TÍNH TOÁN, ĐO BÓC KHỐI LƯỢNG HOÀN THÀNH ĐƯA VÀO QUYẾT TOÁN</v>
          </cell>
        </row>
      </sheetData>
      <sheetData sheetId="8964">
        <row r="4">
          <cell r="A4" t="str">
            <v>BẢNG TÍNH TOÁN, ĐO BÓC KHỐI LƯỢNG HOÀN THÀNH ĐƯA VÀO QUYẾT TOÁN</v>
          </cell>
        </row>
      </sheetData>
      <sheetData sheetId="8965">
        <row r="4">
          <cell r="A4" t="str">
            <v>BẢNG TÍNH TOÁN, ĐO BÓC KHỐI LƯỢNG HOÀN THÀNH ĐƯA VÀO QUYẾT TOÁN</v>
          </cell>
        </row>
      </sheetData>
      <sheetData sheetId="8966">
        <row r="4">
          <cell r="A4" t="str">
            <v>BẢNG TÍNH TOÁN, ĐO BÓC KHỐI LƯỢNG HOÀN THÀNH ĐƯA VÀO QUYẾT TOÁN</v>
          </cell>
        </row>
      </sheetData>
      <sheetData sheetId="8967">
        <row r="4">
          <cell r="A4" t="str">
            <v>BẢNG TÍNH TOÁN, ĐO BÓC KHỐI LƯỢNG HOÀN THÀNH ĐƯA VÀO QUYẾT TOÁN</v>
          </cell>
        </row>
      </sheetData>
      <sheetData sheetId="8968">
        <row r="4">
          <cell r="A4" t="str">
            <v>BẢNG TÍNH TOÁN, ĐO BÓC KHỐI LƯỢNG HOÀN THÀNH ĐƯA VÀO QUYẾT TOÁN</v>
          </cell>
        </row>
      </sheetData>
      <sheetData sheetId="8969" refreshError="1"/>
      <sheetData sheetId="8970" refreshError="1"/>
      <sheetData sheetId="8971" refreshError="1"/>
      <sheetData sheetId="8972" refreshError="1"/>
      <sheetData sheetId="8973" refreshError="1"/>
      <sheetData sheetId="8974">
        <row r="4">
          <cell r="A4" t="str">
            <v>BẢNG TÍNH TOÁN, ĐO BÓC KHỐI LƯỢNG HOÀN THÀNH ĐƯA VÀO QUYẾT TOÁN</v>
          </cell>
        </row>
      </sheetData>
      <sheetData sheetId="8975">
        <row r="4">
          <cell r="A4" t="str">
            <v>BẢNG TÍNH TOÁN, ĐO BÓC KHỐI LƯỢNG HOÀN THÀNH ĐƯA VÀO QUYẾT TOÁN</v>
          </cell>
        </row>
      </sheetData>
      <sheetData sheetId="8976">
        <row r="4">
          <cell r="A4" t="str">
            <v>BẢNG TÍNH TOÁN, ĐO BÓC KHỐI LƯỢNG HOÀN THÀNH ĐƯA VÀO QUYẾT TOÁN</v>
          </cell>
        </row>
      </sheetData>
      <sheetData sheetId="8977">
        <row r="4">
          <cell r="A4" t="str">
            <v>BẢNG TÍNH TOÁN, ĐO BÓC KHỐI LƯỢNG HOÀN THÀNH ĐƯA VÀO QUYẾT TOÁN</v>
          </cell>
        </row>
      </sheetData>
      <sheetData sheetId="8978">
        <row r="4">
          <cell r="A4" t="str">
            <v>BẢNG TÍNH TOÁN, ĐO BÓC KHỐI LƯỢNG HOÀN THÀNH ĐƯA VÀO QUYẾT TOÁN</v>
          </cell>
        </row>
      </sheetData>
      <sheetData sheetId="8979">
        <row r="4">
          <cell r="A4" t="str">
            <v>BẢNG TÍNH TOÁN, ĐO BÓC KHỐI LƯỢNG HOÀN THÀNH ĐƯA VÀO QUYẾT TOÁN</v>
          </cell>
        </row>
      </sheetData>
      <sheetData sheetId="8980">
        <row r="4">
          <cell r="A4" t="str">
            <v>BẢNG TÍNH TOÁN, ĐO BÓC KHỐI LƯỢNG HOÀN THÀNH ĐƯA VÀO QUYẾT TOÁN</v>
          </cell>
        </row>
      </sheetData>
      <sheetData sheetId="8981">
        <row r="4">
          <cell r="A4" t="str">
            <v>BẢNG TÍNH TOÁN, ĐO BÓC KHỐI LƯỢNG HOÀN THÀNH ĐƯA VÀO QUYẾT TOÁN</v>
          </cell>
        </row>
      </sheetData>
      <sheetData sheetId="8982">
        <row r="4">
          <cell r="A4" t="str">
            <v>BẢNG TÍNH TOÁN, ĐO BÓC KHỐI LƯỢNG HOÀN THÀNH ĐƯA VÀO QUYẾT TOÁN</v>
          </cell>
        </row>
      </sheetData>
      <sheetData sheetId="8983">
        <row r="4">
          <cell r="A4" t="str">
            <v>BẢNG TÍNH TOÁN, ĐO BÓC KHỐI LƯỢNG HOÀN THÀNH ĐƯA VÀO QUYẾT TOÁN</v>
          </cell>
        </row>
      </sheetData>
      <sheetData sheetId="8984">
        <row r="4">
          <cell r="A4" t="str">
            <v>BẢNG TÍNH TOÁN, ĐO BÓC KHỐI LƯỢNG HOÀN THÀNH ĐƯA VÀO QUYẾT TOÁN</v>
          </cell>
        </row>
      </sheetData>
      <sheetData sheetId="8985">
        <row r="4">
          <cell r="A4" t="str">
            <v>BẢNG TÍNH TOÁN, ĐO BÓC KHỐI LƯỢNG HOÀN THÀNH ĐƯA VÀO QUYẾT TOÁN</v>
          </cell>
        </row>
      </sheetData>
      <sheetData sheetId="8986">
        <row r="4">
          <cell r="A4" t="str">
            <v>BẢNG TÍNH TOÁN, ĐO BÓC KHỐI LƯỢNG HOÀN THÀNH ĐƯA VÀO QUYẾT TOÁN</v>
          </cell>
        </row>
      </sheetData>
      <sheetData sheetId="8987">
        <row r="4">
          <cell r="A4" t="str">
            <v>BẢNG TÍNH TOÁN, ĐO BÓC KHỐI LƯỢNG HOÀN THÀNH ĐƯA VÀO QUYẾT TOÁN</v>
          </cell>
        </row>
      </sheetData>
      <sheetData sheetId="8988">
        <row r="4">
          <cell r="A4" t="str">
            <v>BẢNG TÍNH TOÁN, ĐO BÓC KHỐI LƯỢNG HOÀN THÀNH ĐƯA VÀO QUYẾT TOÁN</v>
          </cell>
        </row>
      </sheetData>
      <sheetData sheetId="8989">
        <row r="4">
          <cell r="A4" t="str">
            <v>BẢNG TÍNH TOÁN, ĐO BÓC KHỐI LƯỢNG HOÀN THÀNH ĐƯA VÀO QUYẾT TOÁN</v>
          </cell>
        </row>
      </sheetData>
      <sheetData sheetId="8990">
        <row r="4">
          <cell r="A4" t="str">
            <v>BẢNG TÍNH TOÁN, ĐO BÓC KHỐI LƯỢNG HOÀN THÀNH ĐƯA VÀO QUYẾT TOÁN</v>
          </cell>
        </row>
      </sheetData>
      <sheetData sheetId="8991">
        <row r="4">
          <cell r="A4" t="str">
            <v>BẢNG TÍNH TOÁN, ĐO BÓC KHỐI LƯỢNG HOÀN THÀNH ĐƯA VÀO QUYẾT TOÁN</v>
          </cell>
        </row>
      </sheetData>
      <sheetData sheetId="8992" refreshError="1"/>
      <sheetData sheetId="8993" refreshError="1"/>
      <sheetData sheetId="8994" refreshError="1"/>
      <sheetData sheetId="8995" refreshError="1"/>
      <sheetData sheetId="8996" refreshError="1"/>
      <sheetData sheetId="8997">
        <row r="4">
          <cell r="A4" t="str">
            <v>BẢNG TÍNH TOÁN, ĐO BÓC KHỐI LƯỢNG HOÀN THÀNH ĐƯA VÀO QUYẾT TOÁN</v>
          </cell>
        </row>
      </sheetData>
      <sheetData sheetId="8998">
        <row r="9">
          <cell r="A9" t="str">
            <v>A</v>
          </cell>
        </row>
      </sheetData>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ow r="9">
          <cell r="A9" t="str">
            <v>A</v>
          </cell>
        </row>
      </sheetData>
      <sheetData sheetId="9017">
        <row r="9">
          <cell r="A9" t="str">
            <v>A</v>
          </cell>
        </row>
      </sheetData>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ow r="4">
          <cell r="A4" t="str">
            <v>BẢNG TÍNH TOÁN, ĐO BÓC KHỐI LƯỢNG HOÀN THÀNH ĐƯA VÀO QUYẾT TOÁN</v>
          </cell>
        </row>
      </sheetData>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ow r="4">
          <cell r="A4" t="str">
            <v>BẢNG TÍNH TOÁN, ĐO BÓC KHỐI LƯỢNG HOÀN THÀNH ĐƯA VÀO QUYẾT TOÁN</v>
          </cell>
        </row>
      </sheetData>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ow r="4">
          <cell r="A4" t="str">
            <v>BẢNG TÍNH TOÁN, ĐO BÓC KHỐI LƯỢNG HOÀN THÀNH ĐƯA VÀO QUYẾT TOÁN</v>
          </cell>
        </row>
      </sheetData>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ow r="4">
          <cell r="A4" t="str">
            <v>BẢNG TÍNH TOÁN, ĐO BÓC KHỐI LƯỢNG HOÀN THÀNH ĐƯA VÀO QUYẾT TOÁN</v>
          </cell>
        </row>
      </sheetData>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sheetData sheetId="9237"/>
      <sheetData sheetId="9238"/>
      <sheetData sheetId="9239">
        <row r="4">
          <cell r="A4" t="str">
            <v>BẢNG TÍNH TOÁN, ĐO BÓC KHỐI LƯỢNG HOÀN THÀNH ĐƯA VÀO QUYẾT TOÁN</v>
          </cell>
        </row>
      </sheetData>
      <sheetData sheetId="9240">
        <row r="4">
          <cell r="A4" t="str">
            <v>BẢNG TÍNH TOÁN, ĐO BÓC KHỐI LƯỢNG HOÀN THÀNH ĐƯA VÀO QUYẾT TOÁN</v>
          </cell>
        </row>
      </sheetData>
      <sheetData sheetId="9241">
        <row r="4">
          <cell r="A4" t="str">
            <v>BẢNG TÍNH TOÁN, ĐO BÓC KHỐI LƯỢNG HOÀN THÀNH ĐƯA VÀO QUYẾT TOÁN</v>
          </cell>
        </row>
      </sheetData>
      <sheetData sheetId="9242" refreshError="1"/>
      <sheetData sheetId="9243" refreshError="1"/>
      <sheetData sheetId="9244" refreshError="1"/>
      <sheetData sheetId="9245" refreshError="1"/>
      <sheetData sheetId="9246">
        <row r="4">
          <cell r="A4" t="str">
            <v>BẢNG TÍNH TOÁN, ĐO BÓC KHỐI LƯỢNG HOÀN THÀNH ĐƯA VÀO QUYẾT TOÁN</v>
          </cell>
        </row>
      </sheetData>
      <sheetData sheetId="9247">
        <row r="4">
          <cell r="A4" t="str">
            <v>BẢNG TÍNH TOÁN, ĐO BÓC KHỐI LƯỢNG HOÀN THÀNH ĐƯA VÀO QUYẾT TOÁN</v>
          </cell>
        </row>
      </sheetData>
      <sheetData sheetId="9248">
        <row r="4">
          <cell r="A4" t="str">
            <v>BẢNG TÍNH TOÁN, ĐO BÓC KHỐI LƯỢNG HOÀN THÀNH ĐƯA VÀO QUYẾT TOÁN</v>
          </cell>
        </row>
      </sheetData>
      <sheetData sheetId="9249" refreshError="1"/>
      <sheetData sheetId="9250">
        <row r="4">
          <cell r="A4" t="str">
            <v>BẢNG TÍNH TOÁN, ĐO BÓC KHỐI LƯỢNG HOÀN THÀNH ĐƯA VÀO QUYẾT TOÁN</v>
          </cell>
        </row>
      </sheetData>
      <sheetData sheetId="9251">
        <row r="4">
          <cell r="A4" t="str">
            <v>BẢNG TÍNH TOÁN, ĐO BÓC KHỐI LƯỢNG HOÀN THÀNH ĐƯA VÀO QUYẾT TOÁN</v>
          </cell>
        </row>
      </sheetData>
      <sheetData sheetId="9252">
        <row r="4">
          <cell r="A4" t="str">
            <v>BẢNG TÍNH TOÁN, ĐO BÓC KHỐI LƯỢNG HOÀN THÀNH ĐƯA VÀO QUYẾT TOÁN</v>
          </cell>
        </row>
      </sheetData>
      <sheetData sheetId="9253">
        <row r="4">
          <cell r="A4" t="str">
            <v>BẢNG TÍNH TOÁN, ĐO BÓC KHỐI LƯỢNG HOÀN THÀNH ĐƯA VÀO QUYẾT TOÁN</v>
          </cell>
        </row>
      </sheetData>
      <sheetData sheetId="9254">
        <row r="4">
          <cell r="A4" t="str">
            <v>BẢNG TÍNH TOÁN, ĐO BÓC KHỐI LƯỢNG HOÀN THÀNH ĐƯA VÀO QUYẾT TOÁN</v>
          </cell>
        </row>
      </sheetData>
      <sheetData sheetId="9255">
        <row r="4">
          <cell r="A4" t="str">
            <v>BẢNG TÍNH TOÁN, ĐO BÓC KHỐI LƯỢNG HOÀN THÀNH ĐƯA VÀO QUYẾT TOÁN</v>
          </cell>
        </row>
      </sheetData>
      <sheetData sheetId="9256">
        <row r="4">
          <cell r="A4" t="str">
            <v>BẢNG TÍNH TOÁN, ĐO BÓC KHỐI LƯỢNG HOÀN THÀNH ĐƯA VÀO QUYẾT TOÁN</v>
          </cell>
        </row>
      </sheetData>
      <sheetData sheetId="9257">
        <row r="4">
          <cell r="A4" t="str">
            <v>BẢNG TÍNH TOÁN, ĐO BÓC KHỐI LƯỢNG HOÀN THÀNH ĐƯA VÀO QUYẾT TOÁN</v>
          </cell>
        </row>
      </sheetData>
      <sheetData sheetId="9258"/>
      <sheetData sheetId="9259"/>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ow r="4">
          <cell r="A4" t="str">
            <v>BẢNG TÍNH TOÁN, ĐO BÓC KHỐI LƯỢNG HOÀN THÀNH ĐƯA VÀO QUYẾT TOÁN</v>
          </cell>
        </row>
      </sheetData>
      <sheetData sheetId="9281">
        <row r="4">
          <cell r="A4" t="str">
            <v>BẢNG TÍNH TOÁN, ĐO BÓC KHỐI LƯỢNG HOÀN THÀNH ĐƯA VÀO QUYẾT TOÁN</v>
          </cell>
        </row>
      </sheetData>
      <sheetData sheetId="9282">
        <row r="4">
          <cell r="A4" t="str">
            <v>BẢNG TÍNH TOÁN, ĐO BÓC KHỐI LƯỢNG HOÀN THÀNH ĐƯA VÀO QUYẾT TOÁN</v>
          </cell>
        </row>
      </sheetData>
      <sheetData sheetId="9283">
        <row r="4">
          <cell r="A4" t="str">
            <v>BẢNG TÍNH TOÁN, ĐO BÓC KHỐI LƯỢNG HOÀN THÀNH ĐƯA VÀO QUYẾT TOÁN</v>
          </cell>
        </row>
      </sheetData>
      <sheetData sheetId="9284">
        <row r="4">
          <cell r="A4" t="str">
            <v>BẢNG TÍNH TOÁN, ĐO BÓC KHỐI LƯỢNG HOÀN THÀNH ĐƯA VÀO QUYẾT TOÁN</v>
          </cell>
        </row>
      </sheetData>
      <sheetData sheetId="9285">
        <row r="4">
          <cell r="A4" t="str">
            <v>BẢNG TÍNH TOÁN, ĐO BÓC KHỐI LƯỢNG HOÀN THÀNH ĐƯA VÀO QUYẾT TOÁN</v>
          </cell>
        </row>
      </sheetData>
      <sheetData sheetId="9286">
        <row r="4">
          <cell r="A4" t="str">
            <v>BẢNG TÍNH TOÁN, ĐO BÓC KHỐI LƯỢNG HOÀN THÀNH ĐƯA VÀO QUYẾT TOÁN</v>
          </cell>
        </row>
      </sheetData>
      <sheetData sheetId="9287">
        <row r="4">
          <cell r="A4" t="str">
            <v>BẢNG TÍNH TOÁN, ĐO BÓC KHỐI LƯỢNG HOÀN THÀNH ĐƯA VÀO QUYẾT TOÁN</v>
          </cell>
        </row>
      </sheetData>
      <sheetData sheetId="9288">
        <row r="4">
          <cell r="A4" t="str">
            <v>BẢNG TÍNH TOÁN, ĐO BÓC KHỐI LƯỢNG HOÀN THÀNH ĐƯA VÀO QUYẾT TOÁN</v>
          </cell>
        </row>
      </sheetData>
      <sheetData sheetId="9289">
        <row r="4">
          <cell r="A4" t="str">
            <v>BẢNG TÍNH TOÁN, ĐO BÓC KHỐI LƯỢNG HOÀN THÀNH ĐƯA VÀO QUYẾT TOÁN</v>
          </cell>
        </row>
      </sheetData>
      <sheetData sheetId="9290">
        <row r="4">
          <cell r="A4" t="str">
            <v>BẢNG TÍNH TOÁN, ĐO BÓC KHỐI LƯỢNG HOÀN THÀNH ĐƯA VÀO QUYẾT TOÁN</v>
          </cell>
        </row>
      </sheetData>
      <sheetData sheetId="9291">
        <row r="4">
          <cell r="A4" t="str">
            <v>BẢNG TÍNH TOÁN, ĐO BÓC KHỐI LƯỢNG HOÀN THÀNH ĐƯA VÀO QUYẾT TOÁN</v>
          </cell>
        </row>
      </sheetData>
      <sheetData sheetId="9292">
        <row r="4">
          <cell r="A4" t="str">
            <v>BẢNG TÍNH TOÁN, ĐO BÓC KHỐI LƯỢNG HOÀN THÀNH ĐƯA VÀO QUYẾT TOÁN</v>
          </cell>
        </row>
      </sheetData>
      <sheetData sheetId="9293">
        <row r="4">
          <cell r="A4" t="str">
            <v>BẢNG TÍNH TOÁN, ĐO BÓC KHỐI LƯỢNG HOÀN THÀNH ĐƯA VÀO QUYẾT TOÁN</v>
          </cell>
        </row>
      </sheetData>
      <sheetData sheetId="9294">
        <row r="4">
          <cell r="A4" t="str">
            <v>BẢNG TÍNH TOÁN, ĐO BÓC KHỐI LƯỢNG HOÀN THÀNH ĐƯA VÀO QUYẾT TOÁN</v>
          </cell>
        </row>
      </sheetData>
      <sheetData sheetId="9295">
        <row r="4">
          <cell r="A4" t="str">
            <v>BẢNG TÍNH TOÁN, ĐO BÓC KHỐI LƯỢNG HOÀN THÀNH ĐƯA VÀO QUYẾT TOÁN</v>
          </cell>
        </row>
      </sheetData>
      <sheetData sheetId="9296">
        <row r="4">
          <cell r="A4" t="str">
            <v>BẢNG TÍNH TOÁN, ĐO BÓC KHỐI LƯỢNG HOÀN THÀNH ĐƯA VÀO QUYẾT TOÁN</v>
          </cell>
        </row>
      </sheetData>
      <sheetData sheetId="9297">
        <row r="4">
          <cell r="A4" t="str">
            <v>BẢNG TÍNH TOÁN, ĐO BÓC KHỐI LƯỢNG HOÀN THÀNH ĐƯA VÀO QUYẾT TOÁN</v>
          </cell>
        </row>
      </sheetData>
      <sheetData sheetId="9298">
        <row r="4">
          <cell r="A4" t="str">
            <v>BẢNG TÍNH TOÁN, ĐO BÓC KHỐI LƯỢNG HOÀN THÀNH ĐƯA VÀO QUYẾT TOÁN</v>
          </cell>
        </row>
      </sheetData>
      <sheetData sheetId="9299">
        <row r="4">
          <cell r="A4" t="str">
            <v>BẢNG TÍNH TOÁN, ĐO BÓC KHỐI LƯỢNG HOÀN THÀNH ĐƯA VÀO QUYẾT TOÁN</v>
          </cell>
        </row>
      </sheetData>
      <sheetData sheetId="9300">
        <row r="4">
          <cell r="A4" t="str">
            <v>BẢNG TÍNH TOÁN, ĐO BÓC KHỐI LƯỢNG HOÀN THÀNH ĐƯA VÀO QUYẾT TOÁN</v>
          </cell>
        </row>
      </sheetData>
      <sheetData sheetId="9301">
        <row r="4">
          <cell r="A4" t="str">
            <v>BẢNG TÍNH TOÁN, ĐO BÓC KHỐI LƯỢNG HOÀN THÀNH ĐƯA VÀO QUYẾT TOÁN</v>
          </cell>
        </row>
      </sheetData>
      <sheetData sheetId="9302">
        <row r="4">
          <cell r="A4" t="str">
            <v>BẢNG TÍNH TOÁN, ĐO BÓC KHỐI LƯỢNG HOÀN THÀNH ĐƯA VÀO QUYẾT TOÁN</v>
          </cell>
        </row>
      </sheetData>
      <sheetData sheetId="9303">
        <row r="4">
          <cell r="A4" t="str">
            <v>BẢNG TÍNH TOÁN, ĐO BÓC KHỐI LƯỢNG HOÀN THÀNH ĐƯA VÀO QUYẾT TOÁN</v>
          </cell>
        </row>
      </sheetData>
      <sheetData sheetId="9304">
        <row r="4">
          <cell r="A4" t="str">
            <v>BẢNG TÍNH TOÁN, ĐO BÓC KHỐI LƯỢNG HOÀN THÀNH ĐƯA VÀO QUYẾT TOÁN</v>
          </cell>
        </row>
      </sheetData>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ow r="4">
          <cell r="A4" t="str">
            <v>BẢNG TÍNH TOÁN, ĐO BÓC KHỐI LƯỢNG HOÀN THÀNH ĐƯA VÀO QUYẾT TOÁN</v>
          </cell>
        </row>
      </sheetData>
      <sheetData sheetId="9321">
        <row r="4">
          <cell r="A4" t="str">
            <v>BẢNG TÍNH TOÁN, ĐO BÓC KHỐI LƯỢNG HOÀN THÀNH ĐƯA VÀO QUYẾT TOÁN</v>
          </cell>
        </row>
      </sheetData>
      <sheetData sheetId="9322">
        <row r="4">
          <cell r="A4" t="str">
            <v>BẢNG TÍNH TOÁN, ĐO BÓC KHỐI LƯỢNG HOÀN THÀNH ĐƯA VÀO QUYẾT TOÁN</v>
          </cell>
        </row>
      </sheetData>
      <sheetData sheetId="9323">
        <row r="4">
          <cell r="A4" t="str">
            <v>BẢNG TÍNH TOÁN, ĐO BÓC KHỐI LƯỢNG HOÀN THÀNH ĐƯA VÀO QUYẾT TOÁN</v>
          </cell>
        </row>
      </sheetData>
      <sheetData sheetId="9324">
        <row r="4">
          <cell r="A4" t="str">
            <v>BẢNG TÍNH TOÁN, ĐO BÓC KHỐI LƯỢNG HOÀN THÀNH ĐƯA VÀO QUYẾT TOÁN</v>
          </cell>
        </row>
      </sheetData>
      <sheetData sheetId="9325" refreshError="1"/>
      <sheetData sheetId="9326" refreshError="1"/>
      <sheetData sheetId="9327">
        <row r="4">
          <cell r="A4" t="str">
            <v>BẢNG TÍNH TOÁN, ĐO BÓC KHỐI LƯỢNG HOÀN THÀNH ĐƯA VÀO QUYẾT TOÁN</v>
          </cell>
        </row>
      </sheetData>
      <sheetData sheetId="9328">
        <row r="4">
          <cell r="A4" t="str">
            <v>BẢNG TÍNH TOÁN, ĐO BÓC KHỐI LƯỢNG HOÀN THÀNH ĐƯA VÀO QUYẾT TOÁN</v>
          </cell>
        </row>
      </sheetData>
      <sheetData sheetId="9329">
        <row r="4">
          <cell r="A4" t="str">
            <v>BẢNG TÍNH TOÁN, ĐO BÓC KHỐI LƯỢNG HOÀN THÀNH ĐƯA VÀO QUYẾT TOÁN</v>
          </cell>
        </row>
      </sheetData>
      <sheetData sheetId="9330">
        <row r="4">
          <cell r="A4" t="str">
            <v>BẢNG TÍNH TOÁN, ĐO BÓC KHỐI LƯỢNG HOÀN THÀNH ĐƯA VÀO QUYẾT TOÁN</v>
          </cell>
        </row>
      </sheetData>
      <sheetData sheetId="9331">
        <row r="4">
          <cell r="A4" t="str">
            <v>BẢNG TÍNH TOÁN, ĐO BÓC KHỐI LƯỢNG HOÀN THÀNH ĐƯA VÀO QUYẾT TOÁN</v>
          </cell>
        </row>
      </sheetData>
      <sheetData sheetId="9332">
        <row r="4">
          <cell r="A4" t="str">
            <v>BẢNG TÍNH TOÁN, ĐO BÓC KHỐI LƯỢNG HOÀN THÀNH ĐƯA VÀO QUYẾT TOÁN</v>
          </cell>
        </row>
      </sheetData>
      <sheetData sheetId="9333">
        <row r="4">
          <cell r="A4" t="str">
            <v>BẢNG TÍNH TOÁN, ĐO BÓC KHỐI LƯỢNG HOÀN THÀNH ĐƯA VÀO QUYẾT TOÁN</v>
          </cell>
        </row>
      </sheetData>
      <sheetData sheetId="9334">
        <row r="4">
          <cell r="A4" t="str">
            <v>BẢNG TÍNH TOÁN, ĐO BÓC KHỐI LƯỢNG HOÀN THÀNH ĐƯA VÀO QUYẾT TOÁN</v>
          </cell>
        </row>
      </sheetData>
      <sheetData sheetId="9335">
        <row r="4">
          <cell r="A4" t="str">
            <v>BẢNG TÍNH TOÁN, ĐO BÓC KHỐI LƯỢNG HOÀN THÀNH ĐƯA VÀO QUYẾT TOÁN</v>
          </cell>
        </row>
      </sheetData>
      <sheetData sheetId="9336">
        <row r="4">
          <cell r="A4" t="str">
            <v>BẢNG TÍNH TOÁN, ĐO BÓC KHỐI LƯỢNG HOÀN THÀNH ĐƯA VÀO QUYẾT TOÁN</v>
          </cell>
        </row>
      </sheetData>
      <sheetData sheetId="9337">
        <row r="4">
          <cell r="A4" t="str">
            <v>BẢNG TÍNH TOÁN, ĐO BÓC KHỐI LƯỢNG HOÀN THÀNH ĐƯA VÀO QUYẾT TOÁN</v>
          </cell>
        </row>
      </sheetData>
      <sheetData sheetId="9338">
        <row r="4">
          <cell r="A4" t="str">
            <v>BẢNG TÍNH TOÁN, ĐO BÓC KHỐI LƯỢNG HOÀN THÀNH ĐƯA VÀO QUYẾT TOÁN</v>
          </cell>
        </row>
      </sheetData>
      <sheetData sheetId="9339">
        <row r="4">
          <cell r="A4" t="str">
            <v>BẢNG TÍNH TOÁN, ĐO BÓC KHỐI LƯỢNG HOÀN THÀNH ĐƯA VÀO QUYẾT TOÁN</v>
          </cell>
        </row>
      </sheetData>
      <sheetData sheetId="9340"/>
      <sheetData sheetId="9341"/>
      <sheetData sheetId="9342">
        <row r="9">
          <cell r="A9" t="str">
            <v>A</v>
          </cell>
        </row>
      </sheetData>
      <sheetData sheetId="9343"/>
      <sheetData sheetId="9344">
        <row r="9">
          <cell r="A9" t="str">
            <v>A</v>
          </cell>
        </row>
      </sheetData>
      <sheetData sheetId="9345">
        <row r="4">
          <cell r="A4" t="str">
            <v>BẢNG TÍNH TOÁN, ĐO BÓC KHỐI LƯỢNG HOÀN THÀNH ĐƯA VÀO QUYẾT TOÁN</v>
          </cell>
        </row>
      </sheetData>
      <sheetData sheetId="9346">
        <row r="4">
          <cell r="A4" t="str">
            <v>BẢNG TÍNH TOÁN, ĐO BÓC KHỐI LƯỢNG HOÀN THÀNH ĐƯA VÀO QUYẾT TOÁN</v>
          </cell>
        </row>
      </sheetData>
      <sheetData sheetId="9347" refreshError="1"/>
      <sheetData sheetId="9348" refreshError="1"/>
      <sheetData sheetId="9349" refreshError="1"/>
      <sheetData sheetId="9350" refreshError="1"/>
      <sheetData sheetId="9351" refreshError="1"/>
      <sheetData sheetId="9352">
        <row r="4">
          <cell r="A4" t="str">
            <v>BẢNG TÍNH TOÁN, ĐO BÓC KHỐI LƯỢNG HOÀN THÀNH ĐƯA VÀO QUYẾT TOÁN</v>
          </cell>
        </row>
      </sheetData>
      <sheetData sheetId="9353">
        <row r="4">
          <cell r="A4" t="str">
            <v>BẢNG TÍNH TOÁN, ĐO BÓC KHỐI LƯỢNG HOÀN THÀNH ĐƯA VÀO QUYẾT TOÁN</v>
          </cell>
        </row>
      </sheetData>
      <sheetData sheetId="9354">
        <row r="4">
          <cell r="A4" t="str">
            <v>BẢNG TÍNH TOÁN, ĐO BÓC KHỐI LƯỢNG HOÀN THÀNH ĐƯA VÀO QUYẾT TOÁN</v>
          </cell>
        </row>
      </sheetData>
      <sheetData sheetId="9355"/>
      <sheetData sheetId="9356"/>
      <sheetData sheetId="9357">
        <row r="9">
          <cell r="A9" t="str">
            <v>A</v>
          </cell>
        </row>
      </sheetData>
      <sheetData sheetId="9358">
        <row r="4">
          <cell r="A4" t="str">
            <v>BẢNG TÍNH TOÁN, ĐO BÓC KHỐI LƯỢNG HOÀN THÀNH ĐƯA VÀO QUYẾT TOÁN</v>
          </cell>
        </row>
      </sheetData>
      <sheetData sheetId="9359">
        <row r="4">
          <cell r="A4" t="str">
            <v>BẢNG TÍNH TOÁN, ĐO BÓC KHỐI LƯỢNG HOÀN THÀNH ĐƯA VÀO QUYẾT TOÁN</v>
          </cell>
        </row>
      </sheetData>
      <sheetData sheetId="9360">
        <row r="4">
          <cell r="A4" t="str">
            <v>BẢNG TÍNH TOÁN, ĐO BÓC KHỐI LƯỢNG HOÀN THÀNH ĐƯA VÀO QUYẾT TOÁN</v>
          </cell>
        </row>
      </sheetData>
      <sheetData sheetId="9361">
        <row r="4">
          <cell r="A4" t="str">
            <v>BẢNG TÍNH TOÁN, ĐO BÓC KHỐI LƯỢNG HOÀN THÀNH ĐƯA VÀO QUYẾT TOÁN</v>
          </cell>
        </row>
      </sheetData>
      <sheetData sheetId="9362" refreshError="1"/>
      <sheetData sheetId="9363" refreshError="1"/>
      <sheetData sheetId="9364" refreshError="1"/>
      <sheetData sheetId="9365">
        <row r="4">
          <cell r="A4" t="str">
            <v>BẢNG TÍNH TOÁN, ĐO BÓC KHỐI LƯỢNG HOÀN THÀNH ĐƯA VÀO QUYẾT TOÁN</v>
          </cell>
        </row>
      </sheetData>
      <sheetData sheetId="9366">
        <row r="4">
          <cell r="A4" t="str">
            <v>BẢNG TÍNH TOÁN, ĐO BÓC KHỐI LƯỢNG HOÀN THÀNH ĐƯA VÀO QUYẾT TOÁN</v>
          </cell>
        </row>
      </sheetData>
      <sheetData sheetId="9367">
        <row r="4">
          <cell r="A4" t="str">
            <v>BẢNG TÍNH TOÁN, ĐO BÓC KHỐI LƯỢNG HOÀN THÀNH ĐƯA VÀO QUYẾT TOÁN</v>
          </cell>
        </row>
      </sheetData>
      <sheetData sheetId="9368">
        <row r="4">
          <cell r="A4" t="str">
            <v>BẢNG TÍNH TOÁN, ĐO BÓC KHỐI LƯỢNG HOÀN THÀNH ĐƯA VÀO QUYẾT TOÁN</v>
          </cell>
        </row>
      </sheetData>
      <sheetData sheetId="9369">
        <row r="9">
          <cell r="A9" t="str">
            <v>A</v>
          </cell>
        </row>
      </sheetData>
      <sheetData sheetId="9370"/>
      <sheetData sheetId="9371"/>
      <sheetData sheetId="9372">
        <row r="9">
          <cell r="A9" t="str">
            <v>A</v>
          </cell>
        </row>
      </sheetData>
      <sheetData sheetId="9373"/>
      <sheetData sheetId="9374"/>
      <sheetData sheetId="9375">
        <row r="4">
          <cell r="A4" t="str">
            <v>BẢNG TÍNH TOÁN, ĐO BÓC KHỐI LƯỢNG HOÀN THÀNH ĐƯA VÀO QUYẾT TOÁN</v>
          </cell>
        </row>
      </sheetData>
      <sheetData sheetId="9376">
        <row r="4">
          <cell r="A4" t="str">
            <v>BẢNG TÍNH TOÁN, ĐO BÓC KHỐI LƯỢNG HOÀN THÀNH ĐƯA VÀO QUYẾT TOÁN</v>
          </cell>
        </row>
      </sheetData>
      <sheetData sheetId="9377">
        <row r="4">
          <cell r="A4" t="str">
            <v>BẢNG TÍNH TOÁN, ĐO BÓC KHỐI LƯỢNG HOÀN THÀNH ĐƯA VÀO QUYẾT TOÁN</v>
          </cell>
        </row>
      </sheetData>
      <sheetData sheetId="9378">
        <row r="4">
          <cell r="A4" t="str">
            <v>BẢNG TÍNH TOÁN, ĐO BÓC KHỐI LƯỢNG HOÀN THÀNH ĐƯA VÀO QUYẾT TOÁN</v>
          </cell>
        </row>
      </sheetData>
      <sheetData sheetId="9379">
        <row r="4">
          <cell r="A4" t="str">
            <v>BẢNG TÍNH TOÁN, ĐO BÓC KHỐI LƯỢNG HOÀN THÀNH ĐƯA VÀO QUYẾT TOÁN</v>
          </cell>
        </row>
      </sheetData>
      <sheetData sheetId="9380">
        <row r="4">
          <cell r="A4" t="str">
            <v>BẢNG TÍNH TOÁN, ĐO BÓC KHỐI LƯỢNG HOÀN THÀNH ĐƯA VÀO QUYẾT TOÁN</v>
          </cell>
        </row>
      </sheetData>
      <sheetData sheetId="9381">
        <row r="4">
          <cell r="A4" t="str">
            <v>BẢNG TÍNH TOÁN, ĐO BÓC KHỐI LƯỢNG HOÀN THÀNH ĐƯA VÀO QUYẾT TOÁN</v>
          </cell>
        </row>
      </sheetData>
      <sheetData sheetId="9382">
        <row r="4">
          <cell r="A4" t="str">
            <v>BẢNG TÍNH TOÁN, ĐO BÓC KHỐI LƯỢNG HOÀN THÀNH ĐƯA VÀO QUYẾT TOÁN</v>
          </cell>
        </row>
      </sheetData>
      <sheetData sheetId="9383">
        <row r="4">
          <cell r="A4" t="str">
            <v>BẢNG TÍNH TOÁN, ĐO BÓC KHỐI LƯỢNG HOÀN THÀNH ĐƯA VÀO QUYẾT TOÁN</v>
          </cell>
        </row>
      </sheetData>
      <sheetData sheetId="9384">
        <row r="4">
          <cell r="A4" t="str">
            <v>BẢNG TÍNH TOÁN, ĐO BÓC KHỐI LƯỢNG HOÀN THÀNH ĐƯA VÀO QUYẾT TOÁN</v>
          </cell>
        </row>
      </sheetData>
      <sheetData sheetId="9385">
        <row r="4">
          <cell r="A4" t="str">
            <v>BẢNG TÍNH TOÁN, ĐO BÓC KHỐI LƯỢNG HOÀN THÀNH ĐƯA VÀO QUYẾT TOÁN</v>
          </cell>
        </row>
      </sheetData>
      <sheetData sheetId="9386">
        <row r="4">
          <cell r="A4" t="str">
            <v>BẢNG TÍNH TOÁN, ĐO BÓC KHỐI LƯỢNG HOÀN THÀNH ĐƯA VÀO QUYẾT TOÁN</v>
          </cell>
        </row>
      </sheetData>
      <sheetData sheetId="9387" refreshError="1"/>
      <sheetData sheetId="9388">
        <row r="4">
          <cell r="A4" t="str">
            <v>BẢNG TÍNH TOÁN, ĐO BÓC KHỐI LƯỢNG HOÀN THÀNH ĐƯA VÀO QUYẾT TOÁN</v>
          </cell>
        </row>
      </sheetData>
      <sheetData sheetId="9389">
        <row r="4">
          <cell r="A4" t="str">
            <v>BẢNG TÍNH TOÁN, ĐO BÓC KHỐI LƯỢNG HOÀN THÀNH ĐƯA VÀO QUYẾT TOÁN</v>
          </cell>
        </row>
      </sheetData>
      <sheetData sheetId="9390">
        <row r="4">
          <cell r="A4" t="str">
            <v>BẢNG TÍNH TOÁN, ĐO BÓC KHỐI LƯỢNG HOÀN THÀNH ĐƯA VÀO QUYẾT TOÁN</v>
          </cell>
        </row>
      </sheetData>
      <sheetData sheetId="9391">
        <row r="4">
          <cell r="A4" t="str">
            <v>BẢNG TÍNH TOÁN, ĐO BÓC KHỐI LƯỢNG HOÀN THÀNH ĐƯA VÀO QUYẾT TOÁN</v>
          </cell>
        </row>
      </sheetData>
      <sheetData sheetId="9392">
        <row r="4">
          <cell r="A4" t="str">
            <v>BẢNG TÍNH TOÁN, ĐO BÓC KHỐI LƯỢNG HOÀN THÀNH ĐƯA VÀO QUYẾT TOÁN</v>
          </cell>
        </row>
      </sheetData>
      <sheetData sheetId="9393">
        <row r="4">
          <cell r="A4" t="str">
            <v>BẢNG TÍNH TOÁN, ĐO BÓC KHỐI LƯỢNG HOÀN THÀNH ĐƯA VÀO QUYẾT TOÁN</v>
          </cell>
        </row>
      </sheetData>
      <sheetData sheetId="9394">
        <row r="4">
          <cell r="A4" t="str">
            <v>BẢNG TÍNH TOÁN, ĐO BÓC KHỐI LƯỢNG HOÀN THÀNH ĐƯA VÀO QUYẾT TOÁN</v>
          </cell>
        </row>
      </sheetData>
      <sheetData sheetId="9395">
        <row r="4">
          <cell r="A4" t="str">
            <v>BẢNG TÍNH TOÁN, ĐO BÓC KHỐI LƯỢNG HOÀN THÀNH ĐƯA VÀO QUYẾT TOÁN</v>
          </cell>
        </row>
      </sheetData>
      <sheetData sheetId="9396">
        <row r="4">
          <cell r="A4" t="str">
            <v>BẢNG TÍNH TOÁN, ĐO BÓC KHỐI LƯỢNG HOÀN THÀNH ĐƯA VÀO QUYẾT TOÁN</v>
          </cell>
        </row>
      </sheetData>
      <sheetData sheetId="9397">
        <row r="4">
          <cell r="A4" t="str">
            <v>BẢNG TÍNH TOÁN, ĐO BÓC KHỐI LƯỢNG HOÀN THÀNH ĐƯA VÀO QUYẾT TOÁN</v>
          </cell>
        </row>
      </sheetData>
      <sheetData sheetId="9398">
        <row r="4">
          <cell r="A4" t="str">
            <v>BẢNG TÍNH TOÁN, ĐO BÓC KHỐI LƯỢNG HOÀN THÀNH ĐƯA VÀO QUYẾT TOÁN</v>
          </cell>
        </row>
      </sheetData>
      <sheetData sheetId="9399">
        <row r="4">
          <cell r="A4" t="str">
            <v>BẢNG TÍNH TOÁN, ĐO BÓC KHỐI LƯỢNG HOÀN THÀNH ĐƯA VÀO QUYẾT TOÁN</v>
          </cell>
        </row>
      </sheetData>
      <sheetData sheetId="9400">
        <row r="4">
          <cell r="A4" t="str">
            <v>BẢNG TÍNH TOÁN, ĐO BÓC KHỐI LƯỢNG HOÀN THÀNH ĐƯA VÀO QUYẾT TOÁN</v>
          </cell>
        </row>
      </sheetData>
      <sheetData sheetId="9401">
        <row r="4">
          <cell r="A4" t="str">
            <v>BẢNG TÍNH TOÁN, ĐO BÓC KHỐI LƯỢNG HOÀN THÀNH ĐƯA VÀO QUYẾT TOÁN</v>
          </cell>
        </row>
      </sheetData>
      <sheetData sheetId="9402">
        <row r="4">
          <cell r="A4" t="str">
            <v>BẢNG TÍNH TOÁN, ĐO BÓC KHỐI LƯỢNG HOÀN THÀNH ĐƯA VÀO QUYẾT TOÁN</v>
          </cell>
        </row>
      </sheetData>
      <sheetData sheetId="9403">
        <row r="4">
          <cell r="A4" t="str">
            <v>BẢNG TÍNH TOÁN, ĐO BÓC KHỐI LƯỢNG HOÀN THÀNH ĐƯA VÀO QUYẾT TOÁN</v>
          </cell>
        </row>
      </sheetData>
      <sheetData sheetId="9404">
        <row r="4">
          <cell r="A4" t="str">
            <v>BẢNG TÍNH TOÁN, ĐO BÓC KHỐI LƯỢNG HOÀN THÀNH ĐƯA VÀO QUYẾT TOÁN</v>
          </cell>
        </row>
      </sheetData>
      <sheetData sheetId="9405">
        <row r="4">
          <cell r="A4" t="str">
            <v>BẢNG TÍNH TOÁN, ĐO BÓC KHỐI LƯỢNG HOÀN THÀNH ĐƯA VÀO QUYẾT TOÁN</v>
          </cell>
        </row>
      </sheetData>
      <sheetData sheetId="9406">
        <row r="4">
          <cell r="A4" t="str">
            <v>BẢNG TÍNH TOÁN, ĐO BÓC KHỐI LƯỢNG HOÀN THÀNH ĐƯA VÀO QUYẾT TOÁN</v>
          </cell>
        </row>
      </sheetData>
      <sheetData sheetId="9407">
        <row r="4">
          <cell r="A4" t="str">
            <v>BẢNG TÍNH TOÁN, ĐO BÓC KHỐI LƯỢNG HOÀN THÀNH ĐƯA VÀO QUYẾT TOÁN</v>
          </cell>
        </row>
      </sheetData>
      <sheetData sheetId="9408">
        <row r="4">
          <cell r="A4" t="str">
            <v>BẢNG TÍNH TOÁN, ĐO BÓC KHỐI LƯỢNG HOÀN THÀNH ĐƯA VÀO QUYẾT TOÁN</v>
          </cell>
        </row>
      </sheetData>
      <sheetData sheetId="9409">
        <row r="4">
          <cell r="A4" t="str">
            <v>BẢNG TÍNH TOÁN, ĐO BÓC KHỐI LƯỢNG HOÀN THÀNH ĐƯA VÀO QUYẾT TOÁN</v>
          </cell>
        </row>
      </sheetData>
      <sheetData sheetId="9410">
        <row r="4">
          <cell r="A4" t="str">
            <v>BẢNG TÍNH TOÁN, ĐO BÓC KHỐI LƯỢNG HOÀN THÀNH ĐƯA VÀO QUYẾT TOÁN</v>
          </cell>
        </row>
      </sheetData>
      <sheetData sheetId="9411">
        <row r="4">
          <cell r="A4" t="str">
            <v>BẢNG TÍNH TOÁN, ĐO BÓC KHỐI LƯỢNG HOÀN THÀNH ĐƯA VÀO QUYẾT TOÁN</v>
          </cell>
        </row>
      </sheetData>
      <sheetData sheetId="9412">
        <row r="4">
          <cell r="A4" t="str">
            <v>BẢNG TÍNH TOÁN, ĐO BÓC KHỐI LƯỢNG HOÀN THÀNH ĐƯA VÀO QUYẾT TOÁN</v>
          </cell>
        </row>
      </sheetData>
      <sheetData sheetId="9413">
        <row r="4">
          <cell r="A4" t="str">
            <v>BẢNG TÍNH TOÁN, ĐO BÓC KHỐI LƯỢNG HOÀN THÀNH ĐƯA VÀO QUYẾT TOÁN</v>
          </cell>
        </row>
      </sheetData>
      <sheetData sheetId="9414">
        <row r="4">
          <cell r="A4" t="str">
            <v>BẢNG TÍNH TOÁN, ĐO BÓC KHỐI LƯỢNG HOÀN THÀNH ĐƯA VÀO QUYẾT TOÁN</v>
          </cell>
        </row>
      </sheetData>
      <sheetData sheetId="9415">
        <row r="4">
          <cell r="A4" t="str">
            <v>BẢNG TÍNH TOÁN, ĐO BÓC KHỐI LƯỢNG HOÀN THÀNH ĐƯA VÀO QUYẾT TOÁN</v>
          </cell>
        </row>
      </sheetData>
      <sheetData sheetId="9416">
        <row r="4">
          <cell r="A4" t="str">
            <v>BẢNG TÍNH TOÁN, ĐO BÓC KHỐI LƯỢNG HOÀN THÀNH ĐƯA VÀO QUYẾT TOÁN</v>
          </cell>
        </row>
      </sheetData>
      <sheetData sheetId="9417">
        <row r="4">
          <cell r="A4" t="str">
            <v>BẢNG TÍNH TOÁN, ĐO BÓC KHỐI LƯỢNG HOÀN THÀNH ĐƯA VÀO QUYẾT TOÁN</v>
          </cell>
        </row>
      </sheetData>
      <sheetData sheetId="9418">
        <row r="4">
          <cell r="A4" t="str">
            <v>BẢNG TÍNH TOÁN, ĐO BÓC KHỐI LƯỢNG HOÀN THÀNH ĐƯA VÀO QUYẾT TOÁN</v>
          </cell>
        </row>
      </sheetData>
      <sheetData sheetId="9419">
        <row r="4">
          <cell r="A4" t="str">
            <v>BẢNG TÍNH TOÁN, ĐO BÓC KHỐI LƯỢNG HOÀN THÀNH ĐƯA VÀO QUYẾT TOÁN</v>
          </cell>
        </row>
      </sheetData>
      <sheetData sheetId="9420">
        <row r="4">
          <cell r="A4" t="str">
            <v>BẢNG TÍNH TOÁN, ĐO BÓC KHỐI LƯỢNG HOÀN THÀNH ĐƯA VÀO QUYẾT TOÁN</v>
          </cell>
        </row>
      </sheetData>
      <sheetData sheetId="9421">
        <row r="4">
          <cell r="A4" t="str">
            <v>BẢNG TÍNH TOÁN, ĐO BÓC KHỐI LƯỢNG HOÀN THÀNH ĐƯA VÀO QUYẾT TOÁN</v>
          </cell>
        </row>
      </sheetData>
      <sheetData sheetId="9422">
        <row r="4">
          <cell r="A4" t="str">
            <v>BẢNG TÍNH TOÁN, ĐO BÓC KHỐI LƯỢNG HOÀN THÀNH ĐƯA VÀO QUYẾT TOÁN</v>
          </cell>
        </row>
      </sheetData>
      <sheetData sheetId="9423">
        <row r="4">
          <cell r="A4" t="str">
            <v>BẢNG TÍNH TOÁN, ĐO BÓC KHỐI LƯỢNG HOÀN THÀNH ĐƯA VÀO QUYẾT TOÁN</v>
          </cell>
        </row>
      </sheetData>
      <sheetData sheetId="9424">
        <row r="4">
          <cell r="A4" t="str">
            <v>BẢNG TÍNH TOÁN, ĐO BÓC KHỐI LƯỢNG HOÀN THÀNH ĐƯA VÀO QUYẾT TOÁN</v>
          </cell>
        </row>
      </sheetData>
      <sheetData sheetId="9425">
        <row r="4">
          <cell r="A4" t="str">
            <v>BẢNG TÍNH TOÁN, ĐO BÓC KHỐI LƯỢNG HOÀN THÀNH ĐƯA VÀO QUYẾT TOÁN</v>
          </cell>
        </row>
      </sheetData>
      <sheetData sheetId="9426">
        <row r="4">
          <cell r="A4" t="str">
            <v>BẢNG TÍNH TOÁN, ĐO BÓC KHỐI LƯỢNG HOÀN THÀNH ĐƯA VÀO QUYẾT TOÁN</v>
          </cell>
        </row>
      </sheetData>
      <sheetData sheetId="9427">
        <row r="4">
          <cell r="A4" t="str">
            <v>BẢNG TÍNH TOÁN, ĐO BÓC KHỐI LƯỢNG HOÀN THÀNH ĐƯA VÀO QUYẾT TOÁN</v>
          </cell>
        </row>
      </sheetData>
      <sheetData sheetId="9428">
        <row r="4">
          <cell r="A4" t="str">
            <v>BẢNG TÍNH TOÁN, ĐO BÓC KHỐI LƯỢNG HOÀN THÀNH ĐƯA VÀO QUYẾT TOÁN</v>
          </cell>
        </row>
      </sheetData>
      <sheetData sheetId="9429">
        <row r="4">
          <cell r="A4" t="str">
            <v>BẢNG TÍNH TOÁN, ĐO BÓC KHỐI LƯỢNG HOÀN THÀNH ĐƯA VÀO QUYẾT TOÁN</v>
          </cell>
        </row>
      </sheetData>
      <sheetData sheetId="9430">
        <row r="4">
          <cell r="A4" t="str">
            <v>BẢNG TÍNH TOÁN, ĐO BÓC KHỐI LƯỢNG HOÀN THÀNH ĐƯA VÀO QUYẾT TOÁN</v>
          </cell>
        </row>
      </sheetData>
      <sheetData sheetId="9431">
        <row r="4">
          <cell r="A4" t="str">
            <v>BẢNG TÍNH TOÁN, ĐO BÓC KHỐI LƯỢNG HOÀN THÀNH ĐƯA VÀO QUYẾT TOÁN</v>
          </cell>
        </row>
      </sheetData>
      <sheetData sheetId="9432">
        <row r="4">
          <cell r="A4" t="str">
            <v>BẢNG TÍNH TOÁN, ĐO BÓC KHỐI LƯỢNG HOÀN THÀNH ĐƯA VÀO QUYẾT TOÁN</v>
          </cell>
        </row>
      </sheetData>
      <sheetData sheetId="9433">
        <row r="4">
          <cell r="A4" t="str">
            <v>BẢNG TÍNH TOÁN, ĐO BÓC KHỐI LƯỢNG HOÀN THÀNH ĐƯA VÀO QUYẾT TOÁN</v>
          </cell>
        </row>
      </sheetData>
      <sheetData sheetId="9434">
        <row r="4">
          <cell r="A4" t="str">
            <v>BẢNG TÍNH TOÁN, ĐO BÓC KHỐI LƯỢNG HOÀN THÀNH ĐƯA VÀO QUYẾT TOÁN</v>
          </cell>
        </row>
      </sheetData>
      <sheetData sheetId="9435">
        <row r="4">
          <cell r="A4" t="str">
            <v>BẢNG TÍNH TOÁN, ĐO BÓC KHỐI LƯỢNG HOÀN THÀNH ĐƯA VÀO QUYẾT TOÁN</v>
          </cell>
        </row>
      </sheetData>
      <sheetData sheetId="9436">
        <row r="4">
          <cell r="A4" t="str">
            <v>BẢNG TÍNH TOÁN, ĐO BÓC KHỐI LƯỢNG HOÀN THÀNH ĐƯA VÀO QUYẾT TOÁN</v>
          </cell>
        </row>
      </sheetData>
      <sheetData sheetId="9437">
        <row r="4">
          <cell r="A4" t="str">
            <v>BẢNG TÍNH TOÁN, ĐO BÓC KHỐI LƯỢNG HOÀN THÀNH ĐƯA VÀO QUYẾT TOÁN</v>
          </cell>
        </row>
      </sheetData>
      <sheetData sheetId="9438">
        <row r="4">
          <cell r="A4" t="str">
            <v>BẢNG TÍNH TOÁN, ĐO BÓC KHỐI LƯỢNG HOÀN THÀNH ĐƯA VÀO QUYẾT TOÁN</v>
          </cell>
        </row>
      </sheetData>
      <sheetData sheetId="9439">
        <row r="4">
          <cell r="A4" t="str">
            <v>BẢNG TÍNH TOÁN, ĐO BÓC KHỐI LƯỢNG HOÀN THÀNH ĐƯA VÀO QUYẾT TOÁN</v>
          </cell>
        </row>
      </sheetData>
      <sheetData sheetId="9440">
        <row r="4">
          <cell r="A4" t="str">
            <v>BẢNG TÍNH TOÁN, ĐO BÓC KHỐI LƯỢNG HOÀN THÀNH ĐƯA VÀO QUYẾT TOÁN</v>
          </cell>
        </row>
      </sheetData>
      <sheetData sheetId="9441">
        <row r="4">
          <cell r="A4" t="str">
            <v>BẢNG TÍNH TOÁN, ĐO BÓC KHỐI LƯỢNG HOÀN THÀNH ĐƯA VÀO QUYẾT TOÁN</v>
          </cell>
        </row>
      </sheetData>
      <sheetData sheetId="9442">
        <row r="4">
          <cell r="A4" t="str">
            <v>BẢNG TÍNH TOÁN, ĐO BÓC KHỐI LƯỢNG HOÀN THÀNH ĐƯA VÀO QUYẾT TOÁN</v>
          </cell>
        </row>
      </sheetData>
      <sheetData sheetId="9443">
        <row r="4">
          <cell r="A4" t="str">
            <v>BẢNG TÍNH TOÁN, ĐO BÓC KHỐI LƯỢNG HOÀN THÀNH ĐƯA VÀO QUYẾT TOÁN</v>
          </cell>
        </row>
      </sheetData>
      <sheetData sheetId="9444">
        <row r="4">
          <cell r="A4" t="str">
            <v>BẢNG TÍNH TOÁN, ĐO BÓC KHỐI LƯỢNG HOÀN THÀNH ĐƯA VÀO QUYẾT TOÁN</v>
          </cell>
        </row>
      </sheetData>
      <sheetData sheetId="9445">
        <row r="4">
          <cell r="A4" t="str">
            <v>BẢNG TÍNH TOÁN, ĐO BÓC KHỐI LƯỢNG HOÀN THÀNH ĐƯA VÀO QUYẾT TOÁN</v>
          </cell>
        </row>
      </sheetData>
      <sheetData sheetId="9446">
        <row r="4">
          <cell r="A4" t="str">
            <v>BẢNG TÍNH TOÁN, ĐO BÓC KHỐI LƯỢNG HOÀN THÀNH ĐƯA VÀO QUYẾT TOÁN</v>
          </cell>
        </row>
      </sheetData>
      <sheetData sheetId="9447">
        <row r="4">
          <cell r="A4" t="str">
            <v>BẢNG TÍNH TOÁN, ĐO BÓC KHỐI LƯỢNG HOÀN THÀNH ĐƯA VÀO QUYẾT TOÁN</v>
          </cell>
        </row>
      </sheetData>
      <sheetData sheetId="9448">
        <row r="4">
          <cell r="A4" t="str">
            <v>BẢNG TÍNH TOÁN, ĐO BÓC KHỐI LƯỢNG HOÀN THÀNH ĐƯA VÀO QUYẾT TOÁN</v>
          </cell>
        </row>
      </sheetData>
      <sheetData sheetId="9449">
        <row r="4">
          <cell r="A4" t="str">
            <v>BẢNG TÍNH TOÁN, ĐO BÓC KHỐI LƯỢNG HOÀN THÀNH ĐƯA VÀO QUYẾT TOÁN</v>
          </cell>
        </row>
      </sheetData>
      <sheetData sheetId="9450">
        <row r="4">
          <cell r="A4" t="str">
            <v>BẢNG TÍNH TOÁN, ĐO BÓC KHỐI LƯỢNG HOÀN THÀNH ĐƯA VÀO QUYẾT TOÁN</v>
          </cell>
        </row>
      </sheetData>
      <sheetData sheetId="9451">
        <row r="4">
          <cell r="A4" t="str">
            <v>BẢNG TÍNH TOÁN, ĐO BÓC KHỐI LƯỢNG HOÀN THÀNH ĐƯA VÀO QUYẾT TOÁN</v>
          </cell>
        </row>
      </sheetData>
      <sheetData sheetId="9452">
        <row r="4">
          <cell r="A4" t="str">
            <v>BẢNG TÍNH TOÁN, ĐO BÓC KHỐI LƯỢNG HOÀN THÀNH ĐƯA VÀO QUYẾT TOÁN</v>
          </cell>
        </row>
      </sheetData>
      <sheetData sheetId="9453">
        <row r="4">
          <cell r="A4" t="str">
            <v>BẢNG TÍNH TOÁN, ĐO BÓC KHỐI LƯỢNG HOÀN THÀNH ĐƯA VÀO QUYẾT TOÁN</v>
          </cell>
        </row>
      </sheetData>
      <sheetData sheetId="9454">
        <row r="4">
          <cell r="A4" t="str">
            <v>BẢNG TÍNH TOÁN, ĐO BÓC KHỐI LƯỢNG HOÀN THÀNH ĐƯA VÀO QUYẾT TOÁN</v>
          </cell>
        </row>
      </sheetData>
      <sheetData sheetId="9455">
        <row r="4">
          <cell r="A4" t="str">
            <v>BẢNG TÍNH TOÁN, ĐO BÓC KHỐI LƯỢNG HOÀN THÀNH ĐƯA VÀO QUYẾT TOÁN</v>
          </cell>
        </row>
      </sheetData>
      <sheetData sheetId="9456">
        <row r="4">
          <cell r="A4" t="str">
            <v>BẢNG TÍNH TOÁN, ĐO BÓC KHỐI LƯỢNG HOÀN THÀNH ĐƯA VÀO QUYẾT TOÁN</v>
          </cell>
        </row>
      </sheetData>
      <sheetData sheetId="9457">
        <row r="4">
          <cell r="A4" t="str">
            <v>BẢNG TÍNH TOÁN, ĐO BÓC KHỐI LƯỢNG HOÀN THÀNH ĐƯA VÀO QUYẾT TOÁN</v>
          </cell>
        </row>
      </sheetData>
      <sheetData sheetId="9458">
        <row r="4">
          <cell r="A4" t="str">
            <v>BẢNG TÍNH TOÁN, ĐO BÓC KHỐI LƯỢNG HOÀN THÀNH ĐƯA VÀO QUYẾT TOÁN</v>
          </cell>
        </row>
      </sheetData>
      <sheetData sheetId="9459">
        <row r="4">
          <cell r="A4" t="str">
            <v>BẢNG TÍNH TOÁN, ĐO BÓC KHỐI LƯỢNG HOÀN THÀNH ĐƯA VÀO QUYẾT TOÁN</v>
          </cell>
        </row>
      </sheetData>
      <sheetData sheetId="9460">
        <row r="4">
          <cell r="A4" t="str">
            <v>BẢNG TÍNH TOÁN, ĐO BÓC KHỐI LƯỢNG HOÀN THÀNH ĐƯA VÀO QUYẾT TOÁN</v>
          </cell>
        </row>
      </sheetData>
      <sheetData sheetId="9461">
        <row r="4">
          <cell r="A4" t="str">
            <v>BẢNG TÍNH TOÁN, ĐO BÓC KHỐI LƯỢNG HOÀN THÀNH ĐƯA VÀO QUYẾT TOÁN</v>
          </cell>
        </row>
      </sheetData>
      <sheetData sheetId="9462">
        <row r="4">
          <cell r="A4" t="str">
            <v>BẢNG TÍNH TOÁN, ĐO BÓC KHỐI LƯỢNG HOÀN THÀNH ĐƯA VÀO QUYẾT TOÁN</v>
          </cell>
        </row>
      </sheetData>
      <sheetData sheetId="9463">
        <row r="4">
          <cell r="A4" t="str">
            <v>BẢNG TÍNH TOÁN, ĐO BÓC KHỐI LƯỢNG HOÀN THÀNH ĐƯA VÀO QUYẾT TOÁN</v>
          </cell>
        </row>
      </sheetData>
      <sheetData sheetId="9464">
        <row r="4">
          <cell r="A4" t="str">
            <v>BẢNG TÍNH TOÁN, ĐO BÓC KHỐI LƯỢNG HOÀN THÀNH ĐƯA VÀO QUYẾT TOÁN</v>
          </cell>
        </row>
      </sheetData>
      <sheetData sheetId="9465">
        <row r="4">
          <cell r="A4" t="str">
            <v>BẢNG TÍNH TOÁN, ĐO BÓC KHỐI LƯỢNG HOÀN THÀNH ĐƯA VÀO QUYẾT TOÁN</v>
          </cell>
        </row>
      </sheetData>
      <sheetData sheetId="9466">
        <row r="4">
          <cell r="A4" t="str">
            <v>BẢNG TÍNH TOÁN, ĐO BÓC KHỐI LƯỢNG HOÀN THÀNH ĐƯA VÀO QUYẾT TOÁN</v>
          </cell>
        </row>
      </sheetData>
      <sheetData sheetId="9467">
        <row r="4">
          <cell r="A4" t="str">
            <v>BẢNG TÍNH TOÁN, ĐO BÓC KHỐI LƯỢNG HOÀN THÀNH ĐƯA VÀO QUYẾT TOÁN</v>
          </cell>
        </row>
      </sheetData>
      <sheetData sheetId="9468">
        <row r="4">
          <cell r="A4" t="str">
            <v>BẢNG TÍNH TOÁN, ĐO BÓC KHỐI LƯỢNG HOÀN THÀNH ĐƯA VÀO QUYẾT TOÁN</v>
          </cell>
        </row>
      </sheetData>
      <sheetData sheetId="9469">
        <row r="4">
          <cell r="A4" t="str">
            <v>BẢNG TÍNH TOÁN, ĐO BÓC KHỐI LƯỢNG HOÀN THÀNH ĐƯA VÀO QUYẾT TOÁN</v>
          </cell>
        </row>
      </sheetData>
      <sheetData sheetId="9470">
        <row r="4">
          <cell r="A4" t="str">
            <v>BẢNG TÍNH TOÁN, ĐO BÓC KHỐI LƯỢNG HOÀN THÀNH ĐƯA VÀO QUYẾT TOÁN</v>
          </cell>
        </row>
      </sheetData>
      <sheetData sheetId="9471">
        <row r="4">
          <cell r="A4" t="str">
            <v>BẢNG TÍNH TOÁN, ĐO BÓC KHỐI LƯỢNG HOÀN THÀNH ĐƯA VÀO QUYẾT TOÁN</v>
          </cell>
        </row>
      </sheetData>
      <sheetData sheetId="9472">
        <row r="4">
          <cell r="A4" t="str">
            <v>BẢNG TÍNH TOÁN, ĐO BÓC KHỐI LƯỢNG HOÀN THÀNH ĐƯA VÀO QUYẾT TOÁN</v>
          </cell>
        </row>
      </sheetData>
      <sheetData sheetId="9473">
        <row r="4">
          <cell r="A4" t="str">
            <v>BẢNG TÍNH TOÁN, ĐO BÓC KHỐI LƯỢNG HOÀN THÀNH ĐƯA VÀO QUYẾT TOÁN</v>
          </cell>
        </row>
      </sheetData>
      <sheetData sheetId="9474">
        <row r="4">
          <cell r="A4" t="str">
            <v>BẢNG TÍNH TOÁN, ĐO BÓC KHỐI LƯỢNG HOÀN THÀNH ĐƯA VÀO QUYẾT TOÁN</v>
          </cell>
        </row>
      </sheetData>
      <sheetData sheetId="9475">
        <row r="4">
          <cell r="A4" t="str">
            <v>BẢNG TÍNH TOÁN, ĐO BÓC KHỐI LƯỢNG HOÀN THÀNH ĐƯA VÀO QUYẾT TOÁN</v>
          </cell>
        </row>
      </sheetData>
      <sheetData sheetId="9476">
        <row r="4">
          <cell r="A4" t="str">
            <v>BẢNG TÍNH TOÁN, ĐO BÓC KHỐI LƯỢNG HOÀN THÀNH ĐƯA VÀO QUYẾT TOÁN</v>
          </cell>
        </row>
      </sheetData>
      <sheetData sheetId="9477">
        <row r="4">
          <cell r="A4" t="str">
            <v>BẢNG TÍNH TOÁN, ĐO BÓC KHỐI LƯỢNG HOÀN THÀNH ĐƯA VÀO QUYẾT TOÁN</v>
          </cell>
        </row>
      </sheetData>
      <sheetData sheetId="9478">
        <row r="4">
          <cell r="A4" t="str">
            <v>BẢNG TÍNH TOÁN, ĐO BÓC KHỐI LƯỢNG HOÀN THÀNH ĐƯA VÀO QUYẾT TOÁN</v>
          </cell>
        </row>
      </sheetData>
      <sheetData sheetId="9479">
        <row r="4">
          <cell r="A4" t="str">
            <v>BẢNG TÍNH TOÁN, ĐO BÓC KHỐI LƯỢNG HOÀN THÀNH ĐƯA VÀO QUYẾT TOÁN</v>
          </cell>
        </row>
      </sheetData>
      <sheetData sheetId="9480">
        <row r="4">
          <cell r="A4" t="str">
            <v>BẢNG TÍNH TOÁN, ĐO BÓC KHỐI LƯỢNG HOÀN THÀNH ĐƯA VÀO QUYẾT TOÁN</v>
          </cell>
        </row>
      </sheetData>
      <sheetData sheetId="9481">
        <row r="4">
          <cell r="A4" t="str">
            <v>BẢNG TÍNH TOÁN, ĐO BÓC KHỐI LƯỢNG HOÀN THÀNH ĐƯA VÀO QUYẾT TOÁN</v>
          </cell>
        </row>
      </sheetData>
      <sheetData sheetId="9482">
        <row r="4">
          <cell r="A4" t="str">
            <v>BẢNG TÍNH TOÁN, ĐO BÓC KHỐI LƯỢNG HOÀN THÀNH ĐƯA VÀO QUYẾT TOÁN</v>
          </cell>
        </row>
      </sheetData>
      <sheetData sheetId="9483">
        <row r="4">
          <cell r="A4" t="str">
            <v>BẢNG TÍNH TOÁN, ĐO BÓC KHỐI LƯỢNG HOÀN THÀNH ĐƯA VÀO QUYẾT TOÁN</v>
          </cell>
        </row>
      </sheetData>
      <sheetData sheetId="9484">
        <row r="4">
          <cell r="A4" t="str">
            <v>BẢNG TÍNH TOÁN, ĐO BÓC KHỐI LƯỢNG HOÀN THÀNH ĐƯA VÀO QUYẾT TOÁN</v>
          </cell>
        </row>
      </sheetData>
      <sheetData sheetId="9485">
        <row r="4">
          <cell r="A4" t="str">
            <v>BẢNG TÍNH TOÁN, ĐO BÓC KHỐI LƯỢNG HOÀN THÀNH ĐƯA VÀO QUYẾT TOÁN</v>
          </cell>
        </row>
      </sheetData>
      <sheetData sheetId="9486">
        <row r="4">
          <cell r="A4" t="str">
            <v>BẢNG TÍNH TOÁN, ĐO BÓC KHỐI LƯỢNG HOÀN THÀNH ĐƯA VÀO QUYẾT TOÁN</v>
          </cell>
        </row>
      </sheetData>
      <sheetData sheetId="9487">
        <row r="4">
          <cell r="A4" t="str">
            <v>BẢNG TÍNH TOÁN, ĐO BÓC KHỐI LƯỢNG HOÀN THÀNH ĐƯA VÀO QUYẾT TOÁN</v>
          </cell>
        </row>
      </sheetData>
      <sheetData sheetId="9488">
        <row r="4">
          <cell r="A4" t="str">
            <v>BẢNG TÍNH TOÁN, ĐO BÓC KHỐI LƯỢNG HOÀN THÀNH ĐƯA VÀO QUYẾT TOÁN</v>
          </cell>
        </row>
      </sheetData>
      <sheetData sheetId="9489">
        <row r="4">
          <cell r="A4" t="str">
            <v>BẢNG TÍNH TOÁN, ĐO BÓC KHỐI LƯỢNG HOÀN THÀNH ĐƯA VÀO QUYẾT TOÁN</v>
          </cell>
        </row>
      </sheetData>
      <sheetData sheetId="9490" refreshError="1"/>
      <sheetData sheetId="9491" refreshError="1"/>
      <sheetData sheetId="9492" refreshError="1"/>
      <sheetData sheetId="9493" refreshError="1"/>
      <sheetData sheetId="9494" refreshError="1"/>
      <sheetData sheetId="9495">
        <row r="4">
          <cell r="A4" t="str">
            <v>BẢNG TÍNH TOÁN, ĐO BÓC KHỐI LƯỢNG HOÀN THÀNH ĐƯA VÀO QUYẾT TOÁN</v>
          </cell>
        </row>
      </sheetData>
      <sheetData sheetId="9496">
        <row r="4">
          <cell r="A4" t="str">
            <v>BẢNG TÍNH TOÁN, ĐO BÓC KHỐI LƯỢNG HOÀN THÀNH ĐƯA VÀO QUYẾT TOÁN</v>
          </cell>
        </row>
      </sheetData>
      <sheetData sheetId="9497">
        <row r="4">
          <cell r="A4" t="str">
            <v>BẢNG TÍNH TOÁN, ĐO BÓC KHỐI LƯỢNG HOÀN THÀNH ĐƯA VÀO QUYẾT TOÁN</v>
          </cell>
        </row>
      </sheetData>
      <sheetData sheetId="9498">
        <row r="4">
          <cell r="A4" t="str">
            <v>BẢNG TÍNH TOÁN, ĐO BÓC KHỐI LƯỢNG HOÀN THÀNH ĐƯA VÀO QUYẾT TOÁN</v>
          </cell>
        </row>
      </sheetData>
      <sheetData sheetId="9499">
        <row r="4">
          <cell r="A4" t="str">
            <v>BẢNG TÍNH TOÁN, ĐO BÓC KHỐI LƯỢNG HOÀN THÀNH ĐƯA VÀO QUYẾT TOÁN</v>
          </cell>
        </row>
      </sheetData>
      <sheetData sheetId="9500">
        <row r="4">
          <cell r="A4" t="str">
            <v>BẢNG TÍNH TOÁN, ĐO BÓC KHỐI LƯỢNG HOÀN THÀNH ĐƯA VÀO QUYẾT TOÁN</v>
          </cell>
        </row>
      </sheetData>
      <sheetData sheetId="9501">
        <row r="4">
          <cell r="A4" t="str">
            <v>BẢNG TÍNH TOÁN, ĐO BÓC KHỐI LƯỢNG HOÀN THÀNH ĐƯA VÀO QUYẾT TOÁN</v>
          </cell>
        </row>
      </sheetData>
      <sheetData sheetId="9502">
        <row r="4">
          <cell r="A4" t="str">
            <v>BẢNG TÍNH TOÁN, ĐO BÓC KHỐI LƯỢNG HOÀN THÀNH ĐƯA VÀO QUYẾT TOÁN</v>
          </cell>
        </row>
      </sheetData>
      <sheetData sheetId="9503" refreshError="1"/>
      <sheetData sheetId="9504">
        <row r="4">
          <cell r="A4" t="str">
            <v>BẢNG TÍNH TOÁN, ĐO BÓC KHỐI LƯỢNG HOÀN THÀNH ĐƯA VÀO QUYẾT TOÁN</v>
          </cell>
        </row>
      </sheetData>
      <sheetData sheetId="9505">
        <row r="4">
          <cell r="A4" t="str">
            <v>BẢNG TÍNH TOÁN, ĐO BÓC KHỐI LƯỢNG HOÀN THÀNH ĐƯA VÀO QUYẾT TOÁN</v>
          </cell>
        </row>
      </sheetData>
      <sheetData sheetId="9506">
        <row r="4">
          <cell r="A4" t="str">
            <v>BẢNG TÍNH TOÁN, ĐO BÓC KHỐI LƯỢNG HOÀN THÀNH ĐƯA VÀO QUYẾT TOÁN</v>
          </cell>
        </row>
      </sheetData>
      <sheetData sheetId="9507">
        <row r="4">
          <cell r="A4" t="str">
            <v>BẢNG TÍNH TOÁN, ĐO BÓC KHỐI LƯỢNG HOÀN THÀNH ĐƯA VÀO QUYẾT TOÁN</v>
          </cell>
        </row>
      </sheetData>
      <sheetData sheetId="9508">
        <row r="4">
          <cell r="A4" t="str">
            <v>BẢNG TÍNH TOÁN, ĐO BÓC KHỐI LƯỢNG HOÀN THÀNH ĐƯA VÀO QUYẾT TOÁN</v>
          </cell>
        </row>
      </sheetData>
      <sheetData sheetId="9509">
        <row r="4">
          <cell r="A4" t="str">
            <v>BẢNG TÍNH TOÁN, ĐO BÓC KHỐI LƯỢNG HOÀN THÀNH ĐƯA VÀO QUYẾT TOÁN</v>
          </cell>
        </row>
      </sheetData>
      <sheetData sheetId="9510">
        <row r="4">
          <cell r="A4" t="str">
            <v>BẢNG TÍNH TOÁN, ĐO BÓC KHỐI LƯỢNG HOÀN THÀNH ĐƯA VÀO QUYẾT TOÁN</v>
          </cell>
        </row>
      </sheetData>
      <sheetData sheetId="9511">
        <row r="4">
          <cell r="A4" t="str">
            <v>BẢNG TÍNH TOÁN, ĐO BÓC KHỐI LƯỢNG HOÀN THÀNH ĐƯA VÀO QUYẾT TOÁN</v>
          </cell>
        </row>
      </sheetData>
      <sheetData sheetId="9512">
        <row r="4">
          <cell r="A4" t="str">
            <v>BẢNG TÍNH TOÁN, ĐO BÓC KHỐI LƯỢNG HOÀN THÀNH ĐƯA VÀO QUYẾT TOÁN</v>
          </cell>
        </row>
      </sheetData>
      <sheetData sheetId="9513">
        <row r="4">
          <cell r="A4" t="str">
            <v>BẢNG TÍNH TOÁN, ĐO BÓC KHỐI LƯỢNG HOÀN THÀNH ĐƯA VÀO QUYẾT TOÁN</v>
          </cell>
        </row>
      </sheetData>
      <sheetData sheetId="9514">
        <row r="4">
          <cell r="A4" t="str">
            <v>BẢNG TÍNH TOÁN, ĐO BÓC KHỐI LƯỢNG HOÀN THÀNH ĐƯA VÀO QUYẾT TOÁN</v>
          </cell>
        </row>
      </sheetData>
      <sheetData sheetId="9515">
        <row r="4">
          <cell r="A4" t="str">
            <v>BẢNG TÍNH TOÁN, ĐO BÓC KHỐI LƯỢNG HOÀN THÀNH ĐƯA VÀO QUYẾT TOÁN</v>
          </cell>
        </row>
      </sheetData>
      <sheetData sheetId="9516">
        <row r="4">
          <cell r="A4" t="str">
            <v>BẢNG TÍNH TOÁN, ĐO BÓC KHỐI LƯỢNG HOÀN THÀNH ĐƯA VÀO QUYẾT TOÁN</v>
          </cell>
        </row>
      </sheetData>
      <sheetData sheetId="9517">
        <row r="4">
          <cell r="A4" t="str">
            <v>BẢNG TÍNH TOÁN, ĐO BÓC KHỐI LƯỢNG HOÀN THÀNH ĐƯA VÀO QUYẾT TOÁN</v>
          </cell>
        </row>
      </sheetData>
      <sheetData sheetId="9518">
        <row r="4">
          <cell r="A4" t="str">
            <v>BẢNG TÍNH TOÁN, ĐO BÓC KHỐI LƯỢNG HOÀN THÀNH ĐƯA VÀO QUYẾT TOÁN</v>
          </cell>
        </row>
      </sheetData>
      <sheetData sheetId="9519">
        <row r="4">
          <cell r="A4" t="str">
            <v>BẢNG TÍNH TOÁN, ĐO BÓC KHỐI LƯỢNG HOÀN THÀNH ĐƯA VÀO QUYẾT TOÁN</v>
          </cell>
        </row>
      </sheetData>
      <sheetData sheetId="9520">
        <row r="4">
          <cell r="A4" t="str">
            <v>BẢNG TÍNH TOÁN, ĐO BÓC KHỐI LƯỢNG HOÀN THÀNH ĐƯA VÀO QUYẾT TOÁN</v>
          </cell>
        </row>
      </sheetData>
      <sheetData sheetId="9521">
        <row r="4">
          <cell r="A4" t="str">
            <v>BẢNG TÍNH TOÁN, ĐO BÓC KHỐI LƯỢNG HOÀN THÀNH ĐƯA VÀO QUYẾT TOÁN</v>
          </cell>
        </row>
      </sheetData>
      <sheetData sheetId="9522">
        <row r="4">
          <cell r="A4" t="str">
            <v>BẢNG TÍNH TOÁN, ĐO BÓC KHỐI LƯỢNG HOÀN THÀNH ĐƯA VÀO QUYẾT TOÁN</v>
          </cell>
        </row>
      </sheetData>
      <sheetData sheetId="9523">
        <row r="4">
          <cell r="A4" t="str">
            <v>BẢNG TÍNH TOÁN, ĐO BÓC KHỐI LƯỢNG HOÀN THÀNH ĐƯA VÀO QUYẾT TOÁN</v>
          </cell>
        </row>
      </sheetData>
      <sheetData sheetId="9524">
        <row r="4">
          <cell r="A4" t="str">
            <v>BẢNG TÍNH TOÁN, ĐO BÓC KHỐI LƯỢNG HOÀN THÀNH ĐƯA VÀO QUYẾT TOÁN</v>
          </cell>
        </row>
      </sheetData>
      <sheetData sheetId="9525">
        <row r="4">
          <cell r="A4" t="str">
            <v>BẢNG TÍNH TOÁN, ĐO BÓC KHỐI LƯỢNG HOÀN THÀNH ĐƯA VÀO QUYẾT TOÁN</v>
          </cell>
        </row>
      </sheetData>
      <sheetData sheetId="9526">
        <row r="4">
          <cell r="A4" t="str">
            <v>BẢNG TÍNH TOÁN, ĐO BÓC KHỐI LƯỢNG HOÀN THÀNH ĐƯA VÀO QUYẾT TOÁN</v>
          </cell>
        </row>
      </sheetData>
      <sheetData sheetId="9527">
        <row r="4">
          <cell r="A4" t="str">
            <v>BẢNG TÍNH TOÁN, ĐO BÓC KHỐI LƯỢNG HOÀN THÀNH ĐƯA VÀO QUYẾT TOÁN</v>
          </cell>
        </row>
      </sheetData>
      <sheetData sheetId="9528">
        <row r="4">
          <cell r="A4" t="str">
            <v>BẢNG TÍNH TOÁN, ĐO BÓC KHỐI LƯỢNG HOÀN THÀNH ĐƯA VÀO QUYẾT TOÁN</v>
          </cell>
        </row>
      </sheetData>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ow r="4">
          <cell r="A4" t="str">
            <v>BẢNG TÍNH TOÁN, ĐO BÓC KHỐI LƯỢNG HOÀN THÀNH ĐƯA VÀO QUYẾT TOÁN</v>
          </cell>
        </row>
      </sheetData>
      <sheetData sheetId="9544">
        <row r="4">
          <cell r="A4" t="str">
            <v>BẢNG TÍNH TOÁN, ĐO BÓC KHỐI LƯỢNG HOÀN THÀNH ĐƯA VÀO QUYẾT TOÁN</v>
          </cell>
        </row>
      </sheetData>
      <sheetData sheetId="9545">
        <row r="4">
          <cell r="A4" t="str">
            <v>BẢNG TÍNH TOÁN, ĐO BÓC KHỐI LƯỢNG HOÀN THÀNH ĐƯA VÀO QUYẾT TOÁN</v>
          </cell>
        </row>
      </sheetData>
      <sheetData sheetId="9546">
        <row r="4">
          <cell r="A4" t="str">
            <v>BẢNG TÍNH TOÁN, ĐO BÓC KHỐI LƯỢNG HOÀN THÀNH ĐƯA VÀO QUYẾT TOÁN</v>
          </cell>
        </row>
      </sheetData>
      <sheetData sheetId="9547">
        <row r="4">
          <cell r="A4" t="str">
            <v>BẢNG TÍNH TOÁN, ĐO BÓC KHỐI LƯỢNG HOÀN THÀNH ĐƯA VÀO QUYẾT TOÁN</v>
          </cell>
        </row>
      </sheetData>
      <sheetData sheetId="9548">
        <row r="4">
          <cell r="A4" t="str">
            <v>BẢNG TÍNH TOÁN, ĐO BÓC KHỐI LƯỢNG HOÀN THÀNH ĐƯA VÀO QUYẾT TOÁN</v>
          </cell>
        </row>
      </sheetData>
      <sheetData sheetId="9549">
        <row r="4">
          <cell r="A4" t="str">
            <v>BẢNG TÍNH TOÁN, ĐO BÓC KHỐI LƯỢNG HOÀN THÀNH ĐƯA VÀO QUYẾT TOÁN</v>
          </cell>
        </row>
      </sheetData>
      <sheetData sheetId="9550" refreshError="1"/>
      <sheetData sheetId="9551" refreshError="1"/>
      <sheetData sheetId="9552" refreshError="1"/>
      <sheetData sheetId="9553" refreshError="1"/>
      <sheetData sheetId="9554" refreshError="1"/>
      <sheetData sheetId="9555" refreshError="1"/>
      <sheetData sheetId="9556" refreshError="1"/>
      <sheetData sheetId="9557">
        <row r="9">
          <cell r="A9" t="str">
            <v>A</v>
          </cell>
        </row>
      </sheetData>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ow r="4">
          <cell r="A4" t="str">
            <v>BẢNG TÍNH TOÁN, ĐO BÓC KHỐI LƯỢNG HOÀN THÀNH ĐƯA VÀO QUYẾT TOÁN</v>
          </cell>
        </row>
      </sheetData>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ow r="4">
          <cell r="A4" t="str">
            <v>BẢNG TÍNH TOÁN, ĐO BÓC KHỐI LƯỢNG HOÀN THÀNH ĐƯA VÀO QUYẾT TOÁN</v>
          </cell>
        </row>
      </sheetData>
      <sheetData sheetId="9586">
        <row r="4">
          <cell r="A4" t="str">
            <v>BẢNG TÍNH TOÁN, ĐO BÓC KHỐI LƯỢNG HOÀN THÀNH ĐƯA VÀO QUYẾT TOÁN</v>
          </cell>
        </row>
      </sheetData>
      <sheetData sheetId="9587">
        <row r="4">
          <cell r="A4" t="str">
            <v>BẢNG TÍNH TOÁN, ĐO BÓC KHỐI LƯỢNG HOÀN THÀNH ĐƯA VÀO QUYẾT TOÁN</v>
          </cell>
        </row>
      </sheetData>
      <sheetData sheetId="9588">
        <row r="4">
          <cell r="A4" t="str">
            <v>BẢNG TÍNH TOÁN, ĐO BÓC KHỐI LƯỢNG HOÀN THÀNH ĐƯA VÀO QUYẾT TOÁN</v>
          </cell>
        </row>
      </sheetData>
      <sheetData sheetId="9589">
        <row r="4">
          <cell r="A4" t="str">
            <v>BẢNG TÍNH TOÁN, ĐO BÓC KHỐI LƯỢNG HOÀN THÀNH ĐƯA VÀO QUYẾT TOÁN</v>
          </cell>
        </row>
      </sheetData>
      <sheetData sheetId="9590">
        <row r="4">
          <cell r="A4" t="str">
            <v>BẢNG TÍNH TOÁN, ĐO BÓC KHỐI LƯỢNG HOÀN THÀNH ĐƯA VÀO QUYẾT TOÁN</v>
          </cell>
        </row>
      </sheetData>
      <sheetData sheetId="9591">
        <row r="4">
          <cell r="A4" t="str">
            <v>BẢNG TÍNH TOÁN, ĐO BÓC KHỐI LƯỢNG HOÀN THÀNH ĐƯA VÀO QUYẾT TOÁN</v>
          </cell>
        </row>
      </sheetData>
      <sheetData sheetId="9592">
        <row r="4">
          <cell r="A4" t="str">
            <v>BẢNG TÍNH TOÁN, ĐO BÓC KHỐI LƯỢNG HOÀN THÀNH ĐƯA VÀO QUYẾT TOÁN</v>
          </cell>
        </row>
      </sheetData>
      <sheetData sheetId="9593">
        <row r="4">
          <cell r="A4" t="str">
            <v>BẢNG TÍNH TOÁN, ĐO BÓC KHỐI LƯỢNG HOÀN THÀNH ĐƯA VÀO QUYẾT TOÁN</v>
          </cell>
        </row>
      </sheetData>
      <sheetData sheetId="9594">
        <row r="4">
          <cell r="A4" t="str">
            <v>BẢNG TÍNH TOÁN, ĐO BÓC KHỐI LƯỢNG HOÀN THÀNH ĐƯA VÀO QUYẾT TOÁN</v>
          </cell>
        </row>
      </sheetData>
      <sheetData sheetId="9595">
        <row r="4">
          <cell r="A4" t="str">
            <v>BẢNG TÍNH TOÁN, ĐO BÓC KHỐI LƯỢNG HOÀN THÀNH ĐƯA VÀO QUYẾT TOÁN</v>
          </cell>
        </row>
      </sheetData>
      <sheetData sheetId="9596">
        <row r="4">
          <cell r="A4" t="str">
            <v>BẢNG TÍNH TOÁN, ĐO BÓC KHỐI LƯỢNG HOÀN THÀNH ĐƯA VÀO QUYẾT TOÁN</v>
          </cell>
        </row>
      </sheetData>
      <sheetData sheetId="9597">
        <row r="4">
          <cell r="A4" t="str">
            <v>BẢNG TÍNH TOÁN, ĐO BÓC KHỐI LƯỢNG HOÀN THÀNH ĐƯA VÀO QUYẾT TOÁN</v>
          </cell>
        </row>
      </sheetData>
      <sheetData sheetId="9598">
        <row r="4">
          <cell r="A4" t="str">
            <v>BẢNG TÍNH TOÁN, ĐO BÓC KHỐI LƯỢNG HOÀN THÀNH ĐƯA VÀO QUYẾT TOÁN</v>
          </cell>
        </row>
      </sheetData>
      <sheetData sheetId="9599">
        <row r="4">
          <cell r="A4" t="str">
            <v>BẢNG TÍNH TOÁN, ĐO BÓC KHỐI LƯỢNG HOÀN THÀNH ĐƯA VÀO QUYẾT TOÁN</v>
          </cell>
        </row>
      </sheetData>
      <sheetData sheetId="9600">
        <row r="4">
          <cell r="A4" t="str">
            <v>BẢNG TÍNH TOÁN, ĐO BÓC KHỐI LƯỢNG HOÀN THÀNH ĐƯA VÀO QUYẾT TOÁN</v>
          </cell>
        </row>
      </sheetData>
      <sheetData sheetId="9601">
        <row r="4">
          <cell r="A4" t="str">
            <v>BẢNG TÍNH TOÁN, ĐO BÓC KHỐI LƯỢNG HOÀN THÀNH ĐƯA VÀO QUYẾT TOÁN</v>
          </cell>
        </row>
      </sheetData>
      <sheetData sheetId="9602">
        <row r="4">
          <cell r="A4" t="str">
            <v>BẢNG TÍNH TOÁN, ĐO BÓC KHỐI LƯỢNG HOÀN THÀNH ĐƯA VÀO QUYẾT TOÁN</v>
          </cell>
        </row>
      </sheetData>
      <sheetData sheetId="9603">
        <row r="4">
          <cell r="A4" t="str">
            <v>BẢNG TÍNH TOÁN, ĐO BÓC KHỐI LƯỢNG HOÀN THÀNH ĐƯA VÀO QUYẾT TOÁN</v>
          </cell>
        </row>
      </sheetData>
      <sheetData sheetId="9604">
        <row r="4">
          <cell r="A4" t="str">
            <v>BẢNG TÍNH TOÁN, ĐO BÓC KHỐI LƯỢNG HOÀN THÀNH ĐƯA VÀO QUYẾT TOÁN</v>
          </cell>
        </row>
      </sheetData>
      <sheetData sheetId="9605">
        <row r="4">
          <cell r="A4" t="str">
            <v>BẢNG TÍNH TOÁN, ĐO BÓC KHỐI LƯỢNG HOÀN THÀNH ĐƯA VÀO QUYẾT TOÁN</v>
          </cell>
        </row>
      </sheetData>
      <sheetData sheetId="9606">
        <row r="4">
          <cell r="A4" t="str">
            <v>BẢNG TÍNH TOÁN, ĐO BÓC KHỐI LƯỢNG HOÀN THÀNH ĐƯA VÀO QUYẾT TOÁN</v>
          </cell>
        </row>
      </sheetData>
      <sheetData sheetId="9607">
        <row r="4">
          <cell r="A4" t="str">
            <v>BẢNG TÍNH TOÁN, ĐO BÓC KHỐI LƯỢNG HOÀN THÀNH ĐƯA VÀO QUYẾT TOÁN</v>
          </cell>
        </row>
      </sheetData>
      <sheetData sheetId="9608">
        <row r="4">
          <cell r="A4" t="str">
            <v>BẢNG TÍNH TOÁN, ĐO BÓC KHỐI LƯỢNG HOÀN THÀNH ĐƯA VÀO QUYẾT TOÁN</v>
          </cell>
        </row>
      </sheetData>
      <sheetData sheetId="9609">
        <row r="4">
          <cell r="A4" t="str">
            <v>BẢNG TÍNH TOÁN, ĐO BÓC KHỐI LƯỢNG HOÀN THÀNH ĐƯA VÀO QUYẾT TOÁN</v>
          </cell>
        </row>
      </sheetData>
      <sheetData sheetId="9610">
        <row r="4">
          <cell r="A4" t="str">
            <v>BẢNG TÍNH TOÁN, ĐO BÓC KHỐI LƯỢNG HOÀN THÀNH ĐƯA VÀO QUYẾT TOÁN</v>
          </cell>
        </row>
      </sheetData>
      <sheetData sheetId="9611" refreshError="1"/>
      <sheetData sheetId="9612" refreshError="1"/>
      <sheetData sheetId="9613" refreshError="1"/>
      <sheetData sheetId="9614" refreshError="1"/>
      <sheetData sheetId="9615" refreshError="1"/>
      <sheetData sheetId="9616">
        <row r="9">
          <cell r="A9" t="str">
            <v>A</v>
          </cell>
        </row>
      </sheetData>
      <sheetData sheetId="9617">
        <row r="4">
          <cell r="A4" t="str">
            <v>BẢNG TÍNH TOÁN, ĐO BÓC KHỐI LƯỢNG HOÀN THÀNH ĐƯA VÀO QUYẾT TOÁN</v>
          </cell>
        </row>
      </sheetData>
      <sheetData sheetId="9618">
        <row r="9">
          <cell r="A9" t="str">
            <v>A</v>
          </cell>
        </row>
      </sheetData>
      <sheetData sheetId="9619">
        <row r="4">
          <cell r="A4" t="str">
            <v>BẢNG TÍNH TOÁN, ĐO BÓC KHỐI LƯỢNG HOÀN THÀNH ĐƯA VÀO QUYẾT TOÁN</v>
          </cell>
        </row>
      </sheetData>
      <sheetData sheetId="9620">
        <row r="4">
          <cell r="A4" t="str">
            <v>BẢNG TÍNH TOÁN, ĐO BÓC KHỐI LƯỢNG HOÀN THÀNH ĐƯA VÀO QUYẾT TOÁN</v>
          </cell>
        </row>
      </sheetData>
      <sheetData sheetId="9621">
        <row r="9">
          <cell r="A9" t="str">
            <v>A</v>
          </cell>
        </row>
      </sheetData>
      <sheetData sheetId="9622">
        <row r="9">
          <cell r="A9" t="str">
            <v>A</v>
          </cell>
        </row>
      </sheetData>
      <sheetData sheetId="9623">
        <row r="9">
          <cell r="A9" t="str">
            <v>A</v>
          </cell>
        </row>
      </sheetData>
      <sheetData sheetId="9624">
        <row r="9">
          <cell r="A9" t="str">
            <v>A</v>
          </cell>
        </row>
      </sheetData>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sheetData sheetId="9657"/>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ow r="9">
          <cell r="A9" t="str">
            <v>A</v>
          </cell>
        </row>
      </sheetData>
      <sheetData sheetId="9682">
        <row r="9">
          <cell r="A9" t="str">
            <v>A</v>
          </cell>
        </row>
      </sheetData>
      <sheetData sheetId="9683">
        <row r="4">
          <cell r="A4" t="str">
            <v>BẢNG TÍNH TOÁN, ĐO BÓC KHỐI LƯỢNG HOÀN THÀNH ĐƯA VÀO QUYẾT TOÁN</v>
          </cell>
        </row>
      </sheetData>
      <sheetData sheetId="9684">
        <row r="4">
          <cell r="A4" t="str">
            <v>BẢNG TÍNH TOÁN, ĐO BÓC KHỐI LƯỢNG HOÀN THÀNH ĐƯA VÀO QUYẾT TOÁN</v>
          </cell>
        </row>
      </sheetData>
      <sheetData sheetId="9685">
        <row r="9">
          <cell r="A9" t="str">
            <v>A</v>
          </cell>
        </row>
      </sheetData>
      <sheetData sheetId="9686">
        <row r="4">
          <cell r="A4" t="str">
            <v>BẢNG TÍNH TOÁN, ĐO BÓC KHỐI LƯỢNG HOÀN THÀNH ĐƯA VÀO QUYẾT TOÁN</v>
          </cell>
        </row>
      </sheetData>
      <sheetData sheetId="9687">
        <row r="4">
          <cell r="A4" t="str">
            <v>BẢNG TÍNH TOÁN, ĐO BÓC KHỐI LƯỢNG HOÀN THÀNH ĐƯA VÀO QUYẾT TOÁN</v>
          </cell>
        </row>
      </sheetData>
      <sheetData sheetId="9688">
        <row r="4">
          <cell r="A4" t="str">
            <v>BẢNG TÍNH TOÁN, ĐO BÓC KHỐI LƯỢNG HOÀN THÀNH ĐƯA VÀO QUYẾT TOÁN</v>
          </cell>
        </row>
      </sheetData>
      <sheetData sheetId="9689">
        <row r="4">
          <cell r="A4" t="str">
            <v>BẢNG TÍNH TOÁN, ĐO BÓC KHỐI LƯỢNG HOÀN THÀNH ĐƯA VÀO QUYẾT TOÁN</v>
          </cell>
        </row>
      </sheetData>
      <sheetData sheetId="9690">
        <row r="4">
          <cell r="A4" t="str">
            <v>BẢNG TÍNH TOÁN, ĐO BÓC KHỐI LƯỢNG HOÀN THÀNH ĐƯA VÀO QUYẾT TOÁN</v>
          </cell>
        </row>
      </sheetData>
      <sheetData sheetId="9691">
        <row r="4">
          <cell r="A4" t="str">
            <v>BẢNG TÍNH TOÁN, ĐO BÓC KHỐI LƯỢNG HOÀN THÀNH ĐƯA VÀO QUYẾT TOÁN</v>
          </cell>
        </row>
      </sheetData>
      <sheetData sheetId="9692">
        <row r="4">
          <cell r="A4" t="str">
            <v>BẢNG TÍNH TOÁN, ĐO BÓC KHỐI LƯỢNG HOÀN THÀNH ĐƯA VÀO QUYẾT TOÁN</v>
          </cell>
        </row>
      </sheetData>
      <sheetData sheetId="9693">
        <row r="4">
          <cell r="A4" t="str">
            <v>BẢNG TÍNH TOÁN, ĐO BÓC KHỐI LƯỢNG HOÀN THÀNH ĐƯA VÀO QUYẾT TOÁN</v>
          </cell>
        </row>
      </sheetData>
      <sheetData sheetId="9694">
        <row r="4">
          <cell r="A4" t="str">
            <v>BẢNG TÍNH TOÁN, ĐO BÓC KHỐI LƯỢNG HOÀN THÀNH ĐƯA VÀO QUYẾT TOÁN</v>
          </cell>
        </row>
      </sheetData>
      <sheetData sheetId="9695">
        <row r="4">
          <cell r="A4" t="str">
            <v>BẢNG TÍNH TOÁN, ĐO BÓC KHỐI LƯỢNG HOÀN THÀNH ĐƯA VÀO QUYẾT TOÁN</v>
          </cell>
        </row>
      </sheetData>
      <sheetData sheetId="9696">
        <row r="4">
          <cell r="A4" t="str">
            <v>BẢNG TÍNH TOÁN, ĐO BÓC KHỐI LƯỢNG HOÀN THÀNH ĐƯA VÀO QUYẾT TOÁN</v>
          </cell>
        </row>
      </sheetData>
      <sheetData sheetId="9697">
        <row r="4">
          <cell r="A4" t="str">
            <v>BẢNG TÍNH TOÁN, ĐO BÓC KHỐI LƯỢNG HOÀN THÀNH ĐƯA VÀO QUYẾT TOÁN</v>
          </cell>
        </row>
      </sheetData>
      <sheetData sheetId="9698">
        <row r="4">
          <cell r="A4" t="str">
            <v>BẢNG TÍNH TOÁN, ĐO BÓC KHỐI LƯỢNG HOÀN THÀNH ĐƯA VÀO QUYẾT TOÁN</v>
          </cell>
        </row>
      </sheetData>
      <sheetData sheetId="9699">
        <row r="4">
          <cell r="A4" t="str">
            <v>BẢNG TÍNH TOÁN, ĐO BÓC KHỐI LƯỢNG HOÀN THÀNH ĐƯA VÀO QUYẾT TOÁN</v>
          </cell>
        </row>
      </sheetData>
      <sheetData sheetId="9700">
        <row r="4">
          <cell r="A4" t="str">
            <v>BẢNG TÍNH TOÁN, ĐO BÓC KHỐI LƯỢNG HOÀN THÀNH ĐƯA VÀO QUYẾT TOÁN</v>
          </cell>
        </row>
      </sheetData>
      <sheetData sheetId="9701">
        <row r="4">
          <cell r="A4" t="str">
            <v>BẢNG TÍNH TOÁN, ĐO BÓC KHỐI LƯỢNG HOÀN THÀNH ĐƯA VÀO QUYẾT TOÁN</v>
          </cell>
        </row>
      </sheetData>
      <sheetData sheetId="9702">
        <row r="4">
          <cell r="A4" t="str">
            <v>BẢNG TÍNH TOÁN, ĐO BÓC KHỐI LƯỢNG HOÀN THÀNH ĐƯA VÀO QUYẾT TOÁN</v>
          </cell>
        </row>
      </sheetData>
      <sheetData sheetId="9703">
        <row r="4">
          <cell r="A4" t="str">
            <v>BẢNG TÍNH TOÁN, ĐO BÓC KHỐI LƯỢNG HOÀN THÀNH ĐƯA VÀO QUYẾT TOÁN</v>
          </cell>
        </row>
      </sheetData>
      <sheetData sheetId="9704">
        <row r="4">
          <cell r="A4" t="str">
            <v>BẢNG TÍNH TOÁN, ĐO BÓC KHỐI LƯỢNG HOÀN THÀNH ĐƯA VÀO QUYẾT TOÁN</v>
          </cell>
        </row>
      </sheetData>
      <sheetData sheetId="9705">
        <row r="4">
          <cell r="A4" t="str">
            <v>BẢNG TÍNH TOÁN, ĐO BÓC KHỐI LƯỢNG HOÀN THÀNH ĐƯA VÀO QUYẾT TOÁN</v>
          </cell>
        </row>
      </sheetData>
      <sheetData sheetId="9706">
        <row r="4">
          <cell r="A4" t="str">
            <v>BẢNG TÍNH TOÁN, ĐO BÓC KHỐI LƯỢNG HOÀN THÀNH ĐƯA VÀO QUYẾT TOÁN</v>
          </cell>
        </row>
      </sheetData>
      <sheetData sheetId="9707">
        <row r="4">
          <cell r="A4" t="str">
            <v>BẢNG TÍNH TOÁN, ĐO BÓC KHỐI LƯỢNG HOÀN THÀNH ĐƯA VÀO QUYẾT TOÁN</v>
          </cell>
        </row>
      </sheetData>
      <sheetData sheetId="9708">
        <row r="4">
          <cell r="A4" t="str">
            <v>BẢNG TÍNH TOÁN, ĐO BÓC KHỐI LƯỢNG HOÀN THÀNH ĐƯA VÀO QUYẾT TOÁN</v>
          </cell>
        </row>
      </sheetData>
      <sheetData sheetId="9709">
        <row r="4">
          <cell r="A4" t="str">
            <v>BẢNG TÍNH TOÁN, ĐO BÓC KHỐI LƯỢNG HOÀN THÀNH ĐƯA VÀO QUYẾT TOÁN</v>
          </cell>
        </row>
      </sheetData>
      <sheetData sheetId="9710">
        <row r="4">
          <cell r="A4" t="str">
            <v>BẢNG TÍNH TOÁN, ĐO BÓC KHỐI LƯỢNG HOÀN THÀNH ĐƯA VÀO QUYẾT TOÁN</v>
          </cell>
        </row>
      </sheetData>
      <sheetData sheetId="9711">
        <row r="4">
          <cell r="A4" t="str">
            <v>BẢNG TÍNH TOÁN, ĐO BÓC KHỐI LƯỢNG HOÀN THÀNH ĐƯA VÀO QUYẾT TOÁN</v>
          </cell>
        </row>
      </sheetData>
      <sheetData sheetId="9712">
        <row r="4">
          <cell r="A4" t="str">
            <v>BẢNG TÍNH TOÁN, ĐO BÓC KHỐI LƯỢNG HOÀN THÀNH ĐƯA VÀO QUYẾT TOÁN</v>
          </cell>
        </row>
      </sheetData>
      <sheetData sheetId="9713">
        <row r="4">
          <cell r="A4" t="str">
            <v>BẢNG TÍNH TOÁN, ĐO BÓC KHỐI LƯỢNG HOÀN THÀNH ĐƯA VÀO QUYẾT TOÁN</v>
          </cell>
        </row>
      </sheetData>
      <sheetData sheetId="9714">
        <row r="4">
          <cell r="A4" t="str">
            <v>BẢNG TÍNH TOÁN, ĐO BÓC KHỐI LƯỢNG HOÀN THÀNH ĐƯA VÀO QUYẾT TOÁN</v>
          </cell>
        </row>
      </sheetData>
      <sheetData sheetId="9715">
        <row r="4">
          <cell r="A4" t="str">
            <v>BẢNG TÍNH TOÁN, ĐO BÓC KHỐI LƯỢNG HOÀN THÀNH ĐƯA VÀO QUYẾT TOÁN</v>
          </cell>
        </row>
      </sheetData>
      <sheetData sheetId="9716">
        <row r="4">
          <cell r="A4" t="str">
            <v>BẢNG TÍNH TOÁN, ĐO BÓC KHỐI LƯỢNG HOÀN THÀNH ĐƯA VÀO QUYẾT TOÁN</v>
          </cell>
        </row>
      </sheetData>
      <sheetData sheetId="9717">
        <row r="4">
          <cell r="A4" t="str">
            <v>BẢNG TÍNH TOÁN, ĐO BÓC KHỐI LƯỢNG HOÀN THÀNH ĐƯA VÀO QUYẾT TOÁN</v>
          </cell>
        </row>
      </sheetData>
      <sheetData sheetId="9718">
        <row r="4">
          <cell r="A4" t="str">
            <v>BẢNG TÍNH TOÁN, ĐO BÓC KHỐI LƯỢNG HOÀN THÀNH ĐƯA VÀO QUYẾT TOÁN</v>
          </cell>
        </row>
      </sheetData>
      <sheetData sheetId="9719">
        <row r="4">
          <cell r="A4" t="str">
            <v>BẢNG TÍNH TOÁN, ĐO BÓC KHỐI LƯỢNG HOÀN THÀNH ĐƯA VÀO QUYẾT TOÁN</v>
          </cell>
        </row>
      </sheetData>
      <sheetData sheetId="9720">
        <row r="4">
          <cell r="A4" t="str">
            <v>BẢNG TÍNH TOÁN, ĐO BÓC KHỐI LƯỢNG HOÀN THÀNH ĐƯA VÀO QUYẾT TOÁN</v>
          </cell>
        </row>
      </sheetData>
      <sheetData sheetId="9721">
        <row r="4">
          <cell r="A4" t="str">
            <v>BẢNG TÍNH TOÁN, ĐO BÓC KHỐI LƯỢNG HOÀN THÀNH ĐƯA VÀO QUYẾT TOÁN</v>
          </cell>
        </row>
      </sheetData>
      <sheetData sheetId="9722">
        <row r="4">
          <cell r="A4" t="str">
            <v>BẢNG TÍNH TOÁN, ĐO BÓC KHỐI LƯỢNG HOÀN THÀNH ĐƯA VÀO QUYẾT TOÁN</v>
          </cell>
        </row>
      </sheetData>
      <sheetData sheetId="9723">
        <row r="4">
          <cell r="A4" t="str">
            <v>BẢNG TÍNH TOÁN, ĐO BÓC KHỐI LƯỢNG HOÀN THÀNH ĐƯA VÀO QUYẾT TOÁN</v>
          </cell>
        </row>
      </sheetData>
      <sheetData sheetId="9724">
        <row r="4">
          <cell r="A4" t="str">
            <v>BẢNG TÍNH TOÁN, ĐO BÓC KHỐI LƯỢNG HOÀN THÀNH ĐƯA VÀO QUYẾT TOÁN</v>
          </cell>
        </row>
      </sheetData>
      <sheetData sheetId="9725">
        <row r="4">
          <cell r="A4" t="str">
            <v>BẢNG TÍNH TOÁN, ĐO BÓC KHỐI LƯỢNG HOÀN THÀNH ĐƯA VÀO QUYẾT TOÁN</v>
          </cell>
        </row>
      </sheetData>
      <sheetData sheetId="9726">
        <row r="4">
          <cell r="A4" t="str">
            <v>BẢNG TÍNH TOÁN, ĐO BÓC KHỐI LƯỢNG HOÀN THÀNH ĐƯA VÀO QUYẾT TOÁN</v>
          </cell>
        </row>
      </sheetData>
      <sheetData sheetId="9727">
        <row r="4">
          <cell r="A4" t="str">
            <v>BẢNG TÍNH TOÁN, ĐO BÓC KHỐI LƯỢNG HOÀN THÀNH ĐƯA VÀO QUYẾT TOÁN</v>
          </cell>
        </row>
      </sheetData>
      <sheetData sheetId="9728">
        <row r="4">
          <cell r="A4" t="str">
            <v>BẢNG TÍNH TOÁN, ĐO BÓC KHỐI LƯỢNG HOÀN THÀNH ĐƯA VÀO QUYẾT TOÁN</v>
          </cell>
        </row>
      </sheetData>
      <sheetData sheetId="9729">
        <row r="4">
          <cell r="A4" t="str">
            <v>BẢNG TÍNH TOÁN, ĐO BÓC KHỐI LƯỢNG HOÀN THÀNH ĐƯA VÀO QUYẾT TOÁN</v>
          </cell>
        </row>
      </sheetData>
      <sheetData sheetId="9730">
        <row r="4">
          <cell r="A4" t="str">
            <v>BẢNG TÍNH TOÁN, ĐO BÓC KHỐI LƯỢNG HOÀN THÀNH ĐƯA VÀO QUYẾT TOÁN</v>
          </cell>
        </row>
      </sheetData>
      <sheetData sheetId="9731">
        <row r="4">
          <cell r="A4" t="str">
            <v>BẢNG TÍNH TOÁN, ĐO BÓC KHỐI LƯỢNG HOÀN THÀNH ĐƯA VÀO QUYẾT TOÁN</v>
          </cell>
        </row>
      </sheetData>
      <sheetData sheetId="9732">
        <row r="4">
          <cell r="A4" t="str">
            <v>BẢNG TÍNH TOÁN, ĐO BÓC KHỐI LƯỢNG HOÀN THÀNH ĐƯA VÀO QUYẾT TOÁN</v>
          </cell>
        </row>
      </sheetData>
      <sheetData sheetId="9733">
        <row r="4">
          <cell r="A4" t="str">
            <v>BẢNG TÍNH TOÁN, ĐO BÓC KHỐI LƯỢNG HOÀN THÀNH ĐƯA VÀO QUYẾT TOÁN</v>
          </cell>
        </row>
      </sheetData>
      <sheetData sheetId="9734">
        <row r="4">
          <cell r="A4" t="str">
            <v>BẢNG TÍNH TOÁN, ĐO BÓC KHỐI LƯỢNG HOÀN THÀNH ĐƯA VÀO QUYẾT TOÁN</v>
          </cell>
        </row>
      </sheetData>
      <sheetData sheetId="9735">
        <row r="4">
          <cell r="A4" t="str">
            <v>BẢNG TÍNH TOÁN, ĐO BÓC KHỐI LƯỢNG HOÀN THÀNH ĐƯA VÀO QUYẾT TOÁN</v>
          </cell>
        </row>
      </sheetData>
      <sheetData sheetId="9736" refreshError="1"/>
      <sheetData sheetId="9737">
        <row r="4">
          <cell r="A4" t="str">
            <v>BẢNG TÍNH TOÁN, ĐO BÓC KHỐI LƯỢNG HOÀN THÀNH ĐƯA VÀO QUYẾT TOÁN</v>
          </cell>
        </row>
      </sheetData>
      <sheetData sheetId="9738">
        <row r="4">
          <cell r="A4" t="str">
            <v>BẢNG TÍNH TOÁN, ĐO BÓC KHỐI LƯỢNG HOÀN THÀNH ĐƯA VÀO QUYẾT TOÁN</v>
          </cell>
        </row>
      </sheetData>
      <sheetData sheetId="9739">
        <row r="4">
          <cell r="A4" t="str">
            <v>BẢNG TÍNH TOÁN, ĐO BÓC KHỐI LƯỢNG HOÀN THÀNH ĐƯA VÀO QUYẾT TOÁN</v>
          </cell>
        </row>
      </sheetData>
      <sheetData sheetId="9740">
        <row r="4">
          <cell r="A4" t="str">
            <v>BẢNG TÍNH TOÁN, ĐO BÓC KHỐI LƯỢNG HOÀN THÀNH ĐƯA VÀO QUYẾT TOÁN</v>
          </cell>
        </row>
      </sheetData>
      <sheetData sheetId="9741">
        <row r="4">
          <cell r="A4" t="str">
            <v>BẢNG TÍNH TOÁN, ĐO BÓC KHỐI LƯỢNG HOÀN THÀNH ĐƯA VÀO QUYẾT TOÁN</v>
          </cell>
        </row>
      </sheetData>
      <sheetData sheetId="9742">
        <row r="4">
          <cell r="A4" t="str">
            <v>BẢNG TÍNH TOÁN, ĐO BÓC KHỐI LƯỢNG HOÀN THÀNH ĐƯA VÀO QUYẾT TOÁN</v>
          </cell>
        </row>
      </sheetData>
      <sheetData sheetId="9743">
        <row r="4">
          <cell r="A4" t="str">
            <v>BẢNG TÍNH TOÁN, ĐO BÓC KHỐI LƯỢNG HOÀN THÀNH ĐƯA VÀO QUYẾT TOÁN</v>
          </cell>
        </row>
      </sheetData>
      <sheetData sheetId="9744">
        <row r="4">
          <cell r="A4" t="str">
            <v>BẢNG TÍNH TOÁN, ĐO BÓC KHỐI LƯỢNG HOÀN THÀNH ĐƯA VÀO QUYẾT TOÁN</v>
          </cell>
        </row>
      </sheetData>
      <sheetData sheetId="9745">
        <row r="4">
          <cell r="A4" t="str">
            <v>BẢNG TÍNH TOÁN, ĐO BÓC KHỐI LƯỢNG HOÀN THÀNH ĐƯA VÀO QUYẾT TOÁN</v>
          </cell>
        </row>
      </sheetData>
      <sheetData sheetId="9746">
        <row r="4">
          <cell r="A4" t="str">
            <v>BẢNG TÍNH TOÁN, ĐO BÓC KHỐI LƯỢNG HOÀN THÀNH ĐƯA VÀO QUYẾT TOÁN</v>
          </cell>
        </row>
      </sheetData>
      <sheetData sheetId="9747">
        <row r="4">
          <cell r="A4" t="str">
            <v>BẢNG TÍNH TOÁN, ĐO BÓC KHỐI LƯỢNG HOÀN THÀNH ĐƯA VÀO QUYẾT TOÁN</v>
          </cell>
        </row>
      </sheetData>
      <sheetData sheetId="9748">
        <row r="4">
          <cell r="A4" t="str">
            <v>BẢNG TÍNH TOÁN, ĐO BÓC KHỐI LƯỢNG HOÀN THÀNH ĐƯA VÀO QUYẾT TOÁN</v>
          </cell>
        </row>
      </sheetData>
      <sheetData sheetId="9749">
        <row r="4">
          <cell r="A4" t="str">
            <v>BẢNG TÍNH TOÁN, ĐO BÓC KHỐI LƯỢNG HOÀN THÀNH ĐƯA VÀO QUYẾT TOÁN</v>
          </cell>
        </row>
      </sheetData>
      <sheetData sheetId="9750">
        <row r="4">
          <cell r="A4" t="str">
            <v>BẢNG TÍNH TOÁN, ĐO BÓC KHỐI LƯỢNG HOÀN THÀNH ĐƯA VÀO QUYẾT TOÁN</v>
          </cell>
        </row>
      </sheetData>
      <sheetData sheetId="9751">
        <row r="4">
          <cell r="A4" t="str">
            <v>BẢNG TÍNH TOÁN, ĐO BÓC KHỐI LƯỢNG HOÀN THÀNH ĐƯA VÀO QUYẾT TOÁN</v>
          </cell>
        </row>
      </sheetData>
      <sheetData sheetId="9752">
        <row r="4">
          <cell r="A4" t="str">
            <v>BẢNG TÍNH TOÁN, ĐO BÓC KHỐI LƯỢNG HOÀN THÀNH ĐƯA VÀO QUYẾT TOÁN</v>
          </cell>
        </row>
      </sheetData>
      <sheetData sheetId="9753">
        <row r="4">
          <cell r="A4" t="str">
            <v>BẢNG TÍNH TOÁN, ĐO BÓC KHỐI LƯỢNG HOÀN THÀNH ĐƯA VÀO QUYẾT TOÁN</v>
          </cell>
        </row>
      </sheetData>
      <sheetData sheetId="9754">
        <row r="4">
          <cell r="A4" t="str">
            <v>BẢNG TÍNH TOÁN, ĐO BÓC KHỐI LƯỢNG HOÀN THÀNH ĐƯA VÀO QUYẾT TOÁN</v>
          </cell>
        </row>
      </sheetData>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ow r="4">
          <cell r="A4" t="str">
            <v>BẢNG TÍNH TOÁN, ĐO BÓC KHỐI LƯỢNG HOÀN THÀNH ĐƯA VÀO QUYẾT TOÁN</v>
          </cell>
        </row>
      </sheetData>
      <sheetData sheetId="9765">
        <row r="4">
          <cell r="A4" t="str">
            <v>BẢNG TÍNH TOÁN, ĐO BÓC KHỐI LƯỢNG HOÀN THÀNH ĐƯA VÀO QUYẾT TOÁN</v>
          </cell>
        </row>
      </sheetData>
      <sheetData sheetId="9766" refreshError="1"/>
      <sheetData sheetId="9767" refreshError="1"/>
      <sheetData sheetId="9768" refreshError="1"/>
      <sheetData sheetId="9769">
        <row r="4">
          <cell r="A4" t="str">
            <v>BẢNG TÍNH TOÁN, ĐO BÓC KHỐI LƯỢNG HOÀN THÀNH ĐƯA VÀO QUYẾT TOÁN</v>
          </cell>
        </row>
      </sheetData>
      <sheetData sheetId="9770">
        <row r="4">
          <cell r="A4" t="str">
            <v>BẢNG TÍNH TOÁN, ĐO BÓC KHỐI LƯỢNG HOÀN THÀNH ĐƯA VÀO QUYẾT TOÁN</v>
          </cell>
        </row>
      </sheetData>
      <sheetData sheetId="9771">
        <row r="4">
          <cell r="A4" t="str">
            <v>BẢNG TÍNH TOÁN, ĐO BÓC KHỐI LƯỢNG HOÀN THÀNH ĐƯA VÀO QUYẾT TOÁN</v>
          </cell>
        </row>
      </sheetData>
      <sheetData sheetId="9772">
        <row r="4">
          <cell r="A4" t="str">
            <v>BẢNG TÍNH TOÁN, ĐO BÓC KHỐI LƯỢNG HOÀN THÀNH ĐƯA VÀO QUYẾT TOÁN</v>
          </cell>
        </row>
      </sheetData>
      <sheetData sheetId="9773">
        <row r="4">
          <cell r="A4" t="str">
            <v>BẢNG TÍNH TOÁN, ĐO BÓC KHỐI LƯỢNG HOÀN THÀNH ĐƯA VÀO QUYẾT TOÁN</v>
          </cell>
        </row>
      </sheetData>
      <sheetData sheetId="9774">
        <row r="4">
          <cell r="A4" t="str">
            <v>BẢNG TÍNH TOÁN, ĐO BÓC KHỐI LƯỢNG HOÀN THÀNH ĐƯA VÀO QUYẾT TOÁN</v>
          </cell>
        </row>
      </sheetData>
      <sheetData sheetId="9775">
        <row r="4">
          <cell r="A4" t="str">
            <v>BẢNG TÍNH TOÁN, ĐO BÓC KHỐI LƯỢNG HOÀN THÀNH ĐƯA VÀO QUYẾT TOÁN</v>
          </cell>
        </row>
      </sheetData>
      <sheetData sheetId="9776">
        <row r="4">
          <cell r="A4" t="str">
            <v>BẢNG TÍNH TOÁN, ĐO BÓC KHỐI LƯỢNG HOÀN THÀNH ĐƯA VÀO QUYẾT TOÁN</v>
          </cell>
        </row>
      </sheetData>
      <sheetData sheetId="9777">
        <row r="4">
          <cell r="A4" t="str">
            <v>BẢNG TÍNH TOÁN, ĐO BÓC KHỐI LƯỢNG HOÀN THÀNH ĐƯA VÀO QUYẾT TOÁN</v>
          </cell>
        </row>
      </sheetData>
      <sheetData sheetId="9778">
        <row r="4">
          <cell r="A4" t="str">
            <v>BẢNG TÍNH TOÁN, ĐO BÓC KHỐI LƯỢNG HOÀN THÀNH ĐƯA VÀO QUYẾT TOÁN</v>
          </cell>
        </row>
      </sheetData>
      <sheetData sheetId="9779">
        <row r="4">
          <cell r="A4" t="str">
            <v>BẢNG TÍNH TOÁN, ĐO BÓC KHỐI LƯỢNG HOÀN THÀNH ĐƯA VÀO QUYẾT TOÁN</v>
          </cell>
        </row>
      </sheetData>
      <sheetData sheetId="9780">
        <row r="4">
          <cell r="A4" t="str">
            <v>BẢNG TÍNH TOÁN, ĐO BÓC KHỐI LƯỢNG HOÀN THÀNH ĐƯA VÀO QUYẾT TOÁN</v>
          </cell>
        </row>
      </sheetData>
      <sheetData sheetId="9781">
        <row r="4">
          <cell r="A4" t="str">
            <v>BẢNG TÍNH TOÁN, ĐO BÓC KHỐI LƯỢNG HOÀN THÀNH ĐƯA VÀO QUYẾT TOÁN</v>
          </cell>
        </row>
      </sheetData>
      <sheetData sheetId="9782">
        <row r="4">
          <cell r="A4" t="str">
            <v>BẢNG TÍNH TOÁN, ĐO BÓC KHỐI LƯỢNG HOÀN THÀNH ĐƯA VÀO QUYẾT TOÁN</v>
          </cell>
        </row>
      </sheetData>
      <sheetData sheetId="9783">
        <row r="4">
          <cell r="A4" t="str">
            <v>BẢNG TÍNH TOÁN, ĐO BÓC KHỐI LƯỢNG HOÀN THÀNH ĐƯA VÀO QUYẾT TOÁN</v>
          </cell>
        </row>
      </sheetData>
      <sheetData sheetId="9784">
        <row r="4">
          <cell r="A4" t="str">
            <v>BẢNG TÍNH TOÁN, ĐO BÓC KHỐI LƯỢNG HOÀN THÀNH ĐƯA VÀO QUYẾT TOÁN</v>
          </cell>
        </row>
      </sheetData>
      <sheetData sheetId="9785" refreshError="1"/>
      <sheetData sheetId="9786" refreshError="1"/>
      <sheetData sheetId="9787" refreshError="1"/>
      <sheetData sheetId="9788" refreshError="1"/>
      <sheetData sheetId="9789">
        <row r="4">
          <cell r="A4" t="str">
            <v>BẢNG TÍNH TOÁN, ĐO BÓC KHỐI LƯỢNG HOÀN THÀNH ĐƯA VÀO QUYẾT TOÁN</v>
          </cell>
        </row>
      </sheetData>
      <sheetData sheetId="9790">
        <row r="4">
          <cell r="A4" t="str">
            <v>BẢNG TÍNH TOÁN, ĐO BÓC KHỐI LƯỢNG HOÀN THÀNH ĐƯA VÀO QUYẾT TOÁN</v>
          </cell>
        </row>
      </sheetData>
      <sheetData sheetId="9791">
        <row r="4">
          <cell r="A4" t="str">
            <v>BẢNG TÍNH TOÁN, ĐO BÓC KHỐI LƯỢNG HOÀN THÀNH ĐƯA VÀO QUYẾT TOÁN</v>
          </cell>
        </row>
      </sheetData>
      <sheetData sheetId="9792">
        <row r="4">
          <cell r="A4" t="str">
            <v>BẢNG TÍNH TOÁN, ĐO BÓC KHỐI LƯỢNG HOÀN THÀNH ĐƯA VÀO QUYẾT TOÁN</v>
          </cell>
        </row>
      </sheetData>
      <sheetData sheetId="9793">
        <row r="4">
          <cell r="A4" t="str">
            <v>BẢNG TÍNH TOÁN, ĐO BÓC KHỐI LƯỢNG HOÀN THÀNH ĐƯA VÀO QUYẾT TOÁN</v>
          </cell>
        </row>
      </sheetData>
      <sheetData sheetId="9794" refreshError="1"/>
      <sheetData sheetId="9795">
        <row r="4">
          <cell r="A4" t="str">
            <v>BẢNG TÍNH TOÁN, ĐO BÓC KHỐI LƯỢNG HOÀN THÀNH ĐƯA VÀO QUYẾT TOÁN</v>
          </cell>
        </row>
      </sheetData>
      <sheetData sheetId="9796">
        <row r="4">
          <cell r="A4" t="str">
            <v>BẢNG TÍNH TOÁN, ĐO BÓC KHỐI LƯỢNG HOÀN THÀNH ĐƯA VÀO QUYẾT TOÁN</v>
          </cell>
        </row>
      </sheetData>
      <sheetData sheetId="9797">
        <row r="4">
          <cell r="A4" t="str">
            <v>BẢNG TÍNH TOÁN, ĐO BÓC KHỐI LƯỢNG HOÀN THÀNH ĐƯA VÀO QUYẾT TOÁN</v>
          </cell>
        </row>
      </sheetData>
      <sheetData sheetId="9798">
        <row r="4">
          <cell r="A4" t="str">
            <v>BẢNG TÍNH TOÁN, ĐO BÓC KHỐI LƯỢNG HOÀN THÀNH ĐƯA VÀO QUYẾT TOÁN</v>
          </cell>
        </row>
      </sheetData>
      <sheetData sheetId="9799">
        <row r="4">
          <cell r="A4" t="str">
            <v>BẢNG TÍNH TOÁN, ĐO BÓC KHỐI LƯỢNG HOÀN THÀNH ĐƯA VÀO QUYẾT TOÁN</v>
          </cell>
        </row>
      </sheetData>
      <sheetData sheetId="9800">
        <row r="4">
          <cell r="A4" t="str">
            <v>BẢNG TÍNH TOÁN, ĐO BÓC KHỐI LƯỢNG HOÀN THÀNH ĐƯA VÀO QUYẾT TOÁN</v>
          </cell>
        </row>
      </sheetData>
      <sheetData sheetId="9801">
        <row r="4">
          <cell r="A4" t="str">
            <v>BẢNG TÍNH TOÁN, ĐO BÓC KHỐI LƯỢNG HOÀN THÀNH ĐƯA VÀO QUYẾT TOÁN</v>
          </cell>
        </row>
      </sheetData>
      <sheetData sheetId="9802">
        <row r="4">
          <cell r="A4" t="str">
            <v>BẢNG TÍNH TOÁN, ĐO BÓC KHỐI LƯỢNG HOÀN THÀNH ĐƯA VÀO QUYẾT TOÁN</v>
          </cell>
        </row>
      </sheetData>
      <sheetData sheetId="9803">
        <row r="4">
          <cell r="A4" t="str">
            <v>BẢNG TÍNH TOÁN, ĐO BÓC KHỐI LƯỢNG HOÀN THÀNH ĐƯA VÀO QUYẾT TOÁN</v>
          </cell>
        </row>
      </sheetData>
      <sheetData sheetId="9804">
        <row r="4">
          <cell r="A4" t="str">
            <v>BẢNG TÍNH TOÁN, ĐO BÓC KHỐI LƯỢNG HOÀN THÀNH ĐƯA VÀO QUYẾT TOÁN</v>
          </cell>
        </row>
      </sheetData>
      <sheetData sheetId="9805">
        <row r="4">
          <cell r="A4" t="str">
            <v>BẢNG TÍNH TOÁN, ĐO BÓC KHỐI LƯỢNG HOÀN THÀNH ĐƯA VÀO QUYẾT TOÁN</v>
          </cell>
        </row>
      </sheetData>
      <sheetData sheetId="9806">
        <row r="4">
          <cell r="A4" t="str">
            <v>BẢNG TÍNH TOÁN, ĐO BÓC KHỐI LƯỢNG HOÀN THÀNH ĐƯA VÀO QUYẾT TOÁN</v>
          </cell>
        </row>
      </sheetData>
      <sheetData sheetId="9807">
        <row r="4">
          <cell r="A4" t="str">
            <v>BẢNG TÍNH TOÁN, ĐO BÓC KHỐI LƯỢNG HOÀN THÀNH ĐƯA VÀO QUYẾT TOÁN</v>
          </cell>
        </row>
      </sheetData>
      <sheetData sheetId="9808">
        <row r="4">
          <cell r="A4" t="str">
            <v>BẢNG TÍNH TOÁN, ĐO BÓC KHỐI LƯỢNG HOÀN THÀNH ĐƯA VÀO QUYẾT TOÁN</v>
          </cell>
        </row>
      </sheetData>
      <sheetData sheetId="9809">
        <row r="4">
          <cell r="A4" t="str">
            <v>BẢNG TÍNH TOÁN, ĐO BÓC KHỐI LƯỢNG HOÀN THÀNH ĐƯA VÀO QUYẾT TOÁN</v>
          </cell>
        </row>
      </sheetData>
      <sheetData sheetId="9810">
        <row r="4">
          <cell r="A4" t="str">
            <v>BẢNG TÍNH TOÁN, ĐO BÓC KHỐI LƯỢNG HOÀN THÀNH ĐƯA VÀO QUYẾT TOÁN</v>
          </cell>
        </row>
      </sheetData>
      <sheetData sheetId="9811">
        <row r="4">
          <cell r="A4" t="str">
            <v>BẢNG TÍNH TOÁN, ĐO BÓC KHỐI LƯỢNG HOÀN THÀNH ĐƯA VÀO QUYẾT TOÁN</v>
          </cell>
        </row>
      </sheetData>
      <sheetData sheetId="9812">
        <row r="4">
          <cell r="A4" t="str">
            <v>BẢNG TÍNH TOÁN, ĐO BÓC KHỐI LƯỢNG HOÀN THÀNH ĐƯA VÀO QUYẾT TOÁN</v>
          </cell>
        </row>
      </sheetData>
      <sheetData sheetId="9813">
        <row r="4">
          <cell r="A4" t="str">
            <v>BẢNG TÍNH TOÁN, ĐO BÓC KHỐI LƯỢNG HOÀN THÀNH ĐƯA VÀO QUYẾT TOÁN</v>
          </cell>
        </row>
      </sheetData>
      <sheetData sheetId="9814">
        <row r="4">
          <cell r="A4" t="str">
            <v>BẢNG TÍNH TOÁN, ĐO BÓC KHỐI LƯỢNG HOÀN THÀNH ĐƯA VÀO QUYẾT TOÁN</v>
          </cell>
        </row>
      </sheetData>
      <sheetData sheetId="9815">
        <row r="4">
          <cell r="A4" t="str">
            <v>BẢNG TÍNH TOÁN, ĐO BÓC KHỐI LƯỢNG HOÀN THÀNH ĐƯA VÀO QUYẾT TOÁN</v>
          </cell>
        </row>
      </sheetData>
      <sheetData sheetId="9816">
        <row r="4">
          <cell r="A4" t="str">
            <v>BẢNG TÍNH TOÁN, ĐO BÓC KHỐI LƯỢNG HOÀN THÀNH ĐƯA VÀO QUYẾT TOÁN</v>
          </cell>
        </row>
      </sheetData>
      <sheetData sheetId="9817">
        <row r="4">
          <cell r="A4" t="str">
            <v>BẢNG TÍNH TOÁN, ĐO BÓC KHỐI LƯỢNG HOÀN THÀNH ĐƯA VÀO QUYẾT TOÁN</v>
          </cell>
        </row>
      </sheetData>
      <sheetData sheetId="9818">
        <row r="4">
          <cell r="A4" t="str">
            <v>BẢNG TÍNH TOÁN, ĐO BÓC KHỐI LƯỢNG HOÀN THÀNH ĐƯA VÀO QUYẾT TOÁN</v>
          </cell>
        </row>
      </sheetData>
      <sheetData sheetId="9819">
        <row r="4">
          <cell r="A4" t="str">
            <v>BẢNG TÍNH TOÁN, ĐO BÓC KHỐI LƯỢNG HOÀN THÀNH ĐƯA VÀO QUYẾT TOÁN</v>
          </cell>
        </row>
      </sheetData>
      <sheetData sheetId="9820">
        <row r="4">
          <cell r="A4" t="str">
            <v>BẢNG TÍNH TOÁN, ĐO BÓC KHỐI LƯỢNG HOÀN THÀNH ĐƯA VÀO QUYẾT TOÁN</v>
          </cell>
        </row>
      </sheetData>
      <sheetData sheetId="9821">
        <row r="4">
          <cell r="A4" t="str">
            <v>BẢNG TÍNH TOÁN, ĐO BÓC KHỐI LƯỢNG HOÀN THÀNH ĐƯA VÀO QUYẾT TOÁN</v>
          </cell>
        </row>
      </sheetData>
      <sheetData sheetId="9822">
        <row r="4">
          <cell r="A4" t="str">
            <v>BẢNG TÍNH TOÁN, ĐO BÓC KHỐI LƯỢNG HOÀN THÀNH ĐƯA VÀO QUYẾT TOÁN</v>
          </cell>
        </row>
      </sheetData>
      <sheetData sheetId="9823">
        <row r="4">
          <cell r="A4" t="str">
            <v>BẢNG TÍNH TOÁN, ĐO BÓC KHỐI LƯỢNG HOÀN THÀNH ĐƯA VÀO QUYẾT TOÁN</v>
          </cell>
        </row>
      </sheetData>
      <sheetData sheetId="9824">
        <row r="4">
          <cell r="A4" t="str">
            <v>BẢNG TÍNH TOÁN, ĐO BÓC KHỐI LƯỢNG HOÀN THÀNH ĐƯA VÀO QUYẾT TOÁN</v>
          </cell>
        </row>
      </sheetData>
      <sheetData sheetId="9825">
        <row r="4">
          <cell r="A4" t="str">
            <v>BẢNG TÍNH TOÁN, ĐO BÓC KHỐI LƯỢNG HOÀN THÀNH ĐƯA VÀO QUYẾT TOÁN</v>
          </cell>
        </row>
      </sheetData>
      <sheetData sheetId="9826">
        <row r="4">
          <cell r="A4" t="str">
            <v>BẢNG TÍNH TOÁN, ĐO BÓC KHỐI LƯỢNG HOÀN THÀNH ĐƯA VÀO QUYẾT TOÁN</v>
          </cell>
        </row>
      </sheetData>
      <sheetData sheetId="9827">
        <row r="4">
          <cell r="A4" t="str">
            <v>BẢNG TÍNH TOÁN, ĐO BÓC KHỐI LƯỢNG HOÀN THÀNH ĐƯA VÀO QUYẾT TOÁN</v>
          </cell>
        </row>
      </sheetData>
      <sheetData sheetId="9828">
        <row r="4">
          <cell r="A4" t="str">
            <v>BẢNG TÍNH TOÁN, ĐO BÓC KHỐI LƯỢNG HOÀN THÀNH ĐƯA VÀO QUYẾT TOÁN</v>
          </cell>
        </row>
      </sheetData>
      <sheetData sheetId="9829">
        <row r="4">
          <cell r="A4" t="str">
            <v>BẢNG TÍNH TOÁN, ĐO BÓC KHỐI LƯỢNG HOÀN THÀNH ĐƯA VÀO QUYẾT TOÁN</v>
          </cell>
        </row>
      </sheetData>
      <sheetData sheetId="9830">
        <row r="4">
          <cell r="A4" t="str">
            <v>BẢNG TÍNH TOÁN, ĐO BÓC KHỐI LƯỢNG HOÀN THÀNH ĐƯA VÀO QUYẾT TOÁN</v>
          </cell>
        </row>
      </sheetData>
      <sheetData sheetId="9831">
        <row r="4">
          <cell r="A4" t="str">
            <v>BẢNG TÍNH TOÁN, ĐO BÓC KHỐI LƯỢNG HOÀN THÀNH ĐƯA VÀO QUYẾT TOÁN</v>
          </cell>
        </row>
      </sheetData>
      <sheetData sheetId="9832">
        <row r="4">
          <cell r="A4" t="str">
            <v>BẢNG TÍNH TOÁN, ĐO BÓC KHỐI LƯỢNG HOÀN THÀNH ĐƯA VÀO QUYẾT TOÁN</v>
          </cell>
        </row>
      </sheetData>
      <sheetData sheetId="9833">
        <row r="4">
          <cell r="A4" t="str">
            <v>BẢNG TÍNH TOÁN, ĐO BÓC KHỐI LƯỢNG HOÀN THÀNH ĐƯA VÀO QUYẾT TOÁN</v>
          </cell>
        </row>
      </sheetData>
      <sheetData sheetId="9834">
        <row r="4">
          <cell r="A4" t="str">
            <v>BẢNG TÍNH TOÁN, ĐO BÓC KHỐI LƯỢNG HOÀN THÀNH ĐƯA VÀO QUYẾT TOÁN</v>
          </cell>
        </row>
      </sheetData>
      <sheetData sheetId="9835">
        <row r="4">
          <cell r="A4" t="str">
            <v>BẢNG TÍNH TOÁN, ĐO BÓC KHỐI LƯỢNG HOÀN THÀNH ĐƯA VÀO QUYẾT TOÁN</v>
          </cell>
        </row>
      </sheetData>
      <sheetData sheetId="9836">
        <row r="4">
          <cell r="A4" t="str">
            <v>BẢNG TÍNH TOÁN, ĐO BÓC KHỐI LƯỢNG HOÀN THÀNH ĐƯA VÀO QUYẾT TOÁN</v>
          </cell>
        </row>
      </sheetData>
      <sheetData sheetId="9837">
        <row r="4">
          <cell r="A4" t="str">
            <v>BẢNG TÍNH TOÁN, ĐO BÓC KHỐI LƯỢNG HOÀN THÀNH ĐƯA VÀO QUYẾT TOÁN</v>
          </cell>
        </row>
      </sheetData>
      <sheetData sheetId="9838">
        <row r="4">
          <cell r="A4" t="str">
            <v>BẢNG TÍNH TOÁN, ĐO BÓC KHỐI LƯỢNG HOÀN THÀNH ĐƯA VÀO QUYẾT TOÁN</v>
          </cell>
        </row>
      </sheetData>
      <sheetData sheetId="9839">
        <row r="4">
          <cell r="A4" t="str">
            <v>BẢNG TÍNH TOÁN, ĐO BÓC KHỐI LƯỢNG HOÀN THÀNH ĐƯA VÀO QUYẾT TOÁN</v>
          </cell>
        </row>
      </sheetData>
      <sheetData sheetId="9840">
        <row r="4">
          <cell r="A4" t="str">
            <v>BẢNG TÍNH TOÁN, ĐO BÓC KHỐI LƯỢNG HOÀN THÀNH ĐƯA VÀO QUYẾT TOÁN</v>
          </cell>
        </row>
      </sheetData>
      <sheetData sheetId="9841">
        <row r="4">
          <cell r="A4" t="str">
            <v>BẢNG TÍNH TOÁN, ĐO BÓC KHỐI LƯỢNG HOÀN THÀNH ĐƯA VÀO QUYẾT TOÁN</v>
          </cell>
        </row>
      </sheetData>
      <sheetData sheetId="9842">
        <row r="4">
          <cell r="A4" t="str">
            <v>BẢNG TÍNH TOÁN, ĐO BÓC KHỐI LƯỢNG HOÀN THÀNH ĐƯA VÀO QUYẾT TOÁN</v>
          </cell>
        </row>
      </sheetData>
      <sheetData sheetId="9843">
        <row r="4">
          <cell r="A4" t="str">
            <v>BẢNG TÍNH TOÁN, ĐO BÓC KHỐI LƯỢNG HOÀN THÀNH ĐƯA VÀO QUYẾT TOÁN</v>
          </cell>
        </row>
      </sheetData>
      <sheetData sheetId="9844">
        <row r="4">
          <cell r="A4" t="str">
            <v>BẢNG TÍNH TOÁN, ĐO BÓC KHỐI LƯỢNG HOÀN THÀNH ĐƯA VÀO QUYẾT TOÁN</v>
          </cell>
        </row>
      </sheetData>
      <sheetData sheetId="9845">
        <row r="4">
          <cell r="A4" t="str">
            <v>BẢNG TÍNH TOÁN, ĐO BÓC KHỐI LƯỢNG HOÀN THÀNH ĐƯA VÀO QUYẾT TOÁN</v>
          </cell>
        </row>
      </sheetData>
      <sheetData sheetId="9846">
        <row r="4">
          <cell r="A4" t="str">
            <v>BẢNG TÍNH TOÁN, ĐO BÓC KHỐI LƯỢNG HOÀN THÀNH ĐƯA VÀO QUYẾT TOÁN</v>
          </cell>
        </row>
      </sheetData>
      <sheetData sheetId="9847">
        <row r="4">
          <cell r="A4" t="str">
            <v>BẢNG TÍNH TOÁN, ĐO BÓC KHỐI LƯỢNG HOÀN THÀNH ĐƯA VÀO QUYẾT TOÁN</v>
          </cell>
        </row>
      </sheetData>
      <sheetData sheetId="9848">
        <row r="4">
          <cell r="A4" t="str">
            <v>BẢNG TÍNH TOÁN, ĐO BÓC KHỐI LƯỢNG HOÀN THÀNH ĐƯA VÀO QUYẾT TOÁN</v>
          </cell>
        </row>
      </sheetData>
      <sheetData sheetId="9849">
        <row r="4">
          <cell r="A4" t="str">
            <v>BẢNG TÍNH TOÁN, ĐO BÓC KHỐI LƯỢNG HOÀN THÀNH ĐƯA VÀO QUYẾT TOÁN</v>
          </cell>
        </row>
      </sheetData>
      <sheetData sheetId="9850">
        <row r="4">
          <cell r="A4" t="str">
            <v>BẢNG TÍNH TOÁN, ĐO BÓC KHỐI LƯỢNG HOÀN THÀNH ĐƯA VÀO QUYẾT TOÁN</v>
          </cell>
        </row>
      </sheetData>
      <sheetData sheetId="9851">
        <row r="4">
          <cell r="A4" t="str">
            <v>BẢNG TÍNH TOÁN, ĐO BÓC KHỐI LƯỢNG HOÀN THÀNH ĐƯA VÀO QUYẾT TOÁN</v>
          </cell>
        </row>
      </sheetData>
      <sheetData sheetId="9852">
        <row r="4">
          <cell r="A4" t="str">
            <v>BẢNG TÍNH TOÁN, ĐO BÓC KHỐI LƯỢNG HOÀN THÀNH ĐƯA VÀO QUYẾT TOÁN</v>
          </cell>
        </row>
      </sheetData>
      <sheetData sheetId="9853">
        <row r="4">
          <cell r="A4" t="str">
            <v>BẢNG TÍNH TOÁN, ĐO BÓC KHỐI LƯỢNG HOÀN THÀNH ĐƯA VÀO QUYẾT TOÁN</v>
          </cell>
        </row>
      </sheetData>
      <sheetData sheetId="9854">
        <row r="4">
          <cell r="A4" t="str">
            <v>BẢNG TÍNH TOÁN, ĐO BÓC KHỐI LƯỢNG HOÀN THÀNH ĐƯA VÀO QUYẾT TOÁN</v>
          </cell>
        </row>
      </sheetData>
      <sheetData sheetId="9855">
        <row r="4">
          <cell r="A4" t="str">
            <v>BẢNG TÍNH TOÁN, ĐO BÓC KHỐI LƯỢNG HOÀN THÀNH ĐƯA VÀO QUYẾT TOÁN</v>
          </cell>
        </row>
      </sheetData>
      <sheetData sheetId="9856">
        <row r="4">
          <cell r="A4" t="str">
            <v>BẢNG TÍNH TOÁN, ĐO BÓC KHỐI LƯỢNG HOÀN THÀNH ĐƯA VÀO QUYẾT TOÁN</v>
          </cell>
        </row>
      </sheetData>
      <sheetData sheetId="9857">
        <row r="4">
          <cell r="A4" t="str">
            <v>BẢNG TÍNH TOÁN, ĐO BÓC KHỐI LƯỢNG HOÀN THÀNH ĐƯA VÀO QUYẾT TOÁN</v>
          </cell>
        </row>
      </sheetData>
      <sheetData sheetId="9858">
        <row r="4">
          <cell r="A4" t="str">
            <v>BẢNG TÍNH TOÁN, ĐO BÓC KHỐI LƯỢNG HOÀN THÀNH ĐƯA VÀO QUYẾT TOÁN</v>
          </cell>
        </row>
      </sheetData>
      <sheetData sheetId="9859">
        <row r="4">
          <cell r="A4" t="str">
            <v>BẢNG TÍNH TOÁN, ĐO BÓC KHỐI LƯỢNG HOÀN THÀNH ĐƯA VÀO QUYẾT TOÁN</v>
          </cell>
        </row>
      </sheetData>
      <sheetData sheetId="9860">
        <row r="4">
          <cell r="A4" t="str">
            <v>BẢNG TÍNH TOÁN, ĐO BÓC KHỐI LƯỢNG HOÀN THÀNH ĐƯA VÀO QUYẾT TOÁN</v>
          </cell>
        </row>
      </sheetData>
      <sheetData sheetId="9861">
        <row r="4">
          <cell r="A4" t="str">
            <v>BẢNG TÍNH TOÁN, ĐO BÓC KHỐI LƯỢNG HOÀN THÀNH ĐƯA VÀO QUYẾT TOÁN</v>
          </cell>
        </row>
      </sheetData>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ow r="9">
          <cell r="A9" t="str">
            <v>A</v>
          </cell>
        </row>
      </sheetData>
      <sheetData sheetId="9947" refreshError="1"/>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ow r="9">
          <cell r="A9" t="str">
            <v>A</v>
          </cell>
        </row>
      </sheetData>
      <sheetData sheetId="10581">
        <row r="4">
          <cell r="A4" t="str">
            <v>BẢNG TÍNH TOÁN, ĐO BÓC KHỐI LƯỢNG HOÀN THÀNH ĐƯA VÀO QUYẾT TOÁN</v>
          </cell>
        </row>
      </sheetData>
      <sheetData sheetId="10582">
        <row r="4">
          <cell r="A4" t="str">
            <v>BẢNG TÍNH TOÁN, ĐO BÓC KHỐI LƯỢNG HOÀN THÀNH ĐƯA VÀO QUYẾT TOÁN</v>
          </cell>
        </row>
      </sheetData>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ow r="4">
          <cell r="A4" t="str">
            <v>BẢNG TÍNH TOÁN, ĐO BÓC KHỐI LƯỢNG HOÀN THÀNH ĐƯA VÀO QUYẾT TOÁN</v>
          </cell>
        </row>
      </sheetData>
      <sheetData sheetId="10668">
        <row r="4">
          <cell r="A4" t="str">
            <v>BẢNG TÍNH TOÁN, ĐO BÓC KHỐI LƯỢNG HOÀN THÀNH ĐƯA VÀO QUYẾT TOÁN</v>
          </cell>
        </row>
      </sheetData>
      <sheetData sheetId="10669">
        <row r="4">
          <cell r="A4" t="str">
            <v>BẢNG TÍNH TOÁN, ĐO BÓC KHỐI LƯỢNG HOÀN THÀNH ĐƯA VÀO QUYẾT TOÁN</v>
          </cell>
        </row>
      </sheetData>
      <sheetData sheetId="10670">
        <row r="4">
          <cell r="A4" t="str">
            <v>BẢNG TÍNH TOÁN, ĐO BÓC KHỐI LƯỢNG HOÀN THÀNH ĐƯA VÀO QUYẾT TOÁN</v>
          </cell>
        </row>
      </sheetData>
      <sheetData sheetId="10671">
        <row r="4">
          <cell r="A4" t="str">
            <v>BẢNG TÍNH TOÁN, ĐO BÓC KHỐI LƯỢNG HOÀN THÀNH ĐƯA VÀO QUYẾT TOÁN</v>
          </cell>
        </row>
      </sheetData>
      <sheetData sheetId="10672">
        <row r="4">
          <cell r="A4" t="str">
            <v>BẢNG TÍNH TOÁN, ĐO BÓC KHỐI LƯỢNG HOÀN THÀNH ĐƯA VÀO QUYẾT TOÁN</v>
          </cell>
        </row>
      </sheetData>
      <sheetData sheetId="10673">
        <row r="4">
          <cell r="A4" t="str">
            <v>BẢNG TÍNH TOÁN, ĐO BÓC KHỐI LƯỢNG HOÀN THÀNH ĐƯA VÀO QUYẾT TOÁN</v>
          </cell>
        </row>
      </sheetData>
      <sheetData sheetId="10674">
        <row r="4">
          <cell r="A4" t="str">
            <v>BẢNG TÍNH TOÁN, ĐO BÓC KHỐI LƯỢNG HOÀN THÀNH ĐƯA VÀO QUYẾT TOÁN</v>
          </cell>
        </row>
      </sheetData>
      <sheetData sheetId="10675">
        <row r="4">
          <cell r="A4" t="str">
            <v>BẢNG TÍNH TOÁN, ĐO BÓC KHỐI LƯỢNG HOÀN THÀNH ĐƯA VÀO QUYẾT TOÁN</v>
          </cell>
        </row>
      </sheetData>
      <sheetData sheetId="10676">
        <row r="4">
          <cell r="A4" t="str">
            <v>BẢNG TÍNH TOÁN, ĐO BÓC KHỐI LƯỢNG HOÀN THÀNH ĐƯA VÀO QUYẾT TOÁN</v>
          </cell>
        </row>
      </sheetData>
      <sheetData sheetId="10677">
        <row r="4">
          <cell r="A4" t="str">
            <v>BẢNG TÍNH TOÁN, ĐO BÓC KHỐI LƯỢNG HOÀN THÀNH ĐƯA VÀO QUYẾT TOÁN</v>
          </cell>
        </row>
      </sheetData>
      <sheetData sheetId="10678">
        <row r="4">
          <cell r="A4" t="str">
            <v>BẢNG TÍNH TOÁN, ĐO BÓC KHỐI LƯỢNG HOÀN THÀNH ĐƯA VÀO QUYẾT TOÁN</v>
          </cell>
        </row>
      </sheetData>
      <sheetData sheetId="10679">
        <row r="4">
          <cell r="A4" t="str">
            <v>BẢNG TÍNH TOÁN, ĐO BÓC KHỐI LƯỢNG HOÀN THÀNH ĐƯA VÀO QUYẾT TOÁN</v>
          </cell>
        </row>
      </sheetData>
      <sheetData sheetId="10680">
        <row r="4">
          <cell r="A4" t="str">
            <v>BẢNG TÍNH TOÁN, ĐO BÓC KHỐI LƯỢNG HOÀN THÀNH ĐƯA VÀO QUYẾT TOÁN</v>
          </cell>
        </row>
      </sheetData>
      <sheetData sheetId="10681">
        <row r="4">
          <cell r="A4" t="str">
            <v>BẢNG TÍNH TOÁN, ĐO BÓC KHỐI LƯỢNG HOÀN THÀNH ĐƯA VÀO QUYẾT TOÁN</v>
          </cell>
        </row>
      </sheetData>
      <sheetData sheetId="10682">
        <row r="4">
          <cell r="A4" t="str">
            <v>BẢNG TÍNH TOÁN, ĐO BÓC KHỐI LƯỢNG HOÀN THÀNH ĐƯA VÀO QUYẾT TOÁN</v>
          </cell>
        </row>
      </sheetData>
      <sheetData sheetId="10683">
        <row r="4">
          <cell r="A4" t="str">
            <v>BẢNG TÍNH TOÁN, ĐO BÓC KHỐI LƯỢNG HOÀN THÀNH ĐƯA VÀO QUYẾT TOÁN</v>
          </cell>
        </row>
      </sheetData>
      <sheetData sheetId="10684">
        <row r="4">
          <cell r="A4" t="str">
            <v>BẢNG TÍNH TOÁN, ĐO BÓC KHỐI LƯỢNG HOÀN THÀNH ĐƯA VÀO QUYẾT TOÁN</v>
          </cell>
        </row>
      </sheetData>
      <sheetData sheetId="10685">
        <row r="4">
          <cell r="A4" t="str">
            <v>BẢNG TÍNH TOÁN, ĐO BÓC KHỐI LƯỢNG HOÀN THÀNH ĐƯA VÀO QUYẾT TOÁN</v>
          </cell>
        </row>
      </sheetData>
      <sheetData sheetId="10686">
        <row r="4">
          <cell r="A4" t="str">
            <v>BẢNG TÍNH TOÁN, ĐO BÓC KHỐI LƯỢNG HOÀN THÀNH ĐƯA VÀO QUYẾT TOÁN</v>
          </cell>
        </row>
      </sheetData>
      <sheetData sheetId="10687">
        <row r="4">
          <cell r="A4" t="str">
            <v>BẢNG TÍNH TOÁN, ĐO BÓC KHỐI LƯỢNG HOÀN THÀNH ĐƯA VÀO QUYẾT TOÁN</v>
          </cell>
        </row>
      </sheetData>
      <sheetData sheetId="10688">
        <row r="4">
          <cell r="A4" t="str">
            <v>BẢNG TÍNH TOÁN, ĐO BÓC KHỐI LƯỢNG HOÀN THÀNH ĐƯA VÀO QUYẾT TOÁN</v>
          </cell>
        </row>
      </sheetData>
      <sheetData sheetId="10689">
        <row r="4">
          <cell r="A4" t="str">
            <v>BẢNG TÍNH TOÁN, ĐO BÓC KHỐI LƯỢNG HOÀN THÀNH ĐƯA VÀO QUYẾT TOÁN</v>
          </cell>
        </row>
      </sheetData>
      <sheetData sheetId="10690">
        <row r="4">
          <cell r="A4" t="str">
            <v>BẢNG TÍNH TOÁN, ĐO BÓC KHỐI LƯỢNG HOÀN THÀNH ĐƯA VÀO QUYẾT TOÁN</v>
          </cell>
        </row>
      </sheetData>
      <sheetData sheetId="10691">
        <row r="4">
          <cell r="A4" t="str">
            <v>BẢNG TÍNH TOÁN, ĐO BÓC KHỐI LƯỢNG HOÀN THÀNH ĐƯA VÀO QUYẾT TOÁN</v>
          </cell>
        </row>
      </sheetData>
      <sheetData sheetId="10692">
        <row r="4">
          <cell r="A4" t="str">
            <v>BẢNG TÍNH TOÁN, ĐO BÓC KHỐI LƯỢNG HOÀN THÀNH ĐƯA VÀO QUYẾT TOÁN</v>
          </cell>
        </row>
      </sheetData>
      <sheetData sheetId="10693">
        <row r="4">
          <cell r="A4" t="str">
            <v>BẢNG TÍNH TOÁN, ĐO BÓC KHỐI LƯỢNG HOÀN THÀNH ĐƯA VÀO QUYẾT TOÁN</v>
          </cell>
        </row>
      </sheetData>
      <sheetData sheetId="10694">
        <row r="4">
          <cell r="A4" t="str">
            <v>BẢNG TÍNH TOÁN, ĐO BÓC KHỐI LƯỢNG HOÀN THÀNH ĐƯA VÀO QUYẾT TOÁN</v>
          </cell>
        </row>
      </sheetData>
      <sheetData sheetId="10695">
        <row r="4">
          <cell r="A4" t="str">
            <v>BẢNG TÍNH TOÁN, ĐO BÓC KHỐI LƯỢNG HOÀN THÀNH ĐƯA VÀO QUYẾT TOÁN</v>
          </cell>
        </row>
      </sheetData>
      <sheetData sheetId="10696">
        <row r="4">
          <cell r="A4" t="str">
            <v>BẢNG TÍNH TOÁN, ĐO BÓC KHỐI LƯỢNG HOÀN THÀNH ĐƯA VÀO QUYẾT TOÁN</v>
          </cell>
        </row>
      </sheetData>
      <sheetData sheetId="10697">
        <row r="4">
          <cell r="A4" t="str">
            <v>BẢNG TÍNH TOÁN, ĐO BÓC KHỐI LƯỢNG HOÀN THÀNH ĐƯA VÀO QUYẾT TOÁN</v>
          </cell>
        </row>
      </sheetData>
      <sheetData sheetId="10698">
        <row r="4">
          <cell r="A4" t="str">
            <v>BẢNG TÍNH TOÁN, ĐO BÓC KHỐI LƯỢNG HOÀN THÀNH ĐƯA VÀO QUYẾT TOÁN</v>
          </cell>
        </row>
      </sheetData>
      <sheetData sheetId="10699">
        <row r="4">
          <cell r="A4" t="str">
            <v>BẢNG TÍNH TOÁN, ĐO BÓC KHỐI LƯỢNG HOÀN THÀNH ĐƯA VÀO QUYẾT TOÁN</v>
          </cell>
        </row>
      </sheetData>
      <sheetData sheetId="10700">
        <row r="4">
          <cell r="A4" t="str">
            <v>BẢNG TÍNH TOÁN, ĐO BÓC KHỐI LƯỢNG HOÀN THÀNH ĐƯA VÀO QUYẾT TOÁN</v>
          </cell>
        </row>
      </sheetData>
      <sheetData sheetId="10701">
        <row r="4">
          <cell r="A4" t="str">
            <v>BẢNG TÍNH TOÁN, ĐO BÓC KHỐI LƯỢNG HOÀN THÀNH ĐƯA VÀO QUYẾT TOÁN</v>
          </cell>
        </row>
      </sheetData>
      <sheetData sheetId="10702">
        <row r="4">
          <cell r="A4" t="str">
            <v>BẢNG TÍNH TOÁN, ĐO BÓC KHỐI LƯỢNG HOÀN THÀNH ĐƯA VÀO QUYẾT TOÁN</v>
          </cell>
        </row>
      </sheetData>
      <sheetData sheetId="10703">
        <row r="4">
          <cell r="A4" t="str">
            <v>BẢNG TÍNH TOÁN, ĐO BÓC KHỐI LƯỢNG HOÀN THÀNH ĐƯA VÀO QUYẾT TOÁN</v>
          </cell>
        </row>
      </sheetData>
      <sheetData sheetId="10704">
        <row r="4">
          <cell r="A4" t="str">
            <v>BẢNG TÍNH TOÁN, ĐO BÓC KHỐI LƯỢNG HOÀN THÀNH ĐƯA VÀO QUYẾT TOÁN</v>
          </cell>
        </row>
      </sheetData>
      <sheetData sheetId="10705">
        <row r="4">
          <cell r="A4" t="str">
            <v>BẢNG TÍNH TOÁN, ĐO BÓC KHỐI LƯỢNG HOÀN THÀNH ĐƯA VÀO QUYẾT TOÁN</v>
          </cell>
        </row>
      </sheetData>
      <sheetData sheetId="10706">
        <row r="4">
          <cell r="A4" t="str">
            <v>BẢNG TÍNH TOÁN, ĐO BÓC KHỐI LƯỢNG HOÀN THÀNH ĐƯA VÀO QUYẾT TOÁN</v>
          </cell>
        </row>
      </sheetData>
      <sheetData sheetId="10707">
        <row r="4">
          <cell r="A4" t="str">
            <v>BẢNG TÍNH TOÁN, ĐO BÓC KHỐI LƯỢNG HOÀN THÀNH ĐƯA VÀO QUYẾT TOÁN</v>
          </cell>
        </row>
      </sheetData>
      <sheetData sheetId="10708">
        <row r="4">
          <cell r="A4" t="str">
            <v>BẢNG TÍNH TOÁN, ĐO BÓC KHỐI LƯỢNG HOÀN THÀNH ĐƯA VÀO QUYẾT TOÁN</v>
          </cell>
        </row>
      </sheetData>
      <sheetData sheetId="10709">
        <row r="4">
          <cell r="A4" t="str">
            <v>BẢNG TÍNH TOÁN, ĐO BÓC KHỐI LƯỢNG HOÀN THÀNH ĐƯA VÀO QUYẾT TOÁN</v>
          </cell>
        </row>
      </sheetData>
      <sheetData sheetId="10710">
        <row r="4">
          <cell r="A4" t="str">
            <v>BẢNG TÍNH TOÁN, ĐO BÓC KHỐI LƯỢNG HOÀN THÀNH ĐƯA VÀO QUYẾT TOÁN</v>
          </cell>
        </row>
      </sheetData>
      <sheetData sheetId="10711">
        <row r="4">
          <cell r="A4" t="str">
            <v>BẢNG TÍNH TOÁN, ĐO BÓC KHỐI LƯỢNG HOÀN THÀNH ĐƯA VÀO QUYẾT TOÁN</v>
          </cell>
        </row>
      </sheetData>
      <sheetData sheetId="10712">
        <row r="4">
          <cell r="A4" t="str">
            <v>BẢNG TÍNH TOÁN, ĐO BÓC KHỐI LƯỢNG HOÀN THÀNH ĐƯA VÀO QUYẾT TOÁN</v>
          </cell>
        </row>
      </sheetData>
      <sheetData sheetId="10713">
        <row r="4">
          <cell r="A4" t="str">
            <v>BẢNG TÍNH TOÁN, ĐO BÓC KHỐI LƯỢNG HOÀN THÀNH ĐƯA VÀO QUYẾT TOÁN</v>
          </cell>
        </row>
      </sheetData>
      <sheetData sheetId="10714">
        <row r="4">
          <cell r="A4" t="str">
            <v>BẢNG TÍNH TOÁN, ĐO BÓC KHỐI LƯỢNG HOÀN THÀNH ĐƯA VÀO QUYẾT TOÁN</v>
          </cell>
        </row>
      </sheetData>
      <sheetData sheetId="10715">
        <row r="4">
          <cell r="A4" t="str">
            <v>BẢNG TÍNH TOÁN, ĐO BÓC KHỐI LƯỢNG HOÀN THÀNH ĐƯA VÀO QUYẾT TOÁN</v>
          </cell>
        </row>
      </sheetData>
      <sheetData sheetId="10716">
        <row r="4">
          <cell r="A4" t="str">
            <v>BẢNG TÍNH TOÁN, ĐO BÓC KHỐI LƯỢNG HOÀN THÀNH ĐƯA VÀO QUYẾT TOÁN</v>
          </cell>
        </row>
      </sheetData>
      <sheetData sheetId="10717">
        <row r="4">
          <cell r="A4" t="str">
            <v>BẢNG TÍNH TOÁN, ĐO BÓC KHỐI LƯỢNG HOÀN THÀNH ĐƯA VÀO QUYẾT TOÁN</v>
          </cell>
        </row>
      </sheetData>
      <sheetData sheetId="10718">
        <row r="4">
          <cell r="A4" t="str">
            <v>BẢNG TÍNH TOÁN, ĐO BÓC KHỐI LƯỢNG HOÀN THÀNH ĐƯA VÀO QUYẾT TOÁN</v>
          </cell>
        </row>
      </sheetData>
      <sheetData sheetId="10719">
        <row r="4">
          <cell r="A4" t="str">
            <v>BẢNG TÍNH TOÁN, ĐO BÓC KHỐI LƯỢNG HOÀN THÀNH ĐƯA VÀO QUYẾT TOÁN</v>
          </cell>
        </row>
      </sheetData>
      <sheetData sheetId="10720">
        <row r="4">
          <cell r="A4" t="str">
            <v>BẢNG TÍNH TOÁN, ĐO BÓC KHỐI LƯỢNG HOÀN THÀNH ĐƯA VÀO QUYẾT TOÁN</v>
          </cell>
        </row>
      </sheetData>
      <sheetData sheetId="10721">
        <row r="4">
          <cell r="A4" t="str">
            <v>BẢNG TÍNH TOÁN, ĐO BÓC KHỐI LƯỢNG HOÀN THÀNH ĐƯA VÀO QUYẾT TOÁN</v>
          </cell>
        </row>
      </sheetData>
      <sheetData sheetId="10722">
        <row r="4">
          <cell r="A4" t="str">
            <v>BẢNG TÍNH TOÁN, ĐO BÓC KHỐI LƯỢNG HOÀN THÀNH ĐƯA VÀO QUYẾT TOÁN</v>
          </cell>
        </row>
      </sheetData>
      <sheetData sheetId="10723">
        <row r="4">
          <cell r="A4" t="str">
            <v>BẢNG TÍNH TOÁN, ĐO BÓC KHỐI LƯỢNG HOÀN THÀNH ĐƯA VÀO QUYẾT TOÁN</v>
          </cell>
        </row>
      </sheetData>
      <sheetData sheetId="10724">
        <row r="4">
          <cell r="A4" t="str">
            <v>BẢNG TÍNH TOÁN, ĐO BÓC KHỐI LƯỢNG HOÀN THÀNH ĐƯA VÀO QUYẾT TOÁN</v>
          </cell>
        </row>
      </sheetData>
      <sheetData sheetId="10725">
        <row r="4">
          <cell r="A4" t="str">
            <v>BẢNG TÍNH TOÁN, ĐO BÓC KHỐI LƯỢNG HOÀN THÀNH ĐƯA VÀO QUYẾT TOÁN</v>
          </cell>
        </row>
      </sheetData>
      <sheetData sheetId="10726">
        <row r="4">
          <cell r="A4" t="str">
            <v>BẢNG TÍNH TOÁN, ĐO BÓC KHỐI LƯỢNG HOÀN THÀNH ĐƯA VÀO QUYẾT TOÁN</v>
          </cell>
        </row>
      </sheetData>
      <sheetData sheetId="10727">
        <row r="4">
          <cell r="A4" t="str">
            <v>BẢNG TÍNH TOÁN, ĐO BÓC KHỐI LƯỢNG HOÀN THÀNH ĐƯA VÀO QUYẾT TOÁN</v>
          </cell>
        </row>
      </sheetData>
      <sheetData sheetId="10728">
        <row r="4">
          <cell r="A4" t="str">
            <v>BẢNG TÍNH TOÁN, ĐO BÓC KHỐI LƯỢNG HOÀN THÀNH ĐƯA VÀO QUYẾT TOÁN</v>
          </cell>
        </row>
      </sheetData>
      <sheetData sheetId="10729">
        <row r="4">
          <cell r="A4" t="str">
            <v>BẢNG TÍNH TOÁN, ĐO BÓC KHỐI LƯỢNG HOÀN THÀNH ĐƯA VÀO QUYẾT TOÁN</v>
          </cell>
        </row>
      </sheetData>
      <sheetData sheetId="10730">
        <row r="4">
          <cell r="A4" t="str">
            <v>BẢNG TÍNH TOÁN, ĐO BÓC KHỐI LƯỢNG HOÀN THÀNH ĐƯA VÀO QUYẾT TOÁN</v>
          </cell>
        </row>
      </sheetData>
      <sheetData sheetId="10731">
        <row r="4">
          <cell r="A4" t="str">
            <v>BẢNG TÍNH TOÁN, ĐO BÓC KHỐI LƯỢNG HOÀN THÀNH ĐƯA VÀO QUYẾT TOÁN</v>
          </cell>
        </row>
      </sheetData>
      <sheetData sheetId="10732">
        <row r="4">
          <cell r="A4" t="str">
            <v>BẢNG TÍNH TOÁN, ĐO BÓC KHỐI LƯỢNG HOÀN THÀNH ĐƯA VÀO QUYẾT TOÁN</v>
          </cell>
        </row>
      </sheetData>
      <sheetData sheetId="10733">
        <row r="4">
          <cell r="A4" t="str">
            <v>BẢNG TÍNH TOÁN, ĐO BÓC KHỐI LƯỢNG HOÀN THÀNH ĐƯA VÀO QUYẾT TOÁN</v>
          </cell>
        </row>
      </sheetData>
      <sheetData sheetId="10734">
        <row r="4">
          <cell r="A4" t="str">
            <v>BẢNG TÍNH TOÁN, ĐO BÓC KHỐI LƯỢNG HOÀN THÀNH ĐƯA VÀO QUYẾT TOÁN</v>
          </cell>
        </row>
      </sheetData>
      <sheetData sheetId="10735">
        <row r="4">
          <cell r="A4" t="str">
            <v>BẢNG TÍNH TOÁN, ĐO BÓC KHỐI LƯỢNG HOÀN THÀNH ĐƯA VÀO QUYẾT TOÁN</v>
          </cell>
        </row>
      </sheetData>
      <sheetData sheetId="10736">
        <row r="4">
          <cell r="A4" t="str">
            <v>BẢNG TÍNH TOÁN, ĐO BÓC KHỐI LƯỢNG HOÀN THÀNH ĐƯA VÀO QUYẾT TOÁN</v>
          </cell>
        </row>
      </sheetData>
      <sheetData sheetId="10737">
        <row r="4">
          <cell r="A4" t="str">
            <v>BẢNG TÍNH TOÁN, ĐO BÓC KHỐI LƯỢNG HOÀN THÀNH ĐƯA VÀO QUYẾT TOÁN</v>
          </cell>
        </row>
      </sheetData>
      <sheetData sheetId="10738">
        <row r="4">
          <cell r="A4" t="str">
            <v>BẢNG TÍNH TOÁN, ĐO BÓC KHỐI LƯỢNG HOÀN THÀNH ĐƯA VÀO QUYẾT TOÁN</v>
          </cell>
        </row>
      </sheetData>
      <sheetData sheetId="10739">
        <row r="4">
          <cell r="A4" t="str">
            <v>BẢNG TÍNH TOÁN, ĐO BÓC KHỐI LƯỢNG HOÀN THÀNH ĐƯA VÀO QUYẾT TOÁN</v>
          </cell>
        </row>
      </sheetData>
      <sheetData sheetId="10740">
        <row r="4">
          <cell r="A4" t="str">
            <v>BẢNG TÍNH TOÁN, ĐO BÓC KHỐI LƯỢNG HOÀN THÀNH ĐƯA VÀO QUYẾT TOÁN</v>
          </cell>
        </row>
      </sheetData>
      <sheetData sheetId="10741">
        <row r="4">
          <cell r="A4" t="str">
            <v>BẢNG TÍNH TOÁN, ĐO BÓC KHỐI LƯỢNG HOÀN THÀNH ĐƯA VÀO QUYẾT TOÁN</v>
          </cell>
        </row>
      </sheetData>
      <sheetData sheetId="10742">
        <row r="4">
          <cell r="A4" t="str">
            <v>BẢNG TÍNH TOÁN, ĐO BÓC KHỐI LƯỢNG HOÀN THÀNH ĐƯA VÀO QUYẾT TOÁN</v>
          </cell>
        </row>
      </sheetData>
      <sheetData sheetId="10743">
        <row r="4">
          <cell r="A4" t="str">
            <v>BẢNG TÍNH TOÁN, ĐO BÓC KHỐI LƯỢNG HOÀN THÀNH ĐƯA VÀO QUYẾT TOÁN</v>
          </cell>
        </row>
      </sheetData>
      <sheetData sheetId="10744">
        <row r="4">
          <cell r="A4" t="str">
            <v>BẢNG TÍNH TOÁN, ĐO BÓC KHỐI LƯỢNG HOÀN THÀNH ĐƯA VÀO QUYẾT TOÁN</v>
          </cell>
        </row>
      </sheetData>
      <sheetData sheetId="10745">
        <row r="4">
          <cell r="A4" t="str">
            <v>BẢNG TÍNH TOÁN, ĐO BÓC KHỐI LƯỢNG HOÀN THÀNH ĐƯA VÀO QUYẾT TOÁN</v>
          </cell>
        </row>
      </sheetData>
      <sheetData sheetId="10746">
        <row r="4">
          <cell r="A4" t="str">
            <v>BẢNG TÍNH TOÁN, ĐO BÓC KHỐI LƯỢNG HOÀN THÀNH ĐƯA VÀO QUYẾT TOÁN</v>
          </cell>
        </row>
      </sheetData>
      <sheetData sheetId="10747">
        <row r="4">
          <cell r="A4" t="str">
            <v>BẢNG TÍNH TOÁN, ĐO BÓC KHỐI LƯỢNG HOÀN THÀNH ĐƯA VÀO QUYẾT TOÁN</v>
          </cell>
        </row>
      </sheetData>
      <sheetData sheetId="10748">
        <row r="4">
          <cell r="A4" t="str">
            <v>BẢNG TÍNH TOÁN, ĐO BÓC KHỐI LƯỢNG HOÀN THÀNH ĐƯA VÀO QUYẾT TOÁN</v>
          </cell>
        </row>
      </sheetData>
      <sheetData sheetId="10749">
        <row r="4">
          <cell r="A4" t="str">
            <v>BẢNG TÍNH TOÁN, ĐO BÓC KHỐI LƯỢNG HOÀN THÀNH ĐƯA VÀO QUYẾT TOÁN</v>
          </cell>
        </row>
      </sheetData>
      <sheetData sheetId="10750">
        <row r="4">
          <cell r="A4" t="str">
            <v>BẢNG TÍNH TOÁN, ĐO BÓC KHỐI LƯỢNG HOÀN THÀNH ĐƯA VÀO QUYẾT TOÁN</v>
          </cell>
        </row>
      </sheetData>
      <sheetData sheetId="10751">
        <row r="4">
          <cell r="A4" t="str">
            <v>BẢNG TÍNH TOÁN, ĐO BÓC KHỐI LƯỢNG HOÀN THÀNH ĐƯA VÀO QUYẾT TOÁN</v>
          </cell>
        </row>
      </sheetData>
      <sheetData sheetId="10752">
        <row r="4">
          <cell r="A4" t="str">
            <v>BẢNG TÍNH TOÁN, ĐO BÓC KHỐI LƯỢNG HOÀN THÀNH ĐƯA VÀO QUYẾT TOÁN</v>
          </cell>
        </row>
      </sheetData>
      <sheetData sheetId="10753">
        <row r="4">
          <cell r="A4" t="str">
            <v>BẢNG TÍNH TOÁN, ĐO BÓC KHỐI LƯỢNG HOÀN THÀNH ĐƯA VÀO QUYẾT TOÁN</v>
          </cell>
        </row>
      </sheetData>
      <sheetData sheetId="10754">
        <row r="4">
          <cell r="A4" t="str">
            <v>BẢNG TÍNH TOÁN, ĐO BÓC KHỐI LƯỢNG HOÀN THÀNH ĐƯA VÀO QUYẾT TOÁN</v>
          </cell>
        </row>
      </sheetData>
      <sheetData sheetId="10755">
        <row r="4">
          <cell r="A4" t="str">
            <v>BẢNG TÍNH TOÁN, ĐO BÓC KHỐI LƯỢNG HOÀN THÀNH ĐƯA VÀO QUYẾT TOÁN</v>
          </cell>
        </row>
      </sheetData>
      <sheetData sheetId="10756">
        <row r="4">
          <cell r="A4" t="str">
            <v>BẢNG TÍNH TOÁN, ĐO BÓC KHỐI LƯỢNG HOÀN THÀNH ĐƯA VÀO QUYẾT TOÁN</v>
          </cell>
        </row>
      </sheetData>
      <sheetData sheetId="10757">
        <row r="4">
          <cell r="A4" t="str">
            <v>BẢNG TÍNH TOÁN, ĐO BÓC KHỐI LƯỢNG HOÀN THÀNH ĐƯA VÀO QUYẾT TOÁN</v>
          </cell>
        </row>
      </sheetData>
      <sheetData sheetId="10758">
        <row r="4">
          <cell r="A4" t="str">
            <v>BẢNG TÍNH TOÁN, ĐO BÓC KHỐI LƯỢNG HOÀN THÀNH ĐƯA VÀO QUYẾT TOÁN</v>
          </cell>
        </row>
      </sheetData>
      <sheetData sheetId="10759">
        <row r="4">
          <cell r="A4" t="str">
            <v>BẢNG TÍNH TOÁN, ĐO BÓC KHỐI LƯỢNG HOÀN THÀNH ĐƯA VÀO QUYẾT TOÁN</v>
          </cell>
        </row>
      </sheetData>
      <sheetData sheetId="10760">
        <row r="4">
          <cell r="A4" t="str">
            <v>BẢNG TÍNH TOÁN, ĐO BÓC KHỐI LƯỢNG HOÀN THÀNH ĐƯA VÀO QUYẾT TOÁN</v>
          </cell>
        </row>
      </sheetData>
      <sheetData sheetId="10761">
        <row r="4">
          <cell r="A4" t="str">
            <v>BẢNG TÍNH TOÁN, ĐO BÓC KHỐI LƯỢNG HOÀN THÀNH ĐƯA VÀO QUYẾT TOÁN</v>
          </cell>
        </row>
      </sheetData>
      <sheetData sheetId="10762">
        <row r="4">
          <cell r="A4" t="str">
            <v>BẢNG TÍNH TOÁN, ĐO BÓC KHỐI LƯỢNG HOÀN THÀNH ĐƯA VÀO QUYẾT TOÁN</v>
          </cell>
        </row>
      </sheetData>
      <sheetData sheetId="10763">
        <row r="4">
          <cell r="A4" t="str">
            <v>BẢNG TÍNH TOÁN, ĐO BÓC KHỐI LƯỢNG HOÀN THÀNH ĐƯA VÀO QUYẾT TOÁN</v>
          </cell>
        </row>
      </sheetData>
      <sheetData sheetId="10764">
        <row r="4">
          <cell r="A4" t="str">
            <v>BẢNG TÍNH TOÁN, ĐO BÓC KHỐI LƯỢNG HOÀN THÀNH ĐƯA VÀO QUYẾT TOÁN</v>
          </cell>
        </row>
      </sheetData>
      <sheetData sheetId="10765">
        <row r="4">
          <cell r="A4" t="str">
            <v>BẢNG TÍNH TOÁN, ĐO BÓC KHỐI LƯỢNG HOÀN THÀNH ĐƯA VÀO QUYẾT TOÁN</v>
          </cell>
        </row>
      </sheetData>
      <sheetData sheetId="10766">
        <row r="4">
          <cell r="A4" t="str">
            <v>BẢNG TÍNH TOÁN, ĐO BÓC KHỐI LƯỢNG HOÀN THÀNH ĐƯA VÀO QUYẾT TOÁN</v>
          </cell>
        </row>
      </sheetData>
      <sheetData sheetId="10767">
        <row r="4">
          <cell r="A4" t="str">
            <v>BẢNG TÍNH TOÁN, ĐO BÓC KHỐI LƯỢNG HOÀN THÀNH ĐƯA VÀO QUYẾT TOÁN</v>
          </cell>
        </row>
      </sheetData>
      <sheetData sheetId="10768">
        <row r="4">
          <cell r="A4" t="str">
            <v>BẢNG TÍNH TOÁN, ĐO BÓC KHỐI LƯỢNG HOÀN THÀNH ĐƯA VÀO QUYẾT TOÁN</v>
          </cell>
        </row>
      </sheetData>
      <sheetData sheetId="10769">
        <row r="4">
          <cell r="A4" t="str">
            <v>BẢNG TÍNH TOÁN, ĐO BÓC KHỐI LƯỢNG HOÀN THÀNH ĐƯA VÀO QUYẾT TOÁN</v>
          </cell>
        </row>
      </sheetData>
      <sheetData sheetId="10770">
        <row r="4">
          <cell r="A4" t="str">
            <v>BẢNG TÍNH TOÁN, ĐO BÓC KHỐI LƯỢNG HOÀN THÀNH ĐƯA VÀO QUYẾT TOÁN</v>
          </cell>
        </row>
      </sheetData>
      <sheetData sheetId="10771">
        <row r="4">
          <cell r="A4" t="str">
            <v>BẢNG TÍNH TOÁN, ĐO BÓC KHỐI LƯỢNG HOÀN THÀNH ĐƯA VÀO QUYẾT TOÁN</v>
          </cell>
        </row>
      </sheetData>
      <sheetData sheetId="10772">
        <row r="4">
          <cell r="A4" t="str">
            <v>BẢNG TÍNH TOÁN, ĐO BÓC KHỐI LƯỢNG HOÀN THÀNH ĐƯA VÀO QUYẾT TOÁN</v>
          </cell>
        </row>
      </sheetData>
      <sheetData sheetId="10773">
        <row r="4">
          <cell r="A4" t="str">
            <v>BẢNG TÍNH TOÁN, ĐO BÓC KHỐI LƯỢNG HOÀN THÀNH ĐƯA VÀO QUYẾT TOÁN</v>
          </cell>
        </row>
      </sheetData>
      <sheetData sheetId="10774">
        <row r="4">
          <cell r="A4" t="str">
            <v>BẢNG TÍNH TOÁN, ĐO BÓC KHỐI LƯỢNG HOÀN THÀNH ĐƯA VÀO QUYẾT TOÁN</v>
          </cell>
        </row>
      </sheetData>
      <sheetData sheetId="10775">
        <row r="4">
          <cell r="A4" t="str">
            <v>BẢNG TÍNH TOÁN, ĐO BÓC KHỐI LƯỢNG HOÀN THÀNH ĐƯA VÀO QUYẾT TOÁN</v>
          </cell>
        </row>
      </sheetData>
      <sheetData sheetId="10776">
        <row r="4">
          <cell r="A4" t="str">
            <v>BẢNG TÍNH TOÁN, ĐO BÓC KHỐI LƯỢNG HOÀN THÀNH ĐƯA VÀO QUYẾT TOÁN</v>
          </cell>
        </row>
      </sheetData>
      <sheetData sheetId="10777">
        <row r="4">
          <cell r="A4" t="str">
            <v>BẢNG TÍNH TOÁN, ĐO BÓC KHỐI LƯỢNG HOÀN THÀNH ĐƯA VÀO QUYẾT TOÁN</v>
          </cell>
        </row>
      </sheetData>
      <sheetData sheetId="10778">
        <row r="4">
          <cell r="A4" t="str">
            <v>BẢNG TÍNH TOÁN, ĐO BÓC KHỐI LƯỢNG HOÀN THÀNH ĐƯA VÀO QUYẾT TOÁN</v>
          </cell>
        </row>
      </sheetData>
      <sheetData sheetId="10779">
        <row r="4">
          <cell r="A4" t="str">
            <v>BẢNG TÍNH TOÁN, ĐO BÓC KHỐI LƯỢNG HOÀN THÀNH ĐƯA VÀO QUYẾT TOÁN</v>
          </cell>
        </row>
      </sheetData>
      <sheetData sheetId="10780">
        <row r="4">
          <cell r="A4" t="str">
            <v>BẢNG TÍNH TOÁN, ĐO BÓC KHỐI LƯỢNG HOÀN THÀNH ĐƯA VÀO QUYẾT TOÁN</v>
          </cell>
        </row>
      </sheetData>
      <sheetData sheetId="10781">
        <row r="4">
          <cell r="A4" t="str">
            <v>BẢNG TÍNH TOÁN, ĐO BÓC KHỐI LƯỢNG HOÀN THÀNH ĐƯA VÀO QUYẾT TOÁN</v>
          </cell>
        </row>
      </sheetData>
      <sheetData sheetId="10782">
        <row r="4">
          <cell r="A4" t="str">
            <v>BẢNG TÍNH TOÁN, ĐO BÓC KHỐI LƯỢNG HOÀN THÀNH ĐƯA VÀO QUYẾT TOÁN</v>
          </cell>
        </row>
      </sheetData>
      <sheetData sheetId="10783">
        <row r="4">
          <cell r="A4" t="str">
            <v>BẢNG TÍNH TOÁN, ĐO BÓC KHỐI LƯỢNG HOÀN THÀNH ĐƯA VÀO QUYẾT TOÁN</v>
          </cell>
        </row>
      </sheetData>
      <sheetData sheetId="10784">
        <row r="4">
          <cell r="A4" t="str">
            <v>BẢNG TÍNH TOÁN, ĐO BÓC KHỐI LƯỢNG HOÀN THÀNH ĐƯA VÀO QUYẾT TOÁN</v>
          </cell>
        </row>
      </sheetData>
      <sheetData sheetId="10785">
        <row r="4">
          <cell r="A4" t="str">
            <v>BẢNG TÍNH TOÁN, ĐO BÓC KHỐI LƯỢNG HOÀN THÀNH ĐƯA VÀO QUYẾT TOÁN</v>
          </cell>
        </row>
      </sheetData>
      <sheetData sheetId="10786">
        <row r="4">
          <cell r="A4" t="str">
            <v>BẢNG TÍNH TOÁN, ĐO BÓC KHỐI LƯỢNG HOÀN THÀNH ĐƯA VÀO QUYẾT TOÁN</v>
          </cell>
        </row>
      </sheetData>
      <sheetData sheetId="10787">
        <row r="4">
          <cell r="A4" t="str">
            <v>BẢNG TÍNH TOÁN, ĐO BÓC KHỐI LƯỢNG HOÀN THÀNH ĐƯA VÀO QUYẾT TOÁN</v>
          </cell>
        </row>
      </sheetData>
      <sheetData sheetId="10788">
        <row r="4">
          <cell r="A4" t="str">
            <v>BẢNG TÍNH TOÁN, ĐO BÓC KHỐI LƯỢNG HOÀN THÀNH ĐƯA VÀO QUYẾT TOÁN</v>
          </cell>
        </row>
      </sheetData>
      <sheetData sheetId="10789">
        <row r="4">
          <cell r="A4" t="str">
            <v>BẢNG TÍNH TOÁN, ĐO BÓC KHỐI LƯỢNG HOÀN THÀNH ĐƯA VÀO QUYẾT TOÁN</v>
          </cell>
        </row>
      </sheetData>
      <sheetData sheetId="10790">
        <row r="4">
          <cell r="A4" t="str">
            <v>BẢNG TÍNH TOÁN, ĐO BÓC KHỐI LƯỢNG HOÀN THÀNH ĐƯA VÀO QUYẾT TOÁN</v>
          </cell>
        </row>
      </sheetData>
      <sheetData sheetId="10791">
        <row r="4">
          <cell r="A4" t="str">
            <v>BẢNG TÍNH TOÁN, ĐO BÓC KHỐI LƯỢNG HOÀN THÀNH ĐƯA VÀO QUYẾT TOÁN</v>
          </cell>
        </row>
      </sheetData>
      <sheetData sheetId="10792">
        <row r="4">
          <cell r="A4" t="str">
            <v>BẢNG TÍNH TOÁN, ĐO BÓC KHỐI LƯỢNG HOÀN THÀNH ĐƯA VÀO QUYẾT TOÁN</v>
          </cell>
        </row>
      </sheetData>
      <sheetData sheetId="10793">
        <row r="4">
          <cell r="A4" t="str">
            <v>BẢNG TÍNH TOÁN, ĐO BÓC KHỐI LƯỢNG HOÀN THÀNH ĐƯA VÀO QUYẾT TOÁN</v>
          </cell>
        </row>
      </sheetData>
      <sheetData sheetId="10794">
        <row r="4">
          <cell r="A4" t="str">
            <v>BẢNG TÍNH TOÁN, ĐO BÓC KHỐI LƯỢNG HOÀN THÀNH ĐƯA VÀO QUYẾT TOÁN</v>
          </cell>
        </row>
      </sheetData>
      <sheetData sheetId="10795">
        <row r="4">
          <cell r="A4" t="str">
            <v>BẢNG TÍNH TOÁN, ĐO BÓC KHỐI LƯỢNG HOÀN THÀNH ĐƯA VÀO QUYẾT TOÁN</v>
          </cell>
        </row>
      </sheetData>
      <sheetData sheetId="10796">
        <row r="4">
          <cell r="A4" t="str">
            <v>BẢNG TÍNH TOÁN, ĐO BÓC KHỐI LƯỢNG HOÀN THÀNH ĐƯA VÀO QUYẾT TOÁN</v>
          </cell>
        </row>
      </sheetData>
      <sheetData sheetId="10797">
        <row r="4">
          <cell r="A4" t="str">
            <v>BẢNG TÍNH TOÁN, ĐO BÓC KHỐI LƯỢNG HOÀN THÀNH ĐƯA VÀO QUYẾT TOÁN</v>
          </cell>
        </row>
      </sheetData>
      <sheetData sheetId="10798">
        <row r="4">
          <cell r="A4" t="str">
            <v>BẢNG TÍNH TOÁN, ĐO BÓC KHỐI LƯỢNG HOÀN THÀNH ĐƯA VÀO QUYẾT TOÁN</v>
          </cell>
        </row>
      </sheetData>
      <sheetData sheetId="10799">
        <row r="4">
          <cell r="A4" t="str">
            <v>BẢNG TÍNH TOÁN, ĐO BÓC KHỐI LƯỢNG HOÀN THÀNH ĐƯA VÀO QUYẾT TOÁN</v>
          </cell>
        </row>
      </sheetData>
      <sheetData sheetId="10800">
        <row r="4">
          <cell r="A4" t="str">
            <v>BẢNG TÍNH TOÁN, ĐO BÓC KHỐI LƯỢNG HOÀN THÀNH ĐƯA VÀO QUYẾT TOÁN</v>
          </cell>
        </row>
      </sheetData>
      <sheetData sheetId="10801">
        <row r="4">
          <cell r="A4" t="str">
            <v>BẢNG TÍNH TOÁN, ĐO BÓC KHỐI LƯỢNG HOÀN THÀNH ĐƯA VÀO QUYẾT TOÁN</v>
          </cell>
        </row>
      </sheetData>
      <sheetData sheetId="10802">
        <row r="4">
          <cell r="A4" t="str">
            <v>BẢNG TÍNH TOÁN, ĐO BÓC KHỐI LƯỢNG HOÀN THÀNH ĐƯA VÀO QUYẾT TOÁN</v>
          </cell>
        </row>
      </sheetData>
      <sheetData sheetId="10803">
        <row r="4">
          <cell r="A4" t="str">
            <v>BẢNG TÍNH TOÁN, ĐO BÓC KHỐI LƯỢNG HOÀN THÀNH ĐƯA VÀO QUYẾT TOÁN</v>
          </cell>
        </row>
      </sheetData>
      <sheetData sheetId="10804">
        <row r="4">
          <cell r="A4" t="str">
            <v>BẢNG TÍNH TOÁN, ĐO BÓC KHỐI LƯỢNG HOÀN THÀNH ĐƯA VÀO QUYẾT TOÁN</v>
          </cell>
        </row>
      </sheetData>
      <sheetData sheetId="10805">
        <row r="4">
          <cell r="A4" t="str">
            <v>BẢNG TÍNH TOÁN, ĐO BÓC KHỐI LƯỢNG HOÀN THÀNH ĐƯA VÀO QUYẾT TOÁN</v>
          </cell>
        </row>
      </sheetData>
      <sheetData sheetId="10806">
        <row r="4">
          <cell r="A4" t="str">
            <v>BẢNG TÍNH TOÁN, ĐO BÓC KHỐI LƯỢNG HOÀN THÀNH ĐƯA VÀO QUYẾT TOÁN</v>
          </cell>
        </row>
      </sheetData>
      <sheetData sheetId="10807">
        <row r="4">
          <cell r="A4" t="str">
            <v>BẢNG TÍNH TOÁN, ĐO BÓC KHỐI LƯỢNG HOÀN THÀNH ĐƯA VÀO QUYẾT TOÁN</v>
          </cell>
        </row>
      </sheetData>
      <sheetData sheetId="10808">
        <row r="4">
          <cell r="A4" t="str">
            <v>BẢNG TÍNH TOÁN, ĐO BÓC KHỐI LƯỢNG HOÀN THÀNH ĐƯA VÀO QUYẾT TOÁN</v>
          </cell>
        </row>
      </sheetData>
      <sheetData sheetId="10809">
        <row r="4">
          <cell r="A4" t="str">
            <v>BẢNG TÍNH TOÁN, ĐO BÓC KHỐI LƯỢNG HOÀN THÀNH ĐƯA VÀO QUYẾT TOÁN</v>
          </cell>
        </row>
      </sheetData>
      <sheetData sheetId="10810">
        <row r="4">
          <cell r="A4" t="str">
            <v>BẢNG TÍNH TOÁN, ĐO BÓC KHỐI LƯỢNG HOÀN THÀNH ĐƯA VÀO QUYẾT TOÁN</v>
          </cell>
        </row>
      </sheetData>
      <sheetData sheetId="10811">
        <row r="4">
          <cell r="A4" t="str">
            <v>BẢNG TÍNH TOÁN, ĐO BÓC KHỐI LƯỢNG HOÀN THÀNH ĐƯA VÀO QUYẾT TOÁN</v>
          </cell>
        </row>
      </sheetData>
      <sheetData sheetId="10812">
        <row r="4">
          <cell r="A4" t="str">
            <v>BẢNG TÍNH TOÁN, ĐO BÓC KHỐI LƯỢNG HOÀN THÀNH ĐƯA VÀO QUYẾT TOÁN</v>
          </cell>
        </row>
      </sheetData>
      <sheetData sheetId="10813">
        <row r="4">
          <cell r="A4" t="str">
            <v>BẢNG TÍNH TOÁN, ĐO BÓC KHỐI LƯỢNG HOÀN THÀNH ĐƯA VÀO QUYẾT TOÁN</v>
          </cell>
        </row>
      </sheetData>
      <sheetData sheetId="10814">
        <row r="4">
          <cell r="A4" t="str">
            <v>BẢNG TÍNH TOÁN, ĐO BÓC KHỐI LƯỢNG HOÀN THÀNH ĐƯA VÀO QUYẾT TOÁN</v>
          </cell>
        </row>
      </sheetData>
      <sheetData sheetId="10815">
        <row r="4">
          <cell r="A4" t="str">
            <v>BẢNG TÍNH TOÁN, ĐO BÓC KHỐI LƯỢNG HOÀN THÀNH ĐƯA VÀO QUYẾT TOÁN</v>
          </cell>
        </row>
      </sheetData>
      <sheetData sheetId="10816">
        <row r="4">
          <cell r="A4" t="str">
            <v>BẢNG TÍNH TOÁN, ĐO BÓC KHỐI LƯỢNG HOÀN THÀNH ĐƯA VÀO QUYẾT TOÁN</v>
          </cell>
        </row>
      </sheetData>
      <sheetData sheetId="10817">
        <row r="4">
          <cell r="A4" t="str">
            <v>BẢNG TÍNH TOÁN, ĐO BÓC KHỐI LƯỢNG HOÀN THÀNH ĐƯA VÀO QUYẾT TOÁN</v>
          </cell>
        </row>
      </sheetData>
      <sheetData sheetId="10818">
        <row r="4">
          <cell r="A4" t="str">
            <v>BẢNG TÍNH TOÁN, ĐO BÓC KHỐI LƯỢNG HOÀN THÀNH ĐƯA VÀO QUYẾT TOÁN</v>
          </cell>
        </row>
      </sheetData>
      <sheetData sheetId="10819">
        <row r="4">
          <cell r="A4" t="str">
            <v>BẢNG TÍNH TOÁN, ĐO BÓC KHỐI LƯỢNG HOÀN THÀNH ĐƯA VÀO QUYẾT TOÁN</v>
          </cell>
        </row>
      </sheetData>
      <sheetData sheetId="10820">
        <row r="4">
          <cell r="A4" t="str">
            <v>BẢNG TÍNH TOÁN, ĐO BÓC KHỐI LƯỢNG HOÀN THÀNH ĐƯA VÀO QUYẾT TOÁN</v>
          </cell>
        </row>
      </sheetData>
      <sheetData sheetId="10821">
        <row r="4">
          <cell r="A4" t="str">
            <v>BẢNG TÍNH TOÁN, ĐO BÓC KHỐI LƯỢNG HOÀN THÀNH ĐƯA VÀO QUYẾT TOÁN</v>
          </cell>
        </row>
      </sheetData>
      <sheetData sheetId="10822">
        <row r="4">
          <cell r="A4" t="str">
            <v>BẢNG TÍNH TOÁN, ĐO BÓC KHỐI LƯỢNG HOÀN THÀNH ĐƯA VÀO QUYẾT TOÁN</v>
          </cell>
        </row>
      </sheetData>
      <sheetData sheetId="10823">
        <row r="4">
          <cell r="A4" t="str">
            <v>BẢNG TÍNH TOÁN, ĐO BÓC KHỐI LƯỢNG HOÀN THÀNH ĐƯA VÀO QUYẾT TOÁN</v>
          </cell>
        </row>
      </sheetData>
      <sheetData sheetId="10824">
        <row r="4">
          <cell r="A4" t="str">
            <v>BẢNG TÍNH TOÁN, ĐO BÓC KHỐI LƯỢNG HOÀN THÀNH ĐƯA VÀO QUYẾT TOÁN</v>
          </cell>
        </row>
      </sheetData>
      <sheetData sheetId="10825">
        <row r="4">
          <cell r="A4" t="str">
            <v>BẢNG TÍNH TOÁN, ĐO BÓC KHỐI LƯỢNG HOÀN THÀNH ĐƯA VÀO QUYẾT TOÁN</v>
          </cell>
        </row>
      </sheetData>
      <sheetData sheetId="10826">
        <row r="4">
          <cell r="A4" t="str">
            <v>BẢNG TÍNH TOÁN, ĐO BÓC KHỐI LƯỢNG HOÀN THÀNH ĐƯA VÀO QUYẾT TOÁN</v>
          </cell>
        </row>
      </sheetData>
      <sheetData sheetId="10827">
        <row r="4">
          <cell r="A4" t="str">
            <v>BẢNG TÍNH TOÁN, ĐO BÓC KHỐI LƯỢNG HOÀN THÀNH ĐƯA VÀO QUYẾT TOÁN</v>
          </cell>
        </row>
      </sheetData>
      <sheetData sheetId="10828">
        <row r="4">
          <cell r="A4" t="str">
            <v>BẢNG TÍNH TOÁN, ĐO BÓC KHỐI LƯỢNG HOÀN THÀNH ĐƯA VÀO QUYẾT TOÁN</v>
          </cell>
        </row>
      </sheetData>
      <sheetData sheetId="10829">
        <row r="4">
          <cell r="A4" t="str">
            <v>BẢNG TÍNH TOÁN, ĐO BÓC KHỐI LƯỢNG HOÀN THÀNH ĐƯA VÀO QUYẾT TOÁN</v>
          </cell>
        </row>
      </sheetData>
      <sheetData sheetId="10830">
        <row r="4">
          <cell r="A4" t="str">
            <v>BẢNG TÍNH TOÁN, ĐO BÓC KHỐI LƯỢNG HOÀN THÀNH ĐƯA VÀO QUYẾT TOÁN</v>
          </cell>
        </row>
      </sheetData>
      <sheetData sheetId="10831">
        <row r="4">
          <cell r="A4" t="str">
            <v>BẢNG TÍNH TOÁN, ĐO BÓC KHỐI LƯỢNG HOÀN THÀNH ĐƯA VÀO QUYẾT TOÁN</v>
          </cell>
        </row>
      </sheetData>
      <sheetData sheetId="10832">
        <row r="4">
          <cell r="A4" t="str">
            <v>BẢNG TÍNH TOÁN, ĐO BÓC KHỐI LƯỢNG HOÀN THÀNH ĐƯA VÀO QUYẾT TOÁN</v>
          </cell>
        </row>
      </sheetData>
      <sheetData sheetId="10833">
        <row r="4">
          <cell r="A4" t="str">
            <v>BẢNG TÍNH TOÁN, ĐO BÓC KHỐI LƯỢNG HOÀN THÀNH ĐƯA VÀO QUYẾT TOÁN</v>
          </cell>
        </row>
      </sheetData>
      <sheetData sheetId="10834">
        <row r="4">
          <cell r="A4" t="str">
            <v>BẢNG TÍNH TOÁN, ĐO BÓC KHỐI LƯỢNG HOÀN THÀNH ĐƯA VÀO QUYẾT TOÁN</v>
          </cell>
        </row>
      </sheetData>
      <sheetData sheetId="10835">
        <row r="4">
          <cell r="A4" t="str">
            <v>BẢNG TÍNH TOÁN, ĐO BÓC KHỐI LƯỢNG HOÀN THÀNH ĐƯA VÀO QUYẾT TOÁN</v>
          </cell>
        </row>
      </sheetData>
      <sheetData sheetId="10836">
        <row r="4">
          <cell r="A4" t="str">
            <v>BẢNG TÍNH TOÁN, ĐO BÓC KHỐI LƯỢNG HOÀN THÀNH ĐƯA VÀO QUYẾT TOÁN</v>
          </cell>
        </row>
      </sheetData>
      <sheetData sheetId="10837">
        <row r="4">
          <cell r="A4" t="str">
            <v>BẢNG TÍNH TOÁN, ĐO BÓC KHỐI LƯỢNG HOÀN THÀNH ĐƯA VÀO QUYẾT TOÁN</v>
          </cell>
        </row>
      </sheetData>
      <sheetData sheetId="10838">
        <row r="4">
          <cell r="A4" t="str">
            <v>BẢNG TÍNH TOÁN, ĐO BÓC KHỐI LƯỢNG HOÀN THÀNH ĐƯA VÀO QUYẾT TOÁN</v>
          </cell>
        </row>
      </sheetData>
      <sheetData sheetId="10839">
        <row r="4">
          <cell r="A4" t="str">
            <v>BẢNG TÍNH TOÁN, ĐO BÓC KHỐI LƯỢNG HOÀN THÀNH ĐƯA VÀO QUYẾT TOÁN</v>
          </cell>
        </row>
      </sheetData>
      <sheetData sheetId="10840">
        <row r="4">
          <cell r="A4" t="str">
            <v>BẢNG TÍNH TOÁN, ĐO BÓC KHỐI LƯỢNG HOÀN THÀNH ĐƯA VÀO QUYẾT TOÁN</v>
          </cell>
        </row>
      </sheetData>
      <sheetData sheetId="10841">
        <row r="4">
          <cell r="A4" t="str">
            <v>BẢNG TÍNH TOÁN, ĐO BÓC KHỐI LƯỢNG HOÀN THÀNH ĐƯA VÀO QUYẾT TOÁN</v>
          </cell>
        </row>
      </sheetData>
      <sheetData sheetId="10842">
        <row r="4">
          <cell r="A4" t="str">
            <v>BẢNG TÍNH TOÁN, ĐO BÓC KHỐI LƯỢNG HOÀN THÀNH ĐƯA VÀO QUYẾT TOÁN</v>
          </cell>
        </row>
      </sheetData>
      <sheetData sheetId="10843">
        <row r="4">
          <cell r="A4" t="str">
            <v>BẢNG TÍNH TOÁN, ĐO BÓC KHỐI LƯỢNG HOÀN THÀNH ĐƯA VÀO QUYẾT TOÁN</v>
          </cell>
        </row>
      </sheetData>
      <sheetData sheetId="10844">
        <row r="4">
          <cell r="A4" t="str">
            <v>BẢNG TÍNH TOÁN, ĐO BÓC KHỐI LƯỢNG HOÀN THÀNH ĐƯA VÀO QUYẾT TOÁN</v>
          </cell>
        </row>
      </sheetData>
      <sheetData sheetId="10845">
        <row r="4">
          <cell r="A4" t="str">
            <v>BẢNG TÍNH TOÁN, ĐO BÓC KHỐI LƯỢNG HOÀN THÀNH ĐƯA VÀO QUYẾT TOÁN</v>
          </cell>
        </row>
      </sheetData>
      <sheetData sheetId="10846">
        <row r="4">
          <cell r="A4" t="str">
            <v>BẢNG TÍNH TOÁN, ĐO BÓC KHỐI LƯỢNG HOÀN THÀNH ĐƯA VÀO QUYẾT TOÁN</v>
          </cell>
        </row>
      </sheetData>
      <sheetData sheetId="10847">
        <row r="4">
          <cell r="A4" t="str">
            <v>BẢNG TÍNH TOÁN, ĐO BÓC KHỐI LƯỢNG HOÀN THÀNH ĐƯA VÀO QUYẾT TOÁN</v>
          </cell>
        </row>
      </sheetData>
      <sheetData sheetId="10848">
        <row r="4">
          <cell r="A4" t="str">
            <v>BẢNG TÍNH TOÁN, ĐO BÓC KHỐI LƯỢNG HOÀN THÀNH ĐƯA VÀO QUYẾT TOÁN</v>
          </cell>
        </row>
      </sheetData>
      <sheetData sheetId="10849">
        <row r="4">
          <cell r="A4" t="str">
            <v>BẢNG TÍNH TOÁN, ĐO BÓC KHỐI LƯỢNG HOÀN THÀNH ĐƯA VÀO QUYẾT TOÁN</v>
          </cell>
        </row>
      </sheetData>
      <sheetData sheetId="10850">
        <row r="4">
          <cell r="A4" t="str">
            <v>BẢNG TÍNH TOÁN, ĐO BÓC KHỐI LƯỢNG HOÀN THÀNH ĐƯA VÀO QUYẾT TOÁN</v>
          </cell>
        </row>
      </sheetData>
      <sheetData sheetId="10851">
        <row r="4">
          <cell r="A4" t="str">
            <v>BẢNG TÍNH TOÁN, ĐO BÓC KHỐI LƯỢNG HOÀN THÀNH ĐƯA VÀO QUYẾT TOÁN</v>
          </cell>
        </row>
      </sheetData>
      <sheetData sheetId="10852">
        <row r="4">
          <cell r="A4" t="str">
            <v>BẢNG TÍNH TOÁN, ĐO BÓC KHỐI LƯỢNG HOÀN THÀNH ĐƯA VÀO QUYẾT TOÁN</v>
          </cell>
        </row>
      </sheetData>
      <sheetData sheetId="10853">
        <row r="4">
          <cell r="A4" t="str">
            <v>BẢNG TÍNH TOÁN, ĐO BÓC KHỐI LƯỢNG HOÀN THÀNH ĐƯA VÀO QUYẾT TOÁN</v>
          </cell>
        </row>
      </sheetData>
      <sheetData sheetId="10854">
        <row r="4">
          <cell r="A4" t="str">
            <v>BẢNG TÍNH TOÁN, ĐO BÓC KHỐI LƯỢNG HOÀN THÀNH ĐƯA VÀO QUYẾT TOÁN</v>
          </cell>
        </row>
      </sheetData>
      <sheetData sheetId="10855">
        <row r="4">
          <cell r="A4" t="str">
            <v>BẢNG TÍNH TOÁN, ĐO BÓC KHỐI LƯỢNG HOÀN THÀNH ĐƯA VÀO QUYẾT TOÁN</v>
          </cell>
        </row>
      </sheetData>
      <sheetData sheetId="10856">
        <row r="4">
          <cell r="A4" t="str">
            <v>BẢNG TÍNH TOÁN, ĐO BÓC KHỐI LƯỢNG HOÀN THÀNH ĐƯA VÀO QUYẾT TOÁN</v>
          </cell>
        </row>
      </sheetData>
      <sheetData sheetId="10857">
        <row r="4">
          <cell r="A4" t="str">
            <v>BẢNG TÍNH TOÁN, ĐO BÓC KHỐI LƯỢNG HOÀN THÀNH ĐƯA VÀO QUYẾT TOÁN</v>
          </cell>
        </row>
      </sheetData>
      <sheetData sheetId="10858">
        <row r="4">
          <cell r="A4" t="str">
            <v>BẢNG TÍNH TOÁN, ĐO BÓC KHỐI LƯỢNG HOÀN THÀNH ĐƯA VÀO QUYẾT TOÁN</v>
          </cell>
        </row>
      </sheetData>
      <sheetData sheetId="10859">
        <row r="4">
          <cell r="A4" t="str">
            <v>BẢNG TÍNH TOÁN, ĐO BÓC KHỐI LƯỢNG HOÀN THÀNH ĐƯA VÀO QUYẾT TOÁN</v>
          </cell>
        </row>
      </sheetData>
      <sheetData sheetId="10860">
        <row r="4">
          <cell r="A4" t="str">
            <v>BẢNG TÍNH TOÁN, ĐO BÓC KHỐI LƯỢNG HOÀN THÀNH ĐƯA VÀO QUYẾT TOÁN</v>
          </cell>
        </row>
      </sheetData>
      <sheetData sheetId="10861">
        <row r="4">
          <cell r="A4" t="str">
            <v>BẢNG TÍNH TOÁN, ĐO BÓC KHỐI LƯỢNG HOÀN THÀNH ĐƯA VÀO QUYẾT TOÁN</v>
          </cell>
        </row>
      </sheetData>
      <sheetData sheetId="10862">
        <row r="4">
          <cell r="A4" t="str">
            <v>BẢNG TÍNH TOÁN, ĐO BÓC KHỐI LƯỢNG HOÀN THÀNH ĐƯA VÀO QUYẾT TOÁN</v>
          </cell>
        </row>
      </sheetData>
      <sheetData sheetId="10863">
        <row r="4">
          <cell r="A4" t="str">
            <v>BẢNG TÍNH TOÁN, ĐO BÓC KHỐI LƯỢNG HOÀN THÀNH ĐƯA VÀO QUYẾT TOÁN</v>
          </cell>
        </row>
      </sheetData>
      <sheetData sheetId="10864">
        <row r="4">
          <cell r="A4" t="str">
            <v>BẢNG TÍNH TOÁN, ĐO BÓC KHỐI LƯỢNG HOÀN THÀNH ĐƯA VÀO QUYẾT TOÁN</v>
          </cell>
        </row>
      </sheetData>
      <sheetData sheetId="10865">
        <row r="4">
          <cell r="A4" t="str">
            <v>BẢNG TÍNH TOÁN, ĐO BÓC KHỐI LƯỢNG HOÀN THÀNH ĐƯA VÀO QUYẾT TOÁN</v>
          </cell>
        </row>
      </sheetData>
      <sheetData sheetId="10866">
        <row r="4">
          <cell r="A4" t="str">
            <v>BẢNG TÍNH TOÁN, ĐO BÓC KHỐI LƯỢNG HOÀN THÀNH ĐƯA VÀO QUYẾT TOÁN</v>
          </cell>
        </row>
      </sheetData>
      <sheetData sheetId="10867">
        <row r="4">
          <cell r="A4" t="str">
            <v>BẢNG TÍNH TOÁN, ĐO BÓC KHỐI LƯỢNG HOÀN THÀNH ĐƯA VÀO QUYẾT TOÁN</v>
          </cell>
        </row>
      </sheetData>
      <sheetData sheetId="10868">
        <row r="4">
          <cell r="A4" t="str">
            <v>BẢNG TÍNH TOÁN, ĐO BÓC KHỐI LƯỢNG HOÀN THÀNH ĐƯA VÀO QUYẾT TOÁN</v>
          </cell>
        </row>
      </sheetData>
      <sheetData sheetId="10869">
        <row r="4">
          <cell r="A4" t="str">
            <v>BẢNG TÍNH TOÁN, ĐO BÓC KHỐI LƯỢNG HOÀN THÀNH ĐƯA VÀO QUYẾT TOÁN</v>
          </cell>
        </row>
      </sheetData>
      <sheetData sheetId="10870">
        <row r="4">
          <cell r="A4" t="str">
            <v>BẢNG TÍNH TOÁN, ĐO BÓC KHỐI LƯỢNG HOÀN THÀNH ĐƯA VÀO QUYẾT TOÁN</v>
          </cell>
        </row>
      </sheetData>
      <sheetData sheetId="10871">
        <row r="4">
          <cell r="A4" t="str">
            <v>BẢNG TÍNH TOÁN, ĐO BÓC KHỐI LƯỢNG HOÀN THÀNH ĐƯA VÀO QUYẾT TOÁN</v>
          </cell>
        </row>
      </sheetData>
      <sheetData sheetId="10872">
        <row r="4">
          <cell r="A4" t="str">
            <v>BẢNG TÍNH TOÁN, ĐO BÓC KHỐI LƯỢNG HOÀN THÀNH ĐƯA VÀO QUYẾT TOÁN</v>
          </cell>
        </row>
      </sheetData>
      <sheetData sheetId="10873">
        <row r="4">
          <cell r="A4" t="str">
            <v>BẢNG TÍNH TOÁN, ĐO BÓC KHỐI LƯỢNG HOÀN THÀNH ĐƯA VÀO QUYẾT TOÁN</v>
          </cell>
        </row>
      </sheetData>
      <sheetData sheetId="10874">
        <row r="4">
          <cell r="A4" t="str">
            <v>BẢNG TÍNH TOÁN, ĐO BÓC KHỐI LƯỢNG HOÀN THÀNH ĐƯA VÀO QUYẾT TOÁN</v>
          </cell>
        </row>
      </sheetData>
      <sheetData sheetId="10875">
        <row r="4">
          <cell r="A4" t="str">
            <v>BẢNG TÍNH TOÁN, ĐO BÓC KHỐI LƯỢNG HOÀN THÀNH ĐƯA VÀO QUYẾT TOÁN</v>
          </cell>
        </row>
      </sheetData>
      <sheetData sheetId="10876">
        <row r="4">
          <cell r="A4" t="str">
            <v>BẢNG TÍNH TOÁN, ĐO BÓC KHỐI LƯỢNG HOÀN THÀNH ĐƯA VÀO QUYẾT TOÁN</v>
          </cell>
        </row>
      </sheetData>
      <sheetData sheetId="10877">
        <row r="4">
          <cell r="A4" t="str">
            <v>BẢNG TÍNH TOÁN, ĐO BÓC KHỐI LƯỢNG HOÀN THÀNH ĐƯA VÀO QUYẾT TOÁN</v>
          </cell>
        </row>
      </sheetData>
      <sheetData sheetId="10878">
        <row r="4">
          <cell r="A4" t="str">
            <v>BẢNG TÍNH TOÁN, ĐO BÓC KHỐI LƯỢNG HOÀN THÀNH ĐƯA VÀO QUYẾT TOÁN</v>
          </cell>
        </row>
      </sheetData>
      <sheetData sheetId="10879">
        <row r="4">
          <cell r="A4" t="str">
            <v>BẢNG TÍNH TOÁN, ĐO BÓC KHỐI LƯỢNG HOÀN THÀNH ĐƯA VÀO QUYẾT TOÁN</v>
          </cell>
        </row>
      </sheetData>
      <sheetData sheetId="10880">
        <row r="4">
          <cell r="A4" t="str">
            <v>BẢNG TÍNH TOÁN, ĐO BÓC KHỐI LƯỢNG HOÀN THÀNH ĐƯA VÀO QUYẾT TOÁN</v>
          </cell>
        </row>
      </sheetData>
      <sheetData sheetId="10881">
        <row r="4">
          <cell r="A4" t="str">
            <v>BẢNG TÍNH TOÁN, ĐO BÓC KHỐI LƯỢNG HOÀN THÀNH ĐƯA VÀO QUYẾT TOÁN</v>
          </cell>
        </row>
      </sheetData>
      <sheetData sheetId="10882">
        <row r="4">
          <cell r="A4" t="str">
            <v>BẢNG TÍNH TOÁN, ĐO BÓC KHỐI LƯỢNG HOÀN THÀNH ĐƯA VÀO QUYẾT TOÁN</v>
          </cell>
        </row>
      </sheetData>
      <sheetData sheetId="10883">
        <row r="4">
          <cell r="A4" t="str">
            <v>BẢNG TÍNH TOÁN, ĐO BÓC KHỐI LƯỢNG HOÀN THÀNH ĐƯA VÀO QUYẾT TOÁN</v>
          </cell>
        </row>
      </sheetData>
      <sheetData sheetId="10884">
        <row r="4">
          <cell r="A4" t="str">
            <v>BẢNG TÍNH TOÁN, ĐO BÓC KHỐI LƯỢNG HOÀN THÀNH ĐƯA VÀO QUYẾT TOÁN</v>
          </cell>
        </row>
      </sheetData>
      <sheetData sheetId="10885">
        <row r="4">
          <cell r="A4" t="str">
            <v>BẢNG TÍNH TOÁN, ĐO BÓC KHỐI LƯỢNG HOÀN THÀNH ĐƯA VÀO QUYẾT TOÁN</v>
          </cell>
        </row>
      </sheetData>
      <sheetData sheetId="10886">
        <row r="4">
          <cell r="A4" t="str">
            <v>BẢNG TÍNH TOÁN, ĐO BÓC KHỐI LƯỢNG HOÀN THÀNH ĐƯA VÀO QUYẾT TOÁN</v>
          </cell>
        </row>
      </sheetData>
      <sheetData sheetId="10887">
        <row r="4">
          <cell r="A4" t="str">
            <v>BẢNG TÍNH TOÁN, ĐO BÓC KHỐI LƯỢNG HOÀN THÀNH ĐƯA VÀO QUYẾT TOÁN</v>
          </cell>
        </row>
      </sheetData>
      <sheetData sheetId="10888">
        <row r="4">
          <cell r="A4" t="str">
            <v>BẢNG TÍNH TOÁN, ĐO BÓC KHỐI LƯỢNG HOÀN THÀNH ĐƯA VÀO QUYẾT TOÁN</v>
          </cell>
        </row>
      </sheetData>
      <sheetData sheetId="10889">
        <row r="4">
          <cell r="A4" t="str">
            <v>BẢNG TÍNH TOÁN, ĐO BÓC KHỐI LƯỢNG HOÀN THÀNH ĐƯA VÀO QUYẾT TOÁN</v>
          </cell>
        </row>
      </sheetData>
      <sheetData sheetId="10890">
        <row r="4">
          <cell r="A4" t="str">
            <v>BẢNG TÍNH TOÁN, ĐO BÓC KHỐI LƯỢNG HOÀN THÀNH ĐƯA VÀO QUYẾT TOÁN</v>
          </cell>
        </row>
      </sheetData>
      <sheetData sheetId="10891">
        <row r="9">
          <cell r="A9" t="str">
            <v>A</v>
          </cell>
        </row>
      </sheetData>
      <sheetData sheetId="10892">
        <row r="4">
          <cell r="A4" t="str">
            <v>BẢNG TÍNH TOÁN, ĐO BÓC KHỐI LƯỢNG HOÀN THÀNH ĐƯA VÀO QUYẾT TOÁN</v>
          </cell>
        </row>
      </sheetData>
      <sheetData sheetId="10893">
        <row r="4">
          <cell r="A4" t="str">
            <v>BẢNG TÍNH TOÁN, ĐO BÓC KHỐI LƯỢNG HOÀN THÀNH ĐƯA VÀO QUYẾT TOÁN</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ow r="9">
          <cell r="A9" t="str">
            <v>A</v>
          </cell>
        </row>
      </sheetData>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sheetData sheetId="10993"/>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ow r="9">
          <cell r="A9" t="str">
            <v>A</v>
          </cell>
        </row>
      </sheetData>
      <sheetData sheetId="11031">
        <row r="9">
          <cell r="A9" t="str">
            <v>A</v>
          </cell>
        </row>
      </sheetData>
      <sheetData sheetId="11032">
        <row r="9">
          <cell r="A9" t="str">
            <v>A</v>
          </cell>
        </row>
      </sheetData>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efreshError="1"/>
      <sheetData sheetId="11231" refreshError="1"/>
      <sheetData sheetId="11232">
        <row r="9">
          <cell r="A9" t="str">
            <v>A</v>
          </cell>
        </row>
      </sheetData>
      <sheetData sheetId="11233" refreshError="1"/>
      <sheetData sheetId="11234" refreshError="1"/>
      <sheetData sheetId="11235" refreshError="1"/>
      <sheetData sheetId="11236" refreshError="1"/>
      <sheetData sheetId="11237" refreshError="1"/>
      <sheetData sheetId="11238" refreshError="1"/>
      <sheetData sheetId="11239">
        <row r="4">
          <cell r="A4" t="str">
            <v>BẢNG TÍNH TOÁN, ĐO BÓC KHỐI LƯỢNG HOÀN THÀNH ĐƯA VÀO QUYẾT TOÁN</v>
          </cell>
        </row>
      </sheetData>
      <sheetData sheetId="11240">
        <row r="4">
          <cell r="A4" t="str">
            <v>BẢNG TÍNH TOÁN, ĐO BÓC KHỐI LƯỢNG HOÀN THÀNH ĐƯA VÀO QUYẾT TOÁN</v>
          </cell>
        </row>
      </sheetData>
      <sheetData sheetId="11241">
        <row r="4">
          <cell r="A4" t="str">
            <v>BẢNG TÍNH TOÁN, ĐO BÓC KHỐI LƯỢNG HOÀN THÀNH ĐƯA VÀO QUYẾT TOÁN</v>
          </cell>
        </row>
      </sheetData>
      <sheetData sheetId="11242">
        <row r="4">
          <cell r="A4" t="str">
            <v>BẢNG TÍNH TOÁN, ĐO BÓC KHỐI LƯỢNG HOÀN THÀNH ĐƯA VÀO QUYẾT TOÁN</v>
          </cell>
        </row>
      </sheetData>
      <sheetData sheetId="11243">
        <row r="4">
          <cell r="A4" t="str">
            <v>BẢNG TÍNH TOÁN, ĐO BÓC KHỐI LƯỢNG HOÀN THÀNH ĐƯA VÀO QUYẾT TOÁN</v>
          </cell>
        </row>
      </sheetData>
      <sheetData sheetId="11244">
        <row r="4">
          <cell r="A4" t="str">
            <v>BẢNG TÍNH TOÁN, ĐO BÓC KHỐI LƯỢNG HOÀN THÀNH ĐƯA VÀO QUYẾT TOÁN</v>
          </cell>
        </row>
      </sheetData>
      <sheetData sheetId="11245">
        <row r="4">
          <cell r="A4" t="str">
            <v>BẢNG TÍNH TOÁN, ĐO BÓC KHỐI LƯỢNG HOÀN THÀNH ĐƯA VÀO QUYẾT TOÁN</v>
          </cell>
        </row>
      </sheetData>
      <sheetData sheetId="11246">
        <row r="9">
          <cell r="A9" t="str">
            <v>A</v>
          </cell>
        </row>
      </sheetData>
      <sheetData sheetId="11247">
        <row r="4">
          <cell r="A4" t="str">
            <v>BẢNG TÍNH TOÁN, ĐO BÓC KHỐI LƯỢNG HOÀN THÀNH ĐƯA VÀO QUYẾT TOÁN</v>
          </cell>
        </row>
      </sheetData>
      <sheetData sheetId="11248">
        <row r="4">
          <cell r="A4" t="str">
            <v>BẢNG TÍNH TOÁN, ĐO BÓC KHỐI LƯỢNG HOÀN THÀNH ĐƯA VÀO QUYẾT TOÁN</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efreshError="1"/>
      <sheetData sheetId="11254">
        <row r="9">
          <cell r="A9" t="str">
            <v>A</v>
          </cell>
        </row>
      </sheetData>
      <sheetData sheetId="11255">
        <row r="9">
          <cell r="A9" t="str">
            <v>A</v>
          </cell>
        </row>
      </sheetData>
      <sheetData sheetId="11256">
        <row r="9">
          <cell r="A9" t="str">
            <v>A</v>
          </cell>
        </row>
      </sheetData>
      <sheetData sheetId="11257">
        <row r="4">
          <cell r="A4" t="str">
            <v>BẢNG TÍNH TOÁN, ĐO BÓC KHỐI LƯỢNG HOÀN THÀNH ĐƯA VÀO QUYẾT TOÁN</v>
          </cell>
        </row>
      </sheetData>
      <sheetData sheetId="11258">
        <row r="4">
          <cell r="A4" t="str">
            <v>BẢNG TÍNH TOÁN, ĐO BÓC KHỐI LƯỢNG HOÀN THÀNH ĐƯA VÀO QUYẾT TOÁN</v>
          </cell>
        </row>
      </sheetData>
      <sheetData sheetId="11259">
        <row r="9">
          <cell r="A9" t="str">
            <v>A</v>
          </cell>
        </row>
      </sheetData>
      <sheetData sheetId="11260">
        <row r="9">
          <cell r="A9" t="str">
            <v>A</v>
          </cell>
        </row>
      </sheetData>
      <sheetData sheetId="11261">
        <row r="9">
          <cell r="A9" t="str">
            <v>A</v>
          </cell>
        </row>
      </sheetData>
      <sheetData sheetId="11262">
        <row r="4">
          <cell r="A4" t="str">
            <v>BẢNG TÍNH TOÁN, ĐO BÓC KHỐI LƯỢNG HOÀN THÀNH ĐƯA VÀO QUYẾT TOÁN</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4">
          <cell r="A4" t="str">
            <v>BẢNG TÍNH TOÁN, ĐO BÓC KHỐI LƯỢNG HOÀN THÀNH ĐƯA VÀO QUYẾT TOÁN</v>
          </cell>
        </row>
      </sheetData>
      <sheetData sheetId="11277">
        <row r="9">
          <cell r="A9" t="str">
            <v>A</v>
          </cell>
        </row>
      </sheetData>
      <sheetData sheetId="11278">
        <row r="4">
          <cell r="A4" t="str">
            <v>BẢNG TÍNH TOÁN, ĐO BÓC KHỐI LƯỢNG HOÀN THÀNH ĐƯA VÀO QUYẾT TOÁN</v>
          </cell>
        </row>
      </sheetData>
      <sheetData sheetId="11279">
        <row r="4">
          <cell r="A4" t="str">
            <v>BẢNG TÍNH TOÁN, ĐO BÓC KHỐI LƯỢNG HOÀN THÀNH ĐƯA VÀO QUYẾT TOÁN</v>
          </cell>
        </row>
      </sheetData>
      <sheetData sheetId="11280">
        <row r="4">
          <cell r="A4" t="str">
            <v>BẢNG TÍNH TOÁN, ĐO BÓC KHỐI LƯỢNG HOÀN THÀNH ĐƯA VÀO QUYẾT TOÁN</v>
          </cell>
        </row>
      </sheetData>
      <sheetData sheetId="11281">
        <row r="4">
          <cell r="A4" t="str">
            <v>BẢNG TÍNH TOÁN, ĐO BÓC KHỐI LƯỢNG HOÀN THÀNH ĐƯA VÀO QUYẾT TOÁN</v>
          </cell>
        </row>
      </sheetData>
      <sheetData sheetId="11282">
        <row r="4">
          <cell r="A4" t="str">
            <v>BẢNG TÍNH TOÁN, ĐO BÓC KHỐI LƯỢNG HOÀN THÀNH ĐƯA VÀO QUYẾT TOÁN</v>
          </cell>
        </row>
      </sheetData>
      <sheetData sheetId="11283">
        <row r="4">
          <cell r="A4" t="str">
            <v>BẢNG TÍNH TOÁN, ĐO BÓC KHỐI LƯỢNG HOÀN THÀNH ĐƯA VÀO QUYẾT TOÁN</v>
          </cell>
        </row>
      </sheetData>
      <sheetData sheetId="11284">
        <row r="4">
          <cell r="A4" t="str">
            <v>BẢNG TÍNH TOÁN, ĐO BÓC KHỐI LƯỢNG HOÀN THÀNH ĐƯA VÀO QUYẾT TOÁN</v>
          </cell>
        </row>
      </sheetData>
      <sheetData sheetId="11285">
        <row r="4">
          <cell r="A4" t="str">
            <v>BẢNG TÍNH TOÁN, ĐO BÓC KHỐI LƯỢNG HOÀN THÀNH ĐƯA VÀO QUYẾT TOÁN</v>
          </cell>
        </row>
      </sheetData>
      <sheetData sheetId="11286">
        <row r="4">
          <cell r="A4" t="str">
            <v>BẢNG TÍNH TOÁN, ĐO BÓC KHỐI LƯỢNG HOÀN THÀNH ĐƯA VÀO QUYẾT TOÁN</v>
          </cell>
        </row>
      </sheetData>
      <sheetData sheetId="11287">
        <row r="4">
          <cell r="A4" t="str">
            <v>BẢNG TÍNH TOÁN, ĐO BÓC KHỐI LƯỢNG HOÀN THÀNH ĐƯA VÀO QUYẾT TOÁN</v>
          </cell>
        </row>
      </sheetData>
      <sheetData sheetId="11288">
        <row r="4">
          <cell r="A4" t="str">
            <v>BẢNG TÍNH TOÁN, ĐO BÓC KHỐI LƯỢNG HOÀN THÀNH ĐƯA VÀO QUYẾT TOÁN</v>
          </cell>
        </row>
      </sheetData>
      <sheetData sheetId="11289">
        <row r="4">
          <cell r="A4" t="str">
            <v>BẢNG TÍNH TOÁN, ĐO BÓC KHỐI LƯỢNG HOÀN THÀNH ĐƯA VÀO QUYẾT TOÁN</v>
          </cell>
        </row>
      </sheetData>
      <sheetData sheetId="11290">
        <row r="4">
          <cell r="A4" t="str">
            <v>BẢNG TÍNH TOÁN, ĐO BÓC KHỐI LƯỢNG HOÀN THÀNH ĐƯA VÀO QUYẾT TOÁN</v>
          </cell>
        </row>
      </sheetData>
      <sheetData sheetId="11291">
        <row r="4">
          <cell r="A4" t="str">
            <v>BẢNG TÍNH TOÁN, ĐO BÓC KHỐI LƯỢNG HOÀN THÀNH ĐƯA VÀO QUYẾT TOÁN</v>
          </cell>
        </row>
      </sheetData>
      <sheetData sheetId="11292">
        <row r="4">
          <cell r="A4" t="str">
            <v>BẢNG TÍNH TOÁN, ĐO BÓC KHỐI LƯỢNG HOÀN THÀNH ĐƯA VÀO QUYẾT TOÁN</v>
          </cell>
        </row>
      </sheetData>
      <sheetData sheetId="11293">
        <row r="4">
          <cell r="A4" t="str">
            <v>BẢNG TÍNH TOÁN, ĐO BÓC KHỐI LƯỢNG HOÀN THÀNH ĐƯA VÀO QUYẾT TOÁN</v>
          </cell>
        </row>
      </sheetData>
      <sheetData sheetId="11294">
        <row r="4">
          <cell r="A4" t="str">
            <v>BẢNG TÍNH TOÁN, ĐO BÓC KHỐI LƯỢNG HOÀN THÀNH ĐƯA VÀO QUYẾT TOÁN</v>
          </cell>
        </row>
      </sheetData>
      <sheetData sheetId="11295">
        <row r="4">
          <cell r="A4" t="str">
            <v>BẢNG TÍNH TOÁN, ĐO BÓC KHỐI LƯỢNG HOÀN THÀNH ĐƯA VÀO QUYẾT TOÁN</v>
          </cell>
        </row>
      </sheetData>
      <sheetData sheetId="11296">
        <row r="4">
          <cell r="A4" t="str">
            <v>BẢNG TÍNH TOÁN, ĐO BÓC KHỐI LƯỢNG HOÀN THÀNH ĐƯA VÀO QUYẾT TOÁN</v>
          </cell>
        </row>
      </sheetData>
      <sheetData sheetId="11297">
        <row r="4">
          <cell r="A4" t="str">
            <v>BẢNG TÍNH TOÁN, ĐO BÓC KHỐI LƯỢNG HOÀN THÀNH ĐƯA VÀO QUYẾT TOÁN</v>
          </cell>
        </row>
      </sheetData>
      <sheetData sheetId="11298">
        <row r="4">
          <cell r="A4" t="str">
            <v>BẢNG TÍNH TOÁN, ĐO BÓC KHỐI LƯỢNG HOÀN THÀNH ĐƯA VÀO QUYẾT TOÁN</v>
          </cell>
        </row>
      </sheetData>
      <sheetData sheetId="11299">
        <row r="4">
          <cell r="A4" t="str">
            <v>BẢNG TÍNH TOÁN, ĐO BÓC KHỐI LƯỢNG HOÀN THÀNH ĐƯA VÀO QUYẾT TOÁN</v>
          </cell>
        </row>
      </sheetData>
      <sheetData sheetId="11300">
        <row r="4">
          <cell r="A4" t="str">
            <v>BẢNG TÍNH TOÁN, ĐO BÓC KHỐI LƯỢNG HOÀN THÀNH ĐƯA VÀO QUYẾT TOÁN</v>
          </cell>
        </row>
      </sheetData>
      <sheetData sheetId="11301">
        <row r="4">
          <cell r="A4" t="str">
            <v>BẢNG TÍNH TOÁN, ĐO BÓC KHỐI LƯỢNG HOÀN THÀNH ĐƯA VÀO QUYẾT TOÁN</v>
          </cell>
        </row>
      </sheetData>
      <sheetData sheetId="11302">
        <row r="4">
          <cell r="A4" t="str">
            <v>BẢNG TÍNH TOÁN, ĐO BÓC KHỐI LƯỢNG HOÀN THÀNH ĐƯA VÀO QUYẾT TOÁN</v>
          </cell>
        </row>
      </sheetData>
      <sheetData sheetId="11303">
        <row r="4">
          <cell r="A4" t="str">
            <v>BẢNG TÍNH TOÁN, ĐO BÓC KHỐI LƯỢNG HOÀN THÀNH ĐƯA VÀO QUYẾT TOÁN</v>
          </cell>
        </row>
      </sheetData>
      <sheetData sheetId="11304">
        <row r="4">
          <cell r="A4" t="str">
            <v>BẢNG TÍNH TOÁN, ĐO BÓC KHỐI LƯỢNG HOÀN THÀNH ĐƯA VÀO QUYẾT TOÁN</v>
          </cell>
        </row>
      </sheetData>
      <sheetData sheetId="11305">
        <row r="4">
          <cell r="A4" t="str">
            <v>BẢNG TÍNH TOÁN, ĐO BÓC KHỐI LƯỢNG HOÀN THÀNH ĐƯA VÀO QUYẾT TOÁN</v>
          </cell>
        </row>
      </sheetData>
      <sheetData sheetId="11306">
        <row r="4">
          <cell r="A4" t="str">
            <v>BẢNG TÍNH TOÁN, ĐO BÓC KHỐI LƯỢNG HOÀN THÀNH ĐƯA VÀO QUYẾT TOÁN</v>
          </cell>
        </row>
      </sheetData>
      <sheetData sheetId="11307">
        <row r="4">
          <cell r="A4" t="str">
            <v>BẢNG TÍNH TOÁN, ĐO BÓC KHỐI LƯỢNG HOÀN THÀNH ĐƯA VÀO QUYẾT TOÁN</v>
          </cell>
        </row>
      </sheetData>
      <sheetData sheetId="11308">
        <row r="4">
          <cell r="A4" t="str">
            <v>BẢNG TÍNH TOÁN, ĐO BÓC KHỐI LƯỢNG HOÀN THÀNH ĐƯA VÀO QUYẾT TOÁN</v>
          </cell>
        </row>
      </sheetData>
      <sheetData sheetId="11309">
        <row r="4">
          <cell r="A4" t="str">
            <v>BẢNG TÍNH TOÁN, ĐO BÓC KHỐI LƯỢNG HOÀN THÀNH ĐƯA VÀO QUYẾT TOÁN</v>
          </cell>
        </row>
      </sheetData>
      <sheetData sheetId="11310">
        <row r="4">
          <cell r="A4" t="str">
            <v>BẢNG TÍNH TOÁN, ĐO BÓC KHỐI LƯỢNG HOÀN THÀNH ĐƯA VÀO QUYẾT TOÁN</v>
          </cell>
        </row>
      </sheetData>
      <sheetData sheetId="11311">
        <row r="4">
          <cell r="A4" t="str">
            <v>BẢNG TÍNH TOÁN, ĐO BÓC KHỐI LƯỢNG HOÀN THÀNH ĐƯA VÀO QUYẾT TOÁN</v>
          </cell>
        </row>
      </sheetData>
      <sheetData sheetId="11312" refreshError="1"/>
      <sheetData sheetId="11313">
        <row r="4">
          <cell r="A4" t="str">
            <v>BẢNG TÍNH TOÁN, ĐO BÓC KHỐI LƯỢNG HOÀN THÀNH ĐƯA VÀO QUYẾT TOÁN</v>
          </cell>
        </row>
      </sheetData>
      <sheetData sheetId="11314">
        <row r="4">
          <cell r="A4" t="str">
            <v>BẢNG TÍNH TOÁN, ĐO BÓC KHỐI LƯỢNG HOÀN THÀNH ĐƯA VÀO QUYẾT TOÁN</v>
          </cell>
        </row>
      </sheetData>
      <sheetData sheetId="11315">
        <row r="4">
          <cell r="A4" t="str">
            <v>BẢNG TÍNH TOÁN, ĐO BÓC KHỐI LƯỢNG HOÀN THÀNH ĐƯA VÀO QUYẾT TOÁN</v>
          </cell>
        </row>
      </sheetData>
      <sheetData sheetId="11316">
        <row r="4">
          <cell r="A4" t="str">
            <v>BẢNG TÍNH TOÁN, ĐO BÓC KHỐI LƯỢNG HOÀN THÀNH ĐƯA VÀO QUYẾT TOÁN</v>
          </cell>
        </row>
      </sheetData>
      <sheetData sheetId="11317">
        <row r="4">
          <cell r="A4" t="str">
            <v>BẢNG TÍNH TOÁN, ĐO BÓC KHỐI LƯỢNG HOÀN THÀNH ĐƯA VÀO QUYẾT TOÁN</v>
          </cell>
        </row>
      </sheetData>
      <sheetData sheetId="11318">
        <row r="4">
          <cell r="A4" t="str">
            <v>BẢNG TÍNH TOÁN, ĐO BÓC KHỐI LƯỢNG HOÀN THÀNH ĐƯA VÀO QUYẾT TOÁN</v>
          </cell>
        </row>
      </sheetData>
      <sheetData sheetId="11319">
        <row r="9">
          <cell r="A9" t="str">
            <v>A</v>
          </cell>
        </row>
      </sheetData>
      <sheetData sheetId="11320">
        <row r="4">
          <cell r="A4" t="str">
            <v>BẢNG TÍNH TOÁN, ĐO BÓC KHỐI LƯỢNG HOÀN THÀNH ĐƯA VÀO QUYẾT TOÁN</v>
          </cell>
        </row>
      </sheetData>
      <sheetData sheetId="11321">
        <row r="4">
          <cell r="A4" t="str">
            <v>BẢNG TÍNH TOÁN, ĐO BÓC KHỐI LƯỢNG HOÀN THÀNH ĐƯA VÀO QUYẾT TOÁN</v>
          </cell>
        </row>
      </sheetData>
      <sheetData sheetId="11322">
        <row r="9">
          <cell r="A9" t="str">
            <v>A</v>
          </cell>
        </row>
      </sheetData>
      <sheetData sheetId="11323">
        <row r="4">
          <cell r="A4" t="str">
            <v>BẢNG TÍNH TOÁN, ĐO BÓC KHỐI LƯỢNG HOÀN THÀNH ĐƯA VÀO QUYẾT TOÁN</v>
          </cell>
        </row>
      </sheetData>
      <sheetData sheetId="11324">
        <row r="9">
          <cell r="A9" t="str">
            <v>A</v>
          </cell>
        </row>
      </sheetData>
      <sheetData sheetId="11325">
        <row r="4">
          <cell r="A4" t="str">
            <v>BẢNG TÍNH TOÁN, ĐO BÓC KHỐI LƯỢNG HOÀN THÀNH ĐƯA VÀO QUYẾT TOÁN</v>
          </cell>
        </row>
      </sheetData>
      <sheetData sheetId="11326">
        <row r="4">
          <cell r="A4" t="str">
            <v>BẢNG TÍNH TOÁN, ĐO BÓC KHỐI LƯỢNG HOÀN THÀNH ĐƯA VÀO QUYẾT TOÁN</v>
          </cell>
        </row>
      </sheetData>
      <sheetData sheetId="11327">
        <row r="4">
          <cell r="A4" t="str">
            <v>BẢNG TÍNH TOÁN, ĐO BÓC KHỐI LƯỢNG HOÀN THÀNH ĐƯA VÀO QUYẾT TOÁN</v>
          </cell>
        </row>
      </sheetData>
      <sheetData sheetId="11328">
        <row r="4">
          <cell r="A4" t="str">
            <v>BẢNG TÍNH TOÁN, ĐO BÓC KHỐI LƯỢNG HOÀN THÀNH ĐƯA VÀO QUYẾT TOÁN</v>
          </cell>
        </row>
      </sheetData>
      <sheetData sheetId="11329">
        <row r="4">
          <cell r="A4" t="str">
            <v>BẢNG TÍNH TOÁN, ĐO BÓC KHỐI LƯỢNG HOÀN THÀNH ĐƯA VÀO QUYẾT TOÁN</v>
          </cell>
        </row>
      </sheetData>
      <sheetData sheetId="11330">
        <row r="4">
          <cell r="A4" t="str">
            <v>BẢNG TÍNH TOÁN, ĐO BÓC KHỐI LƯỢNG HOÀN THÀNH ĐƯA VÀO QUYẾT TOÁN</v>
          </cell>
        </row>
      </sheetData>
      <sheetData sheetId="11331">
        <row r="4">
          <cell r="A4" t="str">
            <v>BẢNG TÍNH TOÁN, ĐO BÓC KHỐI LƯỢNG HOÀN THÀNH ĐƯA VÀO QUYẾT TOÁN</v>
          </cell>
        </row>
      </sheetData>
      <sheetData sheetId="11332">
        <row r="4">
          <cell r="A4" t="str">
            <v>BẢNG TÍNH TOÁN, ĐO BÓC KHỐI LƯỢNG HOÀN THÀNH ĐƯA VÀO QUYẾT TOÁN</v>
          </cell>
        </row>
      </sheetData>
      <sheetData sheetId="11333">
        <row r="4">
          <cell r="A4" t="str">
            <v>BẢNG TÍNH TOÁN, ĐO BÓC KHỐI LƯỢNG HOÀN THÀNH ĐƯA VÀO QUYẾT TOÁN</v>
          </cell>
        </row>
      </sheetData>
      <sheetData sheetId="11334">
        <row r="4">
          <cell r="A4" t="str">
            <v>BẢNG TÍNH TOÁN, ĐO BÓC KHỐI LƯỢNG HOÀN THÀNH ĐƯA VÀO QUYẾT TOÁN</v>
          </cell>
        </row>
      </sheetData>
      <sheetData sheetId="11335">
        <row r="4">
          <cell r="A4" t="str">
            <v>BẢNG TÍNH TOÁN, ĐO BÓC KHỐI LƯỢNG HOÀN THÀNH ĐƯA VÀO QUYẾT TOÁN</v>
          </cell>
        </row>
      </sheetData>
      <sheetData sheetId="11336">
        <row r="4">
          <cell r="A4" t="str">
            <v>BẢNG TÍNH TOÁN, ĐO BÓC KHỐI LƯỢNG HOÀN THÀNH ĐƯA VÀO QUYẾT TOÁN</v>
          </cell>
        </row>
      </sheetData>
      <sheetData sheetId="11337">
        <row r="4">
          <cell r="A4" t="str">
            <v>BẢNG TÍNH TOÁN, ĐO BÓC KHỐI LƯỢNG HOÀN THÀNH ĐƯA VÀO QUYẾT TOÁN</v>
          </cell>
        </row>
      </sheetData>
      <sheetData sheetId="11338">
        <row r="4">
          <cell r="A4" t="str">
            <v>BẢNG TÍNH TOÁN, ĐO BÓC KHỐI LƯỢNG HOÀN THÀNH ĐƯA VÀO QUYẾT TOÁN</v>
          </cell>
        </row>
      </sheetData>
      <sheetData sheetId="11339">
        <row r="4">
          <cell r="A4" t="str">
            <v>BẢNG TÍNH TOÁN, ĐO BÓC KHỐI LƯỢNG HOÀN THÀNH ĐƯA VÀO QUYẾT TOÁN</v>
          </cell>
        </row>
      </sheetData>
      <sheetData sheetId="11340">
        <row r="4">
          <cell r="A4" t="str">
            <v>BẢNG TÍNH TOÁN, ĐO BÓC KHỐI LƯỢNG HOÀN THÀNH ĐƯA VÀO QUYẾT TOÁN</v>
          </cell>
        </row>
      </sheetData>
      <sheetData sheetId="11341">
        <row r="4">
          <cell r="A4" t="str">
            <v>BẢNG TÍNH TOÁN, ĐO BÓC KHỐI LƯỢNG HOÀN THÀNH ĐƯA VÀO QUYẾT TOÁN</v>
          </cell>
        </row>
      </sheetData>
      <sheetData sheetId="11342">
        <row r="4">
          <cell r="A4" t="str">
            <v>BẢNG TÍNH TOÁN, ĐO BÓC KHỐI LƯỢNG HOÀN THÀNH ĐƯA VÀO QUYẾT TOÁN</v>
          </cell>
        </row>
      </sheetData>
      <sheetData sheetId="11343">
        <row r="4">
          <cell r="A4" t="str">
            <v>BẢNG TÍNH TOÁN, ĐO BÓC KHỐI LƯỢNG HOÀN THÀNH ĐƯA VÀO QUYẾT TOÁN</v>
          </cell>
        </row>
      </sheetData>
      <sheetData sheetId="11344">
        <row r="4">
          <cell r="A4" t="str">
            <v>BẢNG TÍNH TOÁN, ĐO BÓC KHỐI LƯỢNG HOÀN THÀNH ĐƯA VÀO QUYẾT TOÁN</v>
          </cell>
        </row>
      </sheetData>
      <sheetData sheetId="11345">
        <row r="4">
          <cell r="A4" t="str">
            <v>BẢNG TÍNH TOÁN, ĐO BÓC KHỐI LƯỢNG HOÀN THÀNH ĐƯA VÀO QUYẾT TOÁN</v>
          </cell>
        </row>
      </sheetData>
      <sheetData sheetId="11346">
        <row r="4">
          <cell r="A4" t="str">
            <v>BẢNG TÍNH TOÁN, ĐO BÓC KHỐI LƯỢNG HOÀN THÀNH ĐƯA VÀO QUYẾT TOÁN</v>
          </cell>
        </row>
      </sheetData>
      <sheetData sheetId="11347">
        <row r="4">
          <cell r="A4" t="str">
            <v>BẢNG TÍNH TOÁN, ĐO BÓC KHỐI LƯỢNG HOÀN THÀNH ĐƯA VÀO QUYẾT TOÁN</v>
          </cell>
        </row>
      </sheetData>
      <sheetData sheetId="11348">
        <row r="4">
          <cell r="A4" t="str">
            <v>BẢNG TÍNH TOÁN, ĐO BÓC KHỐI LƯỢNG HOÀN THÀNH ĐƯA VÀO QUYẾT TOÁN</v>
          </cell>
        </row>
      </sheetData>
      <sheetData sheetId="11349">
        <row r="4">
          <cell r="A4" t="str">
            <v>BẢNG TÍNH TOÁN, ĐO BÓC KHỐI LƯỢNG HOÀN THÀNH ĐƯA VÀO QUYẾT TOÁN</v>
          </cell>
        </row>
      </sheetData>
      <sheetData sheetId="11350">
        <row r="9">
          <cell r="A9" t="str">
            <v>A</v>
          </cell>
        </row>
      </sheetData>
      <sheetData sheetId="11351">
        <row r="9">
          <cell r="A9" t="str">
            <v>A</v>
          </cell>
        </row>
      </sheetData>
      <sheetData sheetId="11352">
        <row r="4">
          <cell r="A4" t="str">
            <v>BẢNG TÍNH TOÁN, ĐO BÓC KHỐI LƯỢNG HOÀN THÀNH ĐƯA VÀO QUYẾT TOÁN</v>
          </cell>
        </row>
      </sheetData>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ow r="9">
          <cell r="A9" t="str">
            <v>A</v>
          </cell>
        </row>
      </sheetData>
      <sheetData sheetId="11371">
        <row r="4">
          <cell r="A4" t="str">
            <v>BẢNG TÍNH TOÁN, ĐO BÓC KHỐI LƯỢNG HOÀN THÀNH ĐƯA VÀO QUYẾT TOÁN</v>
          </cell>
        </row>
      </sheetData>
      <sheetData sheetId="11372">
        <row r="4">
          <cell r="A4" t="str">
            <v>BẢNG TÍNH TOÁN, ĐO BÓC KHỐI LƯỢNG HOÀN THÀNH ĐƯA VÀO QUYẾT TOÁN</v>
          </cell>
        </row>
      </sheetData>
      <sheetData sheetId="11373">
        <row r="4">
          <cell r="A4" t="str">
            <v>BẢNG TÍNH TOÁN, ĐO BÓC KHỐI LƯỢNG HOÀN THÀNH ĐƯA VÀO QUYẾT TOÁN</v>
          </cell>
        </row>
      </sheetData>
      <sheetData sheetId="11374">
        <row r="4">
          <cell r="A4" t="str">
            <v>BẢNG TÍNH TOÁN, ĐO BÓC KHỐI LƯỢNG HOÀN THÀNH ĐƯA VÀO QUYẾT TOÁN</v>
          </cell>
        </row>
      </sheetData>
      <sheetData sheetId="11375">
        <row r="4">
          <cell r="A4" t="str">
            <v>BẢNG TÍNH TOÁN, ĐO BÓC KHỐI LƯỢNG HOÀN THÀNH ĐƯA VÀO QUYẾT TOÁN</v>
          </cell>
        </row>
      </sheetData>
      <sheetData sheetId="11376">
        <row r="4">
          <cell r="A4" t="str">
            <v>BẢNG TÍNH TOÁN, ĐO BÓC KHỐI LƯỢNG HOÀN THÀNH ĐƯA VÀO QUYẾT TOÁN</v>
          </cell>
        </row>
      </sheetData>
      <sheetData sheetId="11377">
        <row r="4">
          <cell r="A4" t="str">
            <v>BẢNG TÍNH TOÁN, ĐO BÓC KHỐI LƯỢNG HOÀN THÀNH ĐƯA VÀO QUYẾT TOÁN</v>
          </cell>
        </row>
      </sheetData>
      <sheetData sheetId="11378">
        <row r="4">
          <cell r="A4" t="str">
            <v>BẢNG TÍNH TOÁN, ĐO BÓC KHỐI LƯỢNG HOÀN THÀNH ĐƯA VÀO QUYẾT TOÁN</v>
          </cell>
        </row>
      </sheetData>
      <sheetData sheetId="11379">
        <row r="4">
          <cell r="A4" t="str">
            <v>BẢNG TÍNH TOÁN, ĐO BÓC KHỐI LƯỢNG HOÀN THÀNH ĐƯA VÀO QUYẾT TOÁN</v>
          </cell>
        </row>
      </sheetData>
      <sheetData sheetId="11380">
        <row r="4">
          <cell r="A4" t="str">
            <v>BẢNG TÍNH TOÁN, ĐO BÓC KHỐI LƯỢNG HOÀN THÀNH ĐƯA VÀO QUYẾT TOÁN</v>
          </cell>
        </row>
      </sheetData>
      <sheetData sheetId="11381">
        <row r="4">
          <cell r="A4" t="str">
            <v>BẢNG TÍNH TOÁN, ĐO BÓC KHỐI LƯỢNG HOÀN THÀNH ĐƯA VÀO QUYẾT TOÁN</v>
          </cell>
        </row>
      </sheetData>
      <sheetData sheetId="11382">
        <row r="4">
          <cell r="A4" t="str">
            <v>BẢNG TÍNH TOÁN, ĐO BÓC KHỐI LƯỢNG HOÀN THÀNH ĐƯA VÀO QUYẾT TOÁN</v>
          </cell>
        </row>
      </sheetData>
      <sheetData sheetId="11383">
        <row r="4">
          <cell r="A4" t="str">
            <v>BẢNG TÍNH TOÁN, ĐO BÓC KHỐI LƯỢNG HOÀN THÀNH ĐƯA VÀO QUYẾT TOÁN</v>
          </cell>
        </row>
      </sheetData>
      <sheetData sheetId="11384">
        <row r="4">
          <cell r="A4" t="str">
            <v>BẢNG TÍNH TOÁN, ĐO BÓC KHỐI LƯỢNG HOÀN THÀNH ĐƯA VÀO QUYẾT TOÁN</v>
          </cell>
        </row>
      </sheetData>
      <sheetData sheetId="11385">
        <row r="4">
          <cell r="A4" t="str">
            <v>BẢNG TÍNH TOÁN, ĐO BÓC KHỐI LƯỢNG HOÀN THÀNH ĐƯA VÀO QUYẾT TOÁN</v>
          </cell>
        </row>
      </sheetData>
      <sheetData sheetId="11386">
        <row r="4">
          <cell r="A4" t="str">
            <v>BẢNG TÍNH TOÁN, ĐO BÓC KHỐI LƯỢNG HOÀN THÀNH ĐƯA VÀO QUYẾT TOÁN</v>
          </cell>
        </row>
      </sheetData>
      <sheetData sheetId="11387">
        <row r="4">
          <cell r="A4" t="str">
            <v>BẢNG TÍNH TOÁN, ĐO BÓC KHỐI LƯỢNG HOÀN THÀNH ĐƯA VÀO QUYẾT TOÁN</v>
          </cell>
        </row>
      </sheetData>
      <sheetData sheetId="11388">
        <row r="4">
          <cell r="A4" t="str">
            <v>BẢNG TÍNH TOÁN, ĐO BÓC KHỐI LƯỢNG HOÀN THÀNH ĐƯA VÀO QUYẾT TOÁN</v>
          </cell>
        </row>
      </sheetData>
      <sheetData sheetId="11389">
        <row r="4">
          <cell r="A4" t="str">
            <v>BẢNG TÍNH TOÁN, ĐO BÓC KHỐI LƯỢNG HOÀN THÀNH ĐƯA VÀO QUYẾT TOÁN</v>
          </cell>
        </row>
      </sheetData>
      <sheetData sheetId="11390">
        <row r="4">
          <cell r="A4" t="str">
            <v>BẢNG TÍNH TOÁN, ĐO BÓC KHỐI LƯỢNG HOÀN THÀNH ĐƯA VÀO QUYẾT TOÁN</v>
          </cell>
        </row>
      </sheetData>
      <sheetData sheetId="11391">
        <row r="4">
          <cell r="A4" t="str">
            <v>BẢNG TÍNH TOÁN, ĐO BÓC KHỐI LƯỢNG HOÀN THÀNH ĐƯA VÀO QUYẾT TOÁN</v>
          </cell>
        </row>
      </sheetData>
      <sheetData sheetId="11392">
        <row r="4">
          <cell r="A4" t="str">
            <v>BẢNG TÍNH TOÁN, ĐO BÓC KHỐI LƯỢNG HOÀN THÀNH ĐƯA VÀO QUYẾT TOÁN</v>
          </cell>
        </row>
      </sheetData>
      <sheetData sheetId="11393">
        <row r="4">
          <cell r="A4" t="str">
            <v>BẢNG TÍNH TOÁN, ĐO BÓC KHỐI LƯỢNG HOÀN THÀNH ĐƯA VÀO QUYẾT TOÁN</v>
          </cell>
        </row>
      </sheetData>
      <sheetData sheetId="11394">
        <row r="4">
          <cell r="A4" t="str">
            <v>BẢNG TÍNH TOÁN, ĐO BÓC KHỐI LƯỢNG HOÀN THÀNH ĐƯA VÀO QUYẾT TOÁN</v>
          </cell>
        </row>
      </sheetData>
      <sheetData sheetId="11395">
        <row r="4">
          <cell r="A4" t="str">
            <v>BẢNG TÍNH TOÁN, ĐO BÓC KHỐI LƯỢNG HOÀN THÀNH ĐƯA VÀO QUYẾT TOÁN</v>
          </cell>
        </row>
      </sheetData>
      <sheetData sheetId="11396">
        <row r="4">
          <cell r="A4" t="str">
            <v>BẢNG TÍNH TOÁN, ĐO BÓC KHỐI LƯỢNG HOÀN THÀNH ĐƯA VÀO QUYẾT TOÁN</v>
          </cell>
        </row>
      </sheetData>
      <sheetData sheetId="11397">
        <row r="4">
          <cell r="A4" t="str">
            <v>BẢNG TÍNH TOÁN, ĐO BÓC KHỐI LƯỢNG HOÀN THÀNH ĐƯA VÀO QUYẾT TOÁN</v>
          </cell>
        </row>
      </sheetData>
      <sheetData sheetId="11398">
        <row r="4">
          <cell r="A4" t="str">
            <v>BẢNG TÍNH TOÁN, ĐO BÓC KHỐI LƯỢNG HOÀN THÀNH ĐƯA VÀO QUYẾT TOÁN</v>
          </cell>
        </row>
      </sheetData>
      <sheetData sheetId="11399">
        <row r="4">
          <cell r="A4" t="str">
            <v>BẢNG TÍNH TOÁN, ĐO BÓC KHỐI LƯỢNG HOÀN THÀNH ĐƯA VÀO QUYẾT TOÁN</v>
          </cell>
        </row>
      </sheetData>
      <sheetData sheetId="11400">
        <row r="4">
          <cell r="A4" t="str">
            <v>BẢNG TÍNH TOÁN, ĐO BÓC KHỐI LƯỢNG HOÀN THÀNH ĐƯA VÀO QUYẾT TOÁN</v>
          </cell>
        </row>
      </sheetData>
      <sheetData sheetId="11401">
        <row r="4">
          <cell r="A4" t="str">
            <v>BẢNG TÍNH TOÁN, ĐO BÓC KHỐI LƯỢNG HOÀN THÀNH ĐƯA VÀO QUYẾT TOÁN</v>
          </cell>
        </row>
      </sheetData>
      <sheetData sheetId="11402">
        <row r="4">
          <cell r="A4" t="str">
            <v>BẢNG TÍNH TOÁN, ĐO BÓC KHỐI LƯỢNG HOÀN THÀNH ĐƯA VÀO QUYẾT TOÁN</v>
          </cell>
        </row>
      </sheetData>
      <sheetData sheetId="11403">
        <row r="4">
          <cell r="A4" t="str">
            <v>BẢNG TÍNH TOÁN, ĐO BÓC KHỐI LƯỢNG HOÀN THÀNH ĐƯA VÀO QUYẾT TOÁN</v>
          </cell>
        </row>
      </sheetData>
      <sheetData sheetId="11404">
        <row r="4">
          <cell r="A4" t="str">
            <v>BẢNG TÍNH TOÁN, ĐO BÓC KHỐI LƯỢNG HOÀN THÀNH ĐƯA VÀO QUYẾT TOÁN</v>
          </cell>
        </row>
      </sheetData>
      <sheetData sheetId="11405">
        <row r="4">
          <cell r="A4" t="str">
            <v>BẢNG TÍNH TOÁN, ĐO BÓC KHỐI LƯỢNG HOÀN THÀNH ĐƯA VÀO QUYẾT TOÁN</v>
          </cell>
        </row>
      </sheetData>
      <sheetData sheetId="11406">
        <row r="4">
          <cell r="A4" t="str">
            <v>BẢNG TÍNH TOÁN, ĐO BÓC KHỐI LƯỢNG HOÀN THÀNH ĐƯA VÀO QUYẾT TOÁN</v>
          </cell>
        </row>
      </sheetData>
      <sheetData sheetId="11407">
        <row r="4">
          <cell r="A4" t="str">
            <v>BẢNG TÍNH TOÁN, ĐO BÓC KHỐI LƯỢNG HOÀN THÀNH ĐƯA VÀO QUYẾT TOÁN</v>
          </cell>
        </row>
      </sheetData>
      <sheetData sheetId="11408">
        <row r="4">
          <cell r="A4" t="str">
            <v>BẢNG TÍNH TOÁN, ĐO BÓC KHỐI LƯỢNG HOÀN THÀNH ĐƯA VÀO QUYẾT TOÁN</v>
          </cell>
        </row>
      </sheetData>
      <sheetData sheetId="11409">
        <row r="4">
          <cell r="A4" t="str">
            <v>BẢNG TÍNH TOÁN, ĐO BÓC KHỐI LƯỢNG HOÀN THÀNH ĐƯA VÀO QUYẾT TOÁN</v>
          </cell>
        </row>
      </sheetData>
      <sheetData sheetId="11410">
        <row r="4">
          <cell r="A4" t="str">
            <v>BẢNG TÍNH TOÁN, ĐO BÓC KHỐI LƯỢNG HOÀN THÀNH ĐƯA VÀO QUYẾT TOÁN</v>
          </cell>
        </row>
      </sheetData>
      <sheetData sheetId="11411">
        <row r="4">
          <cell r="A4" t="str">
            <v>BẢNG TÍNH TOÁN, ĐO BÓC KHỐI LƯỢNG HOÀN THÀNH ĐƯA VÀO QUYẾT TOÁN</v>
          </cell>
        </row>
      </sheetData>
      <sheetData sheetId="11412">
        <row r="4">
          <cell r="A4" t="str">
            <v>BẢNG TÍNH TOÁN, ĐO BÓC KHỐI LƯỢNG HOÀN THÀNH ĐƯA VÀO QUYẾT TOÁN</v>
          </cell>
        </row>
      </sheetData>
      <sheetData sheetId="11413">
        <row r="4">
          <cell r="A4" t="str">
            <v>BẢNG TÍNH TOÁN, ĐO BÓC KHỐI LƯỢNG HOÀN THÀNH ĐƯA VÀO QUYẾT TOÁN</v>
          </cell>
        </row>
      </sheetData>
      <sheetData sheetId="11414">
        <row r="4">
          <cell r="A4" t="str">
            <v>BẢNG TÍNH TOÁN, ĐO BÓC KHỐI LƯỢNG HOÀN THÀNH ĐƯA VÀO QUYẾT TOÁN</v>
          </cell>
        </row>
      </sheetData>
      <sheetData sheetId="11415">
        <row r="4">
          <cell r="A4" t="str">
            <v>BẢNG TÍNH TOÁN, ĐO BÓC KHỐI LƯỢNG HOÀN THÀNH ĐƯA VÀO QUYẾT TOÁN</v>
          </cell>
        </row>
      </sheetData>
      <sheetData sheetId="11416">
        <row r="4">
          <cell r="A4" t="str">
            <v>BẢNG TÍNH TOÁN, ĐO BÓC KHỐI LƯỢNG HOÀN THÀNH ĐƯA VÀO QUYẾT TOÁN</v>
          </cell>
        </row>
      </sheetData>
      <sheetData sheetId="11417">
        <row r="4">
          <cell r="A4" t="str">
            <v>BẢNG TÍNH TOÁN, ĐO BÓC KHỐI LƯỢNG HOÀN THÀNH ĐƯA VÀO QUYẾT TOÁN</v>
          </cell>
        </row>
      </sheetData>
      <sheetData sheetId="11418">
        <row r="4">
          <cell r="A4" t="str">
            <v>BẢNG TÍNH TOÁN, ĐO BÓC KHỐI LƯỢNG HOÀN THÀNH ĐƯA VÀO QUYẾT TOÁN</v>
          </cell>
        </row>
      </sheetData>
      <sheetData sheetId="11419">
        <row r="4">
          <cell r="A4" t="str">
            <v>BẢNG TÍNH TOÁN, ĐO BÓC KHỐI LƯỢNG HOÀN THÀNH ĐƯA VÀO QUYẾT TOÁN</v>
          </cell>
        </row>
      </sheetData>
      <sheetData sheetId="11420">
        <row r="4">
          <cell r="A4" t="str">
            <v>BẢNG TÍNH TOÁN, ĐO BÓC KHỐI LƯỢNG HOÀN THÀNH ĐƯA VÀO QUYẾT TOÁN</v>
          </cell>
        </row>
      </sheetData>
      <sheetData sheetId="11421">
        <row r="4">
          <cell r="A4" t="str">
            <v>BẢNG TÍNH TOÁN, ĐO BÓC KHỐI LƯỢNG HOÀN THÀNH ĐƯA VÀO QUYẾT TOÁN</v>
          </cell>
        </row>
      </sheetData>
      <sheetData sheetId="11422">
        <row r="4">
          <cell r="A4" t="str">
            <v>BẢNG TÍNH TOÁN, ĐO BÓC KHỐI LƯỢNG HOÀN THÀNH ĐƯA VÀO QUYẾT TOÁN</v>
          </cell>
        </row>
      </sheetData>
      <sheetData sheetId="11423">
        <row r="4">
          <cell r="A4" t="str">
            <v>BẢNG TÍNH TOÁN, ĐO BÓC KHỐI LƯỢNG HOÀN THÀNH ĐƯA VÀO QUYẾT TOÁN</v>
          </cell>
        </row>
      </sheetData>
      <sheetData sheetId="11424">
        <row r="4">
          <cell r="A4" t="str">
            <v>BẢNG TÍNH TOÁN, ĐO BÓC KHỐI LƯỢNG HOÀN THÀNH ĐƯA VÀO QUYẾT TOÁN</v>
          </cell>
        </row>
      </sheetData>
      <sheetData sheetId="11425">
        <row r="4">
          <cell r="A4" t="str">
            <v>BẢNG TÍNH TOÁN, ĐO BÓC KHỐI LƯỢNG HOÀN THÀNH ĐƯA VÀO QUYẾT TOÁN</v>
          </cell>
        </row>
      </sheetData>
      <sheetData sheetId="11426">
        <row r="4">
          <cell r="A4" t="str">
            <v>BẢNG TÍNH TOÁN, ĐO BÓC KHỐI LƯỢNG HOÀN THÀNH ĐƯA VÀO QUYẾT TOÁN</v>
          </cell>
        </row>
      </sheetData>
      <sheetData sheetId="11427">
        <row r="4">
          <cell r="A4" t="str">
            <v>BẢNG TÍNH TOÁN, ĐO BÓC KHỐI LƯỢNG HOÀN THÀNH ĐƯA VÀO QUYẾT TOÁN</v>
          </cell>
        </row>
      </sheetData>
      <sheetData sheetId="11428">
        <row r="4">
          <cell r="A4" t="str">
            <v>BẢNG TÍNH TOÁN, ĐO BÓC KHỐI LƯỢNG HOÀN THÀNH ĐƯA VÀO QUYẾT TOÁN</v>
          </cell>
        </row>
      </sheetData>
      <sheetData sheetId="11429">
        <row r="4">
          <cell r="A4" t="str">
            <v>BẢNG TÍNH TOÁN, ĐO BÓC KHỐI LƯỢNG HOÀN THÀNH ĐƯA VÀO QUYẾT TOÁN</v>
          </cell>
        </row>
      </sheetData>
      <sheetData sheetId="11430">
        <row r="4">
          <cell r="A4" t="str">
            <v>BẢNG TÍNH TOÁN, ĐO BÓC KHỐI LƯỢNG HOÀN THÀNH ĐƯA VÀO QUYẾT TOÁN</v>
          </cell>
        </row>
      </sheetData>
      <sheetData sheetId="11431">
        <row r="4">
          <cell r="A4" t="str">
            <v>BẢNG TÍNH TOÁN, ĐO BÓC KHỐI LƯỢNG HOÀN THÀNH ĐƯA VÀO QUYẾT TOÁN</v>
          </cell>
        </row>
      </sheetData>
      <sheetData sheetId="11432">
        <row r="4">
          <cell r="A4" t="str">
            <v>BẢNG TÍNH TOÁN, ĐO BÓC KHỐI LƯỢNG HOÀN THÀNH ĐƯA VÀO QUYẾT TOÁN</v>
          </cell>
        </row>
      </sheetData>
      <sheetData sheetId="11433">
        <row r="4">
          <cell r="A4" t="str">
            <v>BẢNG TÍNH TOÁN, ĐO BÓC KHỐI LƯỢNG HOÀN THÀNH ĐƯA VÀO QUYẾT TOÁN</v>
          </cell>
        </row>
      </sheetData>
      <sheetData sheetId="11434">
        <row r="4">
          <cell r="A4" t="str">
            <v>BẢNG TÍNH TOÁN, ĐO BÓC KHỐI LƯỢNG HOÀN THÀNH ĐƯA VÀO QUYẾT TOÁN</v>
          </cell>
        </row>
      </sheetData>
      <sheetData sheetId="11435">
        <row r="4">
          <cell r="A4" t="str">
            <v>BẢNG TÍNH TOÁN, ĐO BÓC KHỐI LƯỢNG HOÀN THÀNH ĐƯA VÀO QUYẾT TOÁN</v>
          </cell>
        </row>
      </sheetData>
      <sheetData sheetId="11436">
        <row r="4">
          <cell r="A4" t="str">
            <v>BẢNG TÍNH TOÁN, ĐO BÓC KHỐI LƯỢNG HOÀN THÀNH ĐƯA VÀO QUYẾT TOÁN</v>
          </cell>
        </row>
      </sheetData>
      <sheetData sheetId="11437">
        <row r="4">
          <cell r="A4" t="str">
            <v>BẢNG TÍNH TOÁN, ĐO BÓC KHỐI LƯỢNG HOÀN THÀNH ĐƯA VÀO QUYẾT TOÁN</v>
          </cell>
        </row>
      </sheetData>
      <sheetData sheetId="11438">
        <row r="4">
          <cell r="A4" t="str">
            <v>BẢNG TÍNH TOÁN, ĐO BÓC KHỐI LƯỢNG HOÀN THÀNH ĐƯA VÀO QUYẾT TOÁN</v>
          </cell>
        </row>
      </sheetData>
      <sheetData sheetId="11439">
        <row r="4">
          <cell r="A4" t="str">
            <v>BẢNG TÍNH TOÁN, ĐO BÓC KHỐI LƯỢNG HOÀN THÀNH ĐƯA VÀO QUYẾT TOÁN</v>
          </cell>
        </row>
      </sheetData>
      <sheetData sheetId="11440">
        <row r="4">
          <cell r="A4" t="str">
            <v>BẢNG TÍNH TOÁN, ĐO BÓC KHỐI LƯỢNG HOÀN THÀNH ĐƯA VÀO QUYẾT TOÁN</v>
          </cell>
        </row>
      </sheetData>
      <sheetData sheetId="11441">
        <row r="4">
          <cell r="A4" t="str">
            <v>BẢNG TÍNH TOÁN, ĐO BÓC KHỐI LƯỢNG HOÀN THÀNH ĐƯA VÀO QUYẾT TOÁN</v>
          </cell>
        </row>
      </sheetData>
      <sheetData sheetId="11442">
        <row r="4">
          <cell r="A4" t="str">
            <v>BẢNG TÍNH TOÁN, ĐO BÓC KHỐI LƯỢNG HOÀN THÀNH ĐƯA VÀO QUYẾT TOÁN</v>
          </cell>
        </row>
      </sheetData>
      <sheetData sheetId="11443">
        <row r="4">
          <cell r="A4" t="str">
            <v>BẢNG TÍNH TOÁN, ĐO BÓC KHỐI LƯỢNG HOÀN THÀNH ĐƯA VÀO QUYẾT TOÁN</v>
          </cell>
        </row>
      </sheetData>
      <sheetData sheetId="11444">
        <row r="4">
          <cell r="A4" t="str">
            <v>BẢNG TÍNH TOÁN, ĐO BÓC KHỐI LƯỢNG HOÀN THÀNH ĐƯA VÀO QUYẾT TOÁN</v>
          </cell>
        </row>
      </sheetData>
      <sheetData sheetId="11445">
        <row r="4">
          <cell r="A4" t="str">
            <v>BẢNG TÍNH TOÁN, ĐO BÓC KHỐI LƯỢNG HOÀN THÀNH ĐƯA VÀO QUYẾT TOÁN</v>
          </cell>
        </row>
      </sheetData>
      <sheetData sheetId="11446">
        <row r="4">
          <cell r="A4" t="str">
            <v>BẢNG TÍNH TOÁN, ĐO BÓC KHỐI LƯỢNG HOÀN THÀNH ĐƯA VÀO QUYẾT TOÁN</v>
          </cell>
        </row>
      </sheetData>
      <sheetData sheetId="11447">
        <row r="4">
          <cell r="A4" t="str">
            <v>BẢNG TÍNH TOÁN, ĐO BÓC KHỐI LƯỢNG HOÀN THÀNH ĐƯA VÀO QUYẾT TOÁN</v>
          </cell>
        </row>
      </sheetData>
      <sheetData sheetId="11448">
        <row r="4">
          <cell r="A4" t="str">
            <v>BẢNG TÍNH TOÁN, ĐO BÓC KHỐI LƯỢNG HOÀN THÀNH ĐƯA VÀO QUYẾT TOÁN</v>
          </cell>
        </row>
      </sheetData>
      <sheetData sheetId="11449">
        <row r="4">
          <cell r="A4" t="str">
            <v>BẢNG TÍNH TOÁN, ĐO BÓC KHỐI LƯỢNG HOÀN THÀNH ĐƯA VÀO QUYẾT TOÁN</v>
          </cell>
        </row>
      </sheetData>
      <sheetData sheetId="11450">
        <row r="4">
          <cell r="A4" t="str">
            <v>BẢNG TÍNH TOÁN, ĐO BÓC KHỐI LƯỢNG HOÀN THÀNH ĐƯA VÀO QUYẾT TOÁN</v>
          </cell>
        </row>
      </sheetData>
      <sheetData sheetId="11451">
        <row r="4">
          <cell r="A4" t="str">
            <v>BẢNG TÍNH TOÁN, ĐO BÓC KHỐI LƯỢNG HOÀN THÀNH ĐƯA VÀO QUYẾT TOÁN</v>
          </cell>
        </row>
      </sheetData>
      <sheetData sheetId="11452">
        <row r="4">
          <cell r="A4" t="str">
            <v>BẢNG TÍNH TOÁN, ĐO BÓC KHỐI LƯỢNG HOÀN THÀNH ĐƯA VÀO QUYẾT TOÁN</v>
          </cell>
        </row>
      </sheetData>
      <sheetData sheetId="11453">
        <row r="4">
          <cell r="A4" t="str">
            <v>BẢNG TÍNH TOÁN, ĐO BÓC KHỐI LƯỢNG HOÀN THÀNH ĐƯA VÀO QUYẾT TOÁN</v>
          </cell>
        </row>
      </sheetData>
      <sheetData sheetId="11454">
        <row r="4">
          <cell r="A4" t="str">
            <v>BẢNG TÍNH TOÁN, ĐO BÓC KHỐI LƯỢNG HOÀN THÀNH ĐƯA VÀO QUYẾT TOÁN</v>
          </cell>
        </row>
      </sheetData>
      <sheetData sheetId="11455">
        <row r="4">
          <cell r="A4" t="str">
            <v>BẢNG TÍNH TOÁN, ĐO BÓC KHỐI LƯỢNG HOÀN THÀNH ĐƯA VÀO QUYẾT TOÁN</v>
          </cell>
        </row>
      </sheetData>
      <sheetData sheetId="11456">
        <row r="4">
          <cell r="A4" t="str">
            <v>BẢNG TÍNH TOÁN, ĐO BÓC KHỐI LƯỢNG HOÀN THÀNH ĐƯA VÀO QUYẾT TOÁN</v>
          </cell>
        </row>
      </sheetData>
      <sheetData sheetId="11457">
        <row r="4">
          <cell r="A4" t="str">
            <v>BẢNG TÍNH TOÁN, ĐO BÓC KHỐI LƯỢNG HOÀN THÀNH ĐƯA VÀO QUYẾT TOÁN</v>
          </cell>
        </row>
      </sheetData>
      <sheetData sheetId="11458">
        <row r="4">
          <cell r="A4" t="str">
            <v>BẢNG TÍNH TOÁN, ĐO BÓC KHỐI LƯỢNG HOÀN THÀNH ĐƯA VÀO QUYẾT TOÁN</v>
          </cell>
        </row>
      </sheetData>
      <sheetData sheetId="11459">
        <row r="4">
          <cell r="A4" t="str">
            <v>BẢNG TÍNH TOÁN, ĐO BÓC KHỐI LƯỢNG HOÀN THÀNH ĐƯA VÀO QUYẾT TOÁN</v>
          </cell>
        </row>
      </sheetData>
      <sheetData sheetId="11460">
        <row r="4">
          <cell r="A4" t="str">
            <v>BẢNG TÍNH TOÁN, ĐO BÓC KHỐI LƯỢNG HOÀN THÀNH ĐƯA VÀO QUYẾT TOÁN</v>
          </cell>
        </row>
      </sheetData>
      <sheetData sheetId="11461">
        <row r="4">
          <cell r="A4" t="str">
            <v>BẢNG TÍNH TOÁN, ĐO BÓC KHỐI LƯỢNG HOÀN THÀNH ĐƯA VÀO QUYẾT TOÁN</v>
          </cell>
        </row>
      </sheetData>
      <sheetData sheetId="11462">
        <row r="4">
          <cell r="A4" t="str">
            <v>BẢNG TÍNH TOÁN, ĐO BÓC KHỐI LƯỢNG HOÀN THÀNH ĐƯA VÀO QUYẾT TOÁN</v>
          </cell>
        </row>
      </sheetData>
      <sheetData sheetId="11463">
        <row r="4">
          <cell r="A4" t="str">
            <v>BẢNG TÍNH TOÁN, ĐO BÓC KHỐI LƯỢNG HOÀN THÀNH ĐƯA VÀO QUYẾT TOÁN</v>
          </cell>
        </row>
      </sheetData>
      <sheetData sheetId="11464">
        <row r="4">
          <cell r="A4" t="str">
            <v>BẢNG TÍNH TOÁN, ĐO BÓC KHỐI LƯỢNG HOÀN THÀNH ĐƯA VÀO QUYẾT TOÁN</v>
          </cell>
        </row>
      </sheetData>
      <sheetData sheetId="11465">
        <row r="4">
          <cell r="A4" t="str">
            <v>BẢNG TÍNH TOÁN, ĐO BÓC KHỐI LƯỢNG HOÀN THÀNH ĐƯA VÀO QUYẾT TOÁN</v>
          </cell>
        </row>
      </sheetData>
      <sheetData sheetId="11466">
        <row r="4">
          <cell r="A4" t="str">
            <v>BẢNG TÍNH TOÁN, ĐO BÓC KHỐI LƯỢNG HOÀN THÀNH ĐƯA VÀO QUYẾT TOÁN</v>
          </cell>
        </row>
      </sheetData>
      <sheetData sheetId="11467">
        <row r="4">
          <cell r="A4" t="str">
            <v>BẢNG TÍNH TOÁN, ĐO BÓC KHỐI LƯỢNG HOÀN THÀNH ĐƯA VÀO QUYẾT TOÁN</v>
          </cell>
        </row>
      </sheetData>
      <sheetData sheetId="11468">
        <row r="4">
          <cell r="A4" t="str">
            <v>BẢNG TÍNH TOÁN, ĐO BÓC KHỐI LƯỢNG HOÀN THÀNH ĐƯA VÀO QUYẾT TOÁN</v>
          </cell>
        </row>
      </sheetData>
      <sheetData sheetId="11469">
        <row r="4">
          <cell r="A4" t="str">
            <v>BẢNG TÍNH TOÁN, ĐO BÓC KHỐI LƯỢNG HOÀN THÀNH ĐƯA VÀO QUYẾT TOÁN</v>
          </cell>
        </row>
      </sheetData>
      <sheetData sheetId="11470">
        <row r="4">
          <cell r="A4" t="str">
            <v>BẢNG TÍNH TOÁN, ĐO BÓC KHỐI LƯỢNG HOÀN THÀNH ĐƯA VÀO QUYẾT TOÁN</v>
          </cell>
        </row>
      </sheetData>
      <sheetData sheetId="11471">
        <row r="4">
          <cell r="A4" t="str">
            <v>BẢNG TÍNH TOÁN, ĐO BÓC KHỐI LƯỢNG HOÀN THÀNH ĐƯA VÀO QUYẾT TOÁN</v>
          </cell>
        </row>
      </sheetData>
      <sheetData sheetId="11472">
        <row r="4">
          <cell r="A4" t="str">
            <v>BẢNG TÍNH TOÁN, ĐO BÓC KHỐI LƯỢNG HOÀN THÀNH ĐƯA VÀO QUYẾT TOÁN</v>
          </cell>
        </row>
      </sheetData>
      <sheetData sheetId="11473">
        <row r="4">
          <cell r="A4" t="str">
            <v>BẢNG TÍNH TOÁN, ĐO BÓC KHỐI LƯỢNG HOÀN THÀNH ĐƯA VÀO QUYẾT TOÁN</v>
          </cell>
        </row>
      </sheetData>
      <sheetData sheetId="11474">
        <row r="4">
          <cell r="A4" t="str">
            <v>BẢNG TÍNH TOÁN, ĐO BÓC KHỐI LƯỢNG HOÀN THÀNH ĐƯA VÀO QUYẾT TOÁN</v>
          </cell>
        </row>
      </sheetData>
      <sheetData sheetId="11475">
        <row r="4">
          <cell r="A4" t="str">
            <v>BẢNG TÍNH TOÁN, ĐO BÓC KHỐI LƯỢNG HOÀN THÀNH ĐƯA VÀO QUYẾT TOÁN</v>
          </cell>
        </row>
      </sheetData>
      <sheetData sheetId="11476">
        <row r="4">
          <cell r="A4" t="str">
            <v>BẢNG TÍNH TOÁN, ĐO BÓC KHỐI LƯỢNG HOÀN THÀNH ĐƯA VÀO QUYẾT TOÁN</v>
          </cell>
        </row>
      </sheetData>
      <sheetData sheetId="11477">
        <row r="4">
          <cell r="A4" t="str">
            <v>BẢNG TÍNH TOÁN, ĐO BÓC KHỐI LƯỢNG HOÀN THÀNH ĐƯA VÀO QUYẾT TOÁN</v>
          </cell>
        </row>
      </sheetData>
      <sheetData sheetId="11478">
        <row r="4">
          <cell r="A4" t="str">
            <v>BẢNG TÍNH TOÁN, ĐO BÓC KHỐI LƯỢNG HOÀN THÀNH ĐƯA VÀO QUYẾT TOÁN</v>
          </cell>
        </row>
      </sheetData>
      <sheetData sheetId="11479">
        <row r="4">
          <cell r="A4" t="str">
            <v>BẢNG TÍNH TOÁN, ĐO BÓC KHỐI LƯỢNG HOÀN THÀNH ĐƯA VÀO QUYẾT TOÁN</v>
          </cell>
        </row>
      </sheetData>
      <sheetData sheetId="11480">
        <row r="4">
          <cell r="A4" t="str">
            <v>BẢNG TÍNH TOÁN, ĐO BÓC KHỐI LƯỢNG HOÀN THÀNH ĐƯA VÀO QUYẾT TOÁN</v>
          </cell>
        </row>
      </sheetData>
      <sheetData sheetId="11481">
        <row r="4">
          <cell r="A4" t="str">
            <v>BẢNG TÍNH TOÁN, ĐO BÓC KHỐI LƯỢNG HOÀN THÀNH ĐƯA VÀO QUYẾT TOÁN</v>
          </cell>
        </row>
      </sheetData>
      <sheetData sheetId="11482">
        <row r="4">
          <cell r="A4" t="str">
            <v>BẢNG TÍNH TOÁN, ĐO BÓC KHỐI LƯỢNG HOÀN THÀNH ĐƯA VÀO QUYẾT TOÁN</v>
          </cell>
        </row>
      </sheetData>
      <sheetData sheetId="11483">
        <row r="4">
          <cell r="A4" t="str">
            <v>BẢNG TÍNH TOÁN, ĐO BÓC KHỐI LƯỢNG HOÀN THÀNH ĐƯA VÀO QUYẾT TOÁN</v>
          </cell>
        </row>
      </sheetData>
      <sheetData sheetId="11484">
        <row r="4">
          <cell r="A4" t="str">
            <v>BẢNG TÍNH TOÁN, ĐO BÓC KHỐI LƯỢNG HOÀN THÀNH ĐƯA VÀO QUYẾT TOÁN</v>
          </cell>
        </row>
      </sheetData>
      <sheetData sheetId="11485">
        <row r="4">
          <cell r="A4" t="str">
            <v>BẢNG TÍNH TOÁN, ĐO BÓC KHỐI LƯỢNG HOÀN THÀNH ĐƯA VÀO QUYẾT TOÁN</v>
          </cell>
        </row>
      </sheetData>
      <sheetData sheetId="11486">
        <row r="4">
          <cell r="A4" t="str">
            <v>BẢNG TÍNH TOÁN, ĐO BÓC KHỐI LƯỢNG HOÀN THÀNH ĐƯA VÀO QUYẾT TOÁN</v>
          </cell>
        </row>
      </sheetData>
      <sheetData sheetId="11487">
        <row r="4">
          <cell r="A4" t="str">
            <v>BẢNG TÍNH TOÁN, ĐO BÓC KHỐI LƯỢNG HOÀN THÀNH ĐƯA VÀO QUYẾT TOÁN</v>
          </cell>
        </row>
      </sheetData>
      <sheetData sheetId="11488">
        <row r="4">
          <cell r="A4" t="str">
            <v>BẢNG TÍNH TOÁN, ĐO BÓC KHỐI LƯỢNG HOÀN THÀNH ĐƯA VÀO QUYẾT TOÁN</v>
          </cell>
        </row>
      </sheetData>
      <sheetData sheetId="11489">
        <row r="4">
          <cell r="A4" t="str">
            <v>BẢNG TÍNH TOÁN, ĐO BÓC KHỐI LƯỢNG HOÀN THÀNH ĐƯA VÀO QUYẾT TOÁN</v>
          </cell>
        </row>
      </sheetData>
      <sheetData sheetId="11490">
        <row r="4">
          <cell r="A4" t="str">
            <v>BẢNG TÍNH TOÁN, ĐO BÓC KHỐI LƯỢNG HOÀN THÀNH ĐƯA VÀO QUYẾT TOÁN</v>
          </cell>
        </row>
      </sheetData>
      <sheetData sheetId="11491">
        <row r="4">
          <cell r="A4" t="str">
            <v>BẢNG TÍNH TOÁN, ĐO BÓC KHỐI LƯỢNG HOÀN THÀNH ĐƯA VÀO QUYẾT TOÁN</v>
          </cell>
        </row>
      </sheetData>
      <sheetData sheetId="11492">
        <row r="4">
          <cell r="A4" t="str">
            <v>BẢNG TÍNH TOÁN, ĐO BÓC KHỐI LƯỢNG HOÀN THÀNH ĐƯA VÀO QUYẾT TOÁN</v>
          </cell>
        </row>
      </sheetData>
      <sheetData sheetId="11493">
        <row r="4">
          <cell r="A4" t="str">
            <v>BẢNG TÍNH TOÁN, ĐO BÓC KHỐI LƯỢNG HOÀN THÀNH ĐƯA VÀO QUYẾT TOÁN</v>
          </cell>
        </row>
      </sheetData>
      <sheetData sheetId="11494">
        <row r="4">
          <cell r="A4" t="str">
            <v>BẢNG TÍNH TOÁN, ĐO BÓC KHỐI LƯỢNG HOÀN THÀNH ĐƯA VÀO QUYẾT TOÁN</v>
          </cell>
        </row>
      </sheetData>
      <sheetData sheetId="11495">
        <row r="4">
          <cell r="A4" t="str">
            <v>BẢNG TÍNH TOÁN, ĐO BÓC KHỐI LƯỢNG HOÀN THÀNH ĐƯA VÀO QUYẾT TOÁN</v>
          </cell>
        </row>
      </sheetData>
      <sheetData sheetId="11496">
        <row r="9">
          <cell r="A9" t="str">
            <v>A</v>
          </cell>
        </row>
      </sheetData>
      <sheetData sheetId="11497">
        <row r="4">
          <cell r="A4" t="str">
            <v>BẢNG TÍNH TOÁN, ĐO BÓC KHỐI LƯỢNG HOÀN THÀNH ĐƯA VÀO QUYẾT TOÁN</v>
          </cell>
        </row>
      </sheetData>
      <sheetData sheetId="11498">
        <row r="9">
          <cell r="A9" t="str">
            <v>A</v>
          </cell>
        </row>
      </sheetData>
      <sheetData sheetId="11499" refreshError="1"/>
      <sheetData sheetId="11500" refreshError="1"/>
      <sheetData sheetId="11501" refreshError="1"/>
      <sheetData sheetId="11502" refreshError="1"/>
      <sheetData sheetId="11503">
        <row r="9">
          <cell r="A9" t="str">
            <v>A</v>
          </cell>
        </row>
      </sheetData>
      <sheetData sheetId="11504">
        <row r="9">
          <cell r="A9" t="str">
            <v>A</v>
          </cell>
        </row>
      </sheetData>
      <sheetData sheetId="11505">
        <row r="9">
          <cell r="A9" t="str">
            <v>A</v>
          </cell>
        </row>
      </sheetData>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sheetData sheetId="11637"/>
      <sheetData sheetId="11638"/>
      <sheetData sheetId="11639" refreshError="1"/>
      <sheetData sheetId="11640" refreshError="1"/>
      <sheetData sheetId="11641"/>
      <sheetData sheetId="11642"/>
      <sheetData sheetId="11643"/>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ow r="9">
          <cell r="A9" t="str">
            <v>A</v>
          </cell>
        </row>
      </sheetData>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sheetData sheetId="12911">
        <row r="9">
          <cell r="A9" t="str">
            <v>A</v>
          </cell>
        </row>
      </sheetData>
      <sheetData sheetId="12912">
        <row r="9">
          <cell r="A9" t="str">
            <v>A</v>
          </cell>
        </row>
      </sheetData>
      <sheetData sheetId="12913">
        <row r="9">
          <cell r="A9" t="str">
            <v>A</v>
          </cell>
        </row>
      </sheetData>
      <sheetData sheetId="12914"/>
      <sheetData sheetId="12915" refreshError="1"/>
      <sheetData sheetId="12916" refreshError="1"/>
      <sheetData sheetId="12917" refreshError="1"/>
      <sheetData sheetId="12918">
        <row r="9">
          <cell r="A9" t="str">
            <v>A</v>
          </cell>
        </row>
      </sheetData>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ow r="4">
          <cell r="A4" t="str">
            <v>BẢNG TÍNH TOÁN, ĐO BÓC KHỐI LƯỢNG HOÀN THÀNH ĐƯA VÀO QUYẾT TOÁN</v>
          </cell>
        </row>
      </sheetData>
      <sheetData sheetId="12956">
        <row r="4">
          <cell r="A4" t="str">
            <v>BẢNG TÍNH TOÁN, ĐO BÓC KHỐI LƯỢNG HOÀN THÀNH ĐƯA VÀO QUYẾT TOÁN</v>
          </cell>
        </row>
      </sheetData>
      <sheetData sheetId="12957">
        <row r="4">
          <cell r="A4" t="str">
            <v>BẢNG TÍNH TOÁN, ĐO BÓC KHỐI LƯỢNG HOÀN THÀNH ĐƯA VÀO QUYẾT TOÁN</v>
          </cell>
        </row>
      </sheetData>
      <sheetData sheetId="12958">
        <row r="4">
          <cell r="A4" t="str">
            <v>BẢNG TÍNH TOÁN, ĐO BÓC KHỐI LƯỢNG HOÀN THÀNH ĐƯA VÀO QUYẾT TOÁN</v>
          </cell>
        </row>
      </sheetData>
      <sheetData sheetId="12959">
        <row r="4">
          <cell r="A4" t="str">
            <v>BẢNG TÍNH TOÁN, ĐO BÓC KHỐI LƯỢNG HOÀN THÀNH ĐƯA VÀO QUYẾT TOÁN</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sheetData sheetId="12965">
        <row r="9">
          <cell r="A9" t="str">
            <v>A</v>
          </cell>
        </row>
      </sheetData>
      <sheetData sheetId="12966">
        <row r="9">
          <cell r="A9" t="str">
            <v>A</v>
          </cell>
        </row>
      </sheetData>
      <sheetData sheetId="12967">
        <row r="9">
          <cell r="A9" t="str">
            <v>A</v>
          </cell>
        </row>
      </sheetData>
      <sheetData sheetId="12968" refreshError="1"/>
      <sheetData sheetId="12969" refreshError="1"/>
      <sheetData sheetId="12970" refreshError="1"/>
      <sheetData sheetId="12971" refreshError="1"/>
      <sheetData sheetId="12972" refreshError="1"/>
      <sheetData sheetId="12973" refreshError="1"/>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sheetData sheetId="13001"/>
      <sheetData sheetId="13002"/>
      <sheetData sheetId="13003"/>
      <sheetData sheetId="13004"/>
      <sheetData sheetId="13005"/>
      <sheetData sheetId="13006" refreshError="1"/>
      <sheetData sheetId="13007" refreshError="1"/>
      <sheetData sheetId="13008" refreshError="1"/>
      <sheetData sheetId="13009" refreshError="1"/>
      <sheetData sheetId="13010" refreshError="1"/>
      <sheetData sheetId="13011" refreshError="1"/>
      <sheetData sheetId="13012"/>
      <sheetData sheetId="13013"/>
      <sheetData sheetId="13014" refreshError="1"/>
      <sheetData sheetId="13015" refreshError="1"/>
      <sheetData sheetId="13016" refreshError="1"/>
      <sheetData sheetId="13017">
        <row r="9">
          <cell r="A9" t="str">
            <v>A</v>
          </cell>
        </row>
      </sheetData>
      <sheetData sheetId="13018" refreshError="1"/>
      <sheetData sheetId="13019" refreshError="1"/>
      <sheetData sheetId="13020" refreshError="1"/>
      <sheetData sheetId="13021" refreshError="1"/>
      <sheetData sheetId="13022">
        <row r="9">
          <cell r="A9" t="str">
            <v>A</v>
          </cell>
        </row>
      </sheetData>
      <sheetData sheetId="13023" refreshError="1"/>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ow r="9">
          <cell r="A9" t="str">
            <v>A</v>
          </cell>
        </row>
      </sheetData>
      <sheetData sheetId="13029">
        <row r="9">
          <cell r="A9" t="str">
            <v>A</v>
          </cell>
        </row>
      </sheetData>
      <sheetData sheetId="13030">
        <row r="9">
          <cell r="A9" t="str">
            <v>A</v>
          </cell>
        </row>
      </sheetData>
      <sheetData sheetId="13031"/>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ow r="9">
          <cell r="A9" t="str">
            <v>A</v>
          </cell>
        </row>
      </sheetData>
      <sheetData sheetId="13045">
        <row r="9">
          <cell r="A9" t="str">
            <v>A</v>
          </cell>
        </row>
      </sheetData>
      <sheetData sheetId="13046">
        <row r="9">
          <cell r="A9" t="str">
            <v>A</v>
          </cell>
        </row>
      </sheetData>
      <sheetData sheetId="13047">
        <row r="9">
          <cell r="A9" t="str">
            <v>A</v>
          </cell>
        </row>
      </sheetData>
      <sheetData sheetId="13048"/>
      <sheetData sheetId="13049"/>
      <sheetData sheetId="13050"/>
      <sheetData sheetId="13051">
        <row r="9">
          <cell r="A9" t="str">
            <v>A</v>
          </cell>
        </row>
      </sheetData>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row r="9">
          <cell r="A9" t="str">
            <v>A</v>
          </cell>
        </row>
      </sheetData>
      <sheetData sheetId="13068"/>
      <sheetData sheetId="13069"/>
      <sheetData sheetId="13070"/>
      <sheetData sheetId="13071"/>
      <sheetData sheetId="13072">
        <row r="9">
          <cell r="A9" t="str">
            <v>A</v>
          </cell>
        </row>
      </sheetData>
      <sheetData sheetId="13073"/>
      <sheetData sheetId="13074">
        <row r="9">
          <cell r="A9" t="str">
            <v>A</v>
          </cell>
        </row>
      </sheetData>
      <sheetData sheetId="13075"/>
      <sheetData sheetId="13076"/>
      <sheetData sheetId="13077"/>
      <sheetData sheetId="13078"/>
      <sheetData sheetId="13079">
        <row r="9">
          <cell r="A9" t="str">
            <v>A</v>
          </cell>
        </row>
      </sheetData>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row r="4">
          <cell r="A4" t="str">
            <v>BẢNG TÍNH TOÁN, ĐO BÓC KHỐI LƯỢNG HOÀN THÀNH ĐƯA VÀO QUYẾT TOÁN</v>
          </cell>
        </row>
      </sheetData>
      <sheetData sheetId="13108">
        <row r="4">
          <cell r="A4" t="str">
            <v>BẢNG TÍNH TOÁN, ĐO BÓC KHỐI LƯỢNG HOÀN THÀNH ĐƯA VÀO QUYẾT TOÁN</v>
          </cell>
        </row>
      </sheetData>
      <sheetData sheetId="13109">
        <row r="4">
          <cell r="A4" t="str">
            <v>BẢNG TÍNH TOÁN, ĐO BÓC KHỐI LƯỢNG HOÀN THÀNH ĐƯA VÀO QUYẾT TOÁN</v>
          </cell>
        </row>
      </sheetData>
      <sheetData sheetId="13110">
        <row r="4">
          <cell r="A4" t="str">
            <v>BẢNG TÍNH TOÁN, ĐO BÓC KHỐI LƯỢNG HOÀN THÀNH ĐƯA VÀO QUYẾT TOÁN</v>
          </cell>
        </row>
      </sheetData>
      <sheetData sheetId="13111">
        <row r="4">
          <cell r="A4" t="str">
            <v>BẢNG TÍNH TOÁN, ĐO BÓC KHỐI LƯỢNG HOÀN THÀNH ĐƯA VÀO QUYẾT TOÁN</v>
          </cell>
        </row>
      </sheetData>
      <sheetData sheetId="13112">
        <row r="4">
          <cell r="A4" t="str">
            <v>BẢNG TÍNH TOÁN, ĐO BÓC KHỐI LƯỢNG HOÀN THÀNH ĐƯA VÀO QUYẾT TOÁN</v>
          </cell>
        </row>
      </sheetData>
      <sheetData sheetId="13113">
        <row r="4">
          <cell r="A4" t="str">
            <v>BẢNG TÍNH TOÁN, ĐO BÓC KHỐI LƯỢNG HOÀN THÀNH ĐƯA VÀO QUYẾT TOÁN</v>
          </cell>
        </row>
      </sheetData>
      <sheetData sheetId="13114">
        <row r="4">
          <cell r="A4" t="str">
            <v>BẢNG TÍNH TOÁN, ĐO BÓC KHỐI LƯỢNG HOÀN THÀNH ĐƯA VÀO QUYẾT TOÁN</v>
          </cell>
        </row>
      </sheetData>
      <sheetData sheetId="13115">
        <row r="4">
          <cell r="A4" t="str">
            <v>BẢNG TÍNH TOÁN, ĐO BÓC KHỐI LƯỢNG HOÀN THÀNH ĐƯA VÀO QUYẾT TOÁN</v>
          </cell>
        </row>
      </sheetData>
      <sheetData sheetId="13116">
        <row r="4">
          <cell r="A4" t="str">
            <v>BẢNG TÍNH TOÁN, ĐO BÓC KHỐI LƯỢNG HOÀN THÀNH ĐƯA VÀO QUYẾT TOÁN</v>
          </cell>
        </row>
      </sheetData>
      <sheetData sheetId="13117">
        <row r="4">
          <cell r="A4" t="str">
            <v>BẢNG TÍNH TOÁN, ĐO BÓC KHỐI LƯỢNG HOÀN THÀNH ĐƯA VÀO QUYẾT TOÁN</v>
          </cell>
        </row>
      </sheetData>
      <sheetData sheetId="13118">
        <row r="4">
          <cell r="A4" t="str">
            <v>BẢNG TÍNH TOÁN, ĐO BÓC KHỐI LƯỢNG HOÀN THÀNH ĐƯA VÀO QUYẾT TOÁN</v>
          </cell>
        </row>
      </sheetData>
      <sheetData sheetId="13119">
        <row r="4">
          <cell r="A4" t="str">
            <v>BẢNG TÍNH TOÁN, ĐO BÓC KHỐI LƯỢNG HOÀN THÀNH ĐƯA VÀO QUYẾT TOÁN</v>
          </cell>
        </row>
      </sheetData>
      <sheetData sheetId="13120">
        <row r="4">
          <cell r="A4" t="str">
            <v>BẢNG TÍNH TOÁN, ĐO BÓC KHỐI LƯỢNG HOÀN THÀNH ĐƯA VÀO QUYẾT TOÁN</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row r="9">
          <cell r="A9" t="str">
            <v>A</v>
          </cell>
        </row>
      </sheetData>
      <sheetData sheetId="13175"/>
      <sheetData sheetId="13176"/>
      <sheetData sheetId="13177">
        <row r="9">
          <cell r="A9" t="str">
            <v>A</v>
          </cell>
        </row>
      </sheetData>
      <sheetData sheetId="13178"/>
      <sheetData sheetId="13179">
        <row r="9">
          <cell r="A9" t="str">
            <v>A</v>
          </cell>
        </row>
      </sheetData>
      <sheetData sheetId="13180"/>
      <sheetData sheetId="13181"/>
      <sheetData sheetId="13182">
        <row r="9">
          <cell r="A9" t="str">
            <v>A</v>
          </cell>
        </row>
      </sheetData>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row r="9">
          <cell r="A9" t="str">
            <v>A</v>
          </cell>
        </row>
      </sheetData>
      <sheetData sheetId="14220"/>
      <sheetData sheetId="14221"/>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sheetData sheetId="14239"/>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sheetData sheetId="14257">
        <row r="9">
          <cell r="A9" t="str">
            <v>A</v>
          </cell>
        </row>
      </sheetData>
      <sheetData sheetId="14258">
        <row r="9">
          <cell r="A9" t="str">
            <v>A</v>
          </cell>
        </row>
      </sheetData>
      <sheetData sheetId="14259"/>
      <sheetData sheetId="14260"/>
      <sheetData sheetId="14261">
        <row r="9">
          <cell r="A9" t="str">
            <v>A</v>
          </cell>
        </row>
      </sheetData>
      <sheetData sheetId="14262">
        <row r="9">
          <cell r="A9" t="str">
            <v>A</v>
          </cell>
        </row>
      </sheetData>
      <sheetData sheetId="14263">
        <row r="9">
          <cell r="A9" t="str">
            <v>A</v>
          </cell>
        </row>
      </sheetData>
      <sheetData sheetId="14264"/>
      <sheetData sheetId="14265"/>
      <sheetData sheetId="14266">
        <row r="9">
          <cell r="A9" t="str">
            <v>A</v>
          </cell>
        </row>
      </sheetData>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row r="9">
          <cell r="A9" t="str">
            <v>A</v>
          </cell>
        </row>
      </sheetData>
      <sheetData sheetId="14339"/>
      <sheetData sheetId="14340"/>
      <sheetData sheetId="14341">
        <row r="9">
          <cell r="A9" t="str">
            <v>A</v>
          </cell>
        </row>
      </sheetData>
      <sheetData sheetId="14342">
        <row r="9">
          <cell r="A9" t="str">
            <v>A</v>
          </cell>
        </row>
      </sheetData>
      <sheetData sheetId="14343">
        <row r="9">
          <cell r="A9" t="str">
            <v>A</v>
          </cell>
        </row>
      </sheetData>
      <sheetData sheetId="14344">
        <row r="9">
          <cell r="A9" t="str">
            <v>A</v>
          </cell>
        </row>
      </sheetData>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sheetData sheetId="14358"/>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sheetData sheetId="14376"/>
      <sheetData sheetId="14377"/>
      <sheetData sheetId="14378"/>
      <sheetData sheetId="14379"/>
      <sheetData sheetId="14380">
        <row r="9">
          <cell r="A9" t="str">
            <v>A</v>
          </cell>
        </row>
      </sheetData>
      <sheetData sheetId="14381"/>
      <sheetData sheetId="14382"/>
      <sheetData sheetId="14383"/>
      <sheetData sheetId="14384"/>
      <sheetData sheetId="14385">
        <row r="9">
          <cell r="A9" t="str">
            <v>A</v>
          </cell>
        </row>
      </sheetData>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sheetData sheetId="15171"/>
      <sheetData sheetId="15172"/>
      <sheetData sheetId="15173"/>
      <sheetData sheetId="15174"/>
      <sheetData sheetId="15175"/>
      <sheetData sheetId="15176"/>
      <sheetData sheetId="15177"/>
      <sheetData sheetId="15178"/>
      <sheetData sheetId="15179"/>
      <sheetData sheetId="15180"/>
      <sheetData sheetId="15181"/>
      <sheetData sheetId="15182"/>
      <sheetData sheetId="15183"/>
      <sheetData sheetId="15184"/>
      <sheetData sheetId="15185"/>
      <sheetData sheetId="15186"/>
      <sheetData sheetId="15187"/>
      <sheetData sheetId="15188"/>
      <sheetData sheetId="15189"/>
      <sheetData sheetId="15190"/>
      <sheetData sheetId="1519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sheetData sheetId="15267"/>
      <sheetData sheetId="15268"/>
      <sheetData sheetId="15269"/>
      <sheetData sheetId="15270"/>
      <sheetData sheetId="15271"/>
      <sheetData sheetId="15272"/>
      <sheetData sheetId="15273"/>
      <sheetData sheetId="15274"/>
      <sheetData sheetId="15275"/>
      <sheetData sheetId="15276"/>
      <sheetData sheetId="15277"/>
      <sheetData sheetId="15278"/>
      <sheetData sheetId="15279"/>
      <sheetData sheetId="15280"/>
      <sheetData sheetId="15281"/>
      <sheetData sheetId="15282"/>
      <sheetData sheetId="15283"/>
      <sheetData sheetId="15284"/>
      <sheetData sheetId="15285"/>
      <sheetData sheetId="15286"/>
      <sheetData sheetId="15287"/>
      <sheetData sheetId="15288"/>
      <sheetData sheetId="15289"/>
      <sheetData sheetId="15290"/>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ow r="9">
          <cell r="A9" t="str">
            <v>A</v>
          </cell>
        </row>
      </sheetData>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ow r="9">
          <cell r="A9" t="str">
            <v>A</v>
          </cell>
        </row>
      </sheetData>
      <sheetData sheetId="15487">
        <row r="9">
          <cell r="A9" t="str">
            <v>A</v>
          </cell>
        </row>
      </sheetData>
      <sheetData sheetId="15488"/>
      <sheetData sheetId="15489" refreshError="1"/>
      <sheetData sheetId="15490"/>
      <sheetData sheetId="15491" refreshError="1"/>
      <sheetData sheetId="15492" refreshError="1"/>
      <sheetData sheetId="15493" refreshError="1"/>
      <sheetData sheetId="15494" refreshError="1"/>
      <sheetData sheetId="15495" refreshError="1"/>
      <sheetData sheetId="15496" refreshError="1"/>
      <sheetData sheetId="1549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AD2B2-17E9-C14A-936E-5F625A1BD9B4}">
  <sheetPr>
    <pageSetUpPr fitToPage="1"/>
  </sheetPr>
  <dimension ref="A1:BS268"/>
  <sheetViews>
    <sheetView showGridLines="0" tabSelected="1" zoomScaleNormal="100" zoomScaleSheetLayoutView="70" workbookViewId="0">
      <pane ySplit="4" topLeftCell="A5" activePane="bottomLeft" state="frozen"/>
      <selection pane="bottomLeft" activeCell="B11" sqref="B11"/>
    </sheetView>
  </sheetViews>
  <sheetFormatPr baseColWidth="10" defaultColWidth="9.1640625" defaultRowHeight="13" x14ac:dyDescent="0.15"/>
  <cols>
    <col min="1" max="1" width="17.5" style="3" customWidth="1"/>
    <col min="2" max="2" width="56.83203125" style="3" customWidth="1"/>
    <col min="3" max="3" width="55.1640625" style="3" bestFit="1" customWidth="1"/>
    <col min="4" max="4" width="33" style="3" customWidth="1"/>
    <col min="5" max="5" width="8.1640625" style="124" customWidth="1"/>
    <col min="6" max="6" width="16.33203125" style="124" customWidth="1"/>
    <col min="7" max="7" width="13.5" style="124" customWidth="1"/>
    <col min="8" max="8" width="18.1640625" style="124" customWidth="1"/>
    <col min="9" max="9" width="13.83203125" style="124" customWidth="1"/>
    <col min="10" max="10" width="17.33203125" style="3" customWidth="1"/>
    <col min="11" max="11" width="13.5" style="3" hidden="1" customWidth="1"/>
    <col min="12" max="26" width="16.6640625" style="3" hidden="1" customWidth="1"/>
    <col min="27" max="27" width="16.5" style="3" customWidth="1"/>
    <col min="28" max="28" width="16.6640625" style="3" customWidth="1"/>
    <col min="29" max="29" width="16.33203125" style="3" customWidth="1"/>
    <col min="30" max="30" width="16.83203125" style="3" customWidth="1"/>
    <col min="31" max="31" width="43.1640625" style="120" customWidth="1"/>
    <col min="32" max="51" width="26.5" style="120" customWidth="1"/>
    <col min="52" max="52" width="26" style="1" customWidth="1"/>
    <col min="53" max="67" width="26" style="2" customWidth="1"/>
    <col min="68" max="68" width="13.83203125" style="3" bestFit="1" customWidth="1"/>
    <col min="69" max="69" width="13.83203125" style="4" bestFit="1" customWidth="1"/>
    <col min="70" max="71" width="13.6640625" style="3" bestFit="1" customWidth="1"/>
    <col min="72" max="16384" width="9.1640625" style="3"/>
  </cols>
  <sheetData>
    <row r="1" spans="1:71" s="9" customFormat="1" ht="37.5" customHeight="1" x14ac:dyDescent="0.15">
      <c r="A1" s="246" t="s">
        <v>0</v>
      </c>
      <c r="B1" s="248" t="s">
        <v>1</v>
      </c>
      <c r="C1" s="250" t="s">
        <v>2</v>
      </c>
      <c r="D1" s="248" t="s">
        <v>3</v>
      </c>
      <c r="E1" s="248" t="s">
        <v>4</v>
      </c>
      <c r="F1" s="248" t="s">
        <v>5</v>
      </c>
      <c r="G1" s="241" t="s">
        <v>6</v>
      </c>
      <c r="H1" s="241"/>
      <c r="I1" s="241" t="s">
        <v>7</v>
      </c>
      <c r="J1" s="241"/>
      <c r="K1" s="241" t="s">
        <v>8</v>
      </c>
      <c r="L1" s="241"/>
      <c r="M1" s="241" t="s">
        <v>9</v>
      </c>
      <c r="N1" s="241"/>
      <c r="O1" s="241" t="s">
        <v>10</v>
      </c>
      <c r="P1" s="241"/>
      <c r="Q1" s="241" t="s">
        <v>11</v>
      </c>
      <c r="R1" s="241"/>
      <c r="S1" s="241" t="s">
        <v>12</v>
      </c>
      <c r="T1" s="241"/>
      <c r="U1" s="241" t="s">
        <v>13</v>
      </c>
      <c r="V1" s="241"/>
      <c r="W1" s="241" t="s">
        <v>14</v>
      </c>
      <c r="X1" s="241"/>
      <c r="Y1" s="241" t="s">
        <v>15</v>
      </c>
      <c r="Z1" s="241"/>
      <c r="AA1" s="241" t="s">
        <v>16</v>
      </c>
      <c r="AB1" s="241"/>
      <c r="AC1" s="242" t="s">
        <v>17</v>
      </c>
      <c r="AD1" s="243"/>
      <c r="AE1" s="244" t="s">
        <v>18</v>
      </c>
      <c r="AF1" s="240" t="s">
        <v>19</v>
      </c>
      <c r="AG1" s="240"/>
      <c r="AH1" s="240" t="s">
        <v>20</v>
      </c>
      <c r="AI1" s="240"/>
      <c r="AJ1" s="240" t="s">
        <v>21</v>
      </c>
      <c r="AK1" s="240"/>
      <c r="AL1" s="236" t="s">
        <v>22</v>
      </c>
      <c r="AM1" s="237"/>
      <c r="AN1" s="236" t="s">
        <v>23</v>
      </c>
      <c r="AO1" s="237"/>
      <c r="AP1" s="236" t="s">
        <v>24</v>
      </c>
      <c r="AQ1" s="237"/>
      <c r="AR1" s="236" t="s">
        <v>25</v>
      </c>
      <c r="AS1" s="237"/>
      <c r="AT1" s="236" t="s">
        <v>26</v>
      </c>
      <c r="AU1" s="237"/>
      <c r="AV1" s="236" t="s">
        <v>27</v>
      </c>
      <c r="AW1" s="237"/>
      <c r="AX1" s="236" t="s">
        <v>28</v>
      </c>
      <c r="AY1" s="237"/>
      <c r="AZ1" s="236" t="s">
        <v>29</v>
      </c>
      <c r="BA1" s="237"/>
      <c r="BB1" s="238" t="s">
        <v>30</v>
      </c>
      <c r="BC1" s="239"/>
      <c r="BD1" s="236" t="s">
        <v>31</v>
      </c>
      <c r="BE1" s="237"/>
      <c r="BF1" s="236" t="s">
        <v>32</v>
      </c>
      <c r="BG1" s="237"/>
      <c r="BH1" s="236" t="s">
        <v>33</v>
      </c>
      <c r="BI1" s="237"/>
      <c r="BJ1" s="236" t="s">
        <v>34</v>
      </c>
      <c r="BK1" s="237"/>
      <c r="BL1" s="238" t="s">
        <v>35</v>
      </c>
      <c r="BM1" s="239"/>
      <c r="BN1" s="238" t="s">
        <v>36</v>
      </c>
      <c r="BO1" s="239"/>
      <c r="BP1" s="12" t="s">
        <v>37</v>
      </c>
      <c r="BQ1" s="13" t="s">
        <v>38</v>
      </c>
      <c r="BR1" s="14" t="s">
        <v>39</v>
      </c>
      <c r="BS1" s="14" t="s">
        <v>40</v>
      </c>
    </row>
    <row r="2" spans="1:71" s="8" customFormat="1" ht="31" thickBot="1" x14ac:dyDescent="0.2">
      <c r="A2" s="247"/>
      <c r="B2" s="249"/>
      <c r="C2" s="251"/>
      <c r="D2" s="249"/>
      <c r="E2" s="249"/>
      <c r="F2" s="249"/>
      <c r="G2" s="15" t="s">
        <v>41</v>
      </c>
      <c r="H2" s="15" t="s">
        <v>42</v>
      </c>
      <c r="I2" s="15" t="s">
        <v>43</v>
      </c>
      <c r="J2" s="15" t="s">
        <v>42</v>
      </c>
      <c r="K2" s="15" t="s">
        <v>44</v>
      </c>
      <c r="L2" s="15" t="s">
        <v>45</v>
      </c>
      <c r="M2" s="15" t="s">
        <v>44</v>
      </c>
      <c r="N2" s="15" t="s">
        <v>45</v>
      </c>
      <c r="O2" s="15" t="s">
        <v>44</v>
      </c>
      <c r="P2" s="15" t="s">
        <v>45</v>
      </c>
      <c r="Q2" s="15" t="s">
        <v>44</v>
      </c>
      <c r="R2" s="15" t="s">
        <v>45</v>
      </c>
      <c r="S2" s="15" t="s">
        <v>44</v>
      </c>
      <c r="T2" s="15" t="s">
        <v>45</v>
      </c>
      <c r="U2" s="15" t="s">
        <v>44</v>
      </c>
      <c r="V2" s="15" t="s">
        <v>45</v>
      </c>
      <c r="W2" s="15" t="s">
        <v>44</v>
      </c>
      <c r="X2" s="15" t="s">
        <v>45</v>
      </c>
      <c r="Y2" s="15" t="s">
        <v>44</v>
      </c>
      <c r="Z2" s="15" t="s">
        <v>45</v>
      </c>
      <c r="AA2" s="15" t="s">
        <v>44</v>
      </c>
      <c r="AB2" s="15" t="s">
        <v>45</v>
      </c>
      <c r="AC2" s="15" t="s">
        <v>41</v>
      </c>
      <c r="AD2" s="15" t="s">
        <v>45</v>
      </c>
      <c r="AE2" s="245"/>
      <c r="AF2" s="16" t="s">
        <v>46</v>
      </c>
      <c r="AG2" s="17" t="s">
        <v>45</v>
      </c>
      <c r="AH2" s="16" t="s">
        <v>46</v>
      </c>
      <c r="AI2" s="17" t="s">
        <v>45</v>
      </c>
      <c r="AJ2" s="16" t="s">
        <v>46</v>
      </c>
      <c r="AK2" s="17" t="s">
        <v>45</v>
      </c>
      <c r="AL2" s="16" t="s">
        <v>46</v>
      </c>
      <c r="AM2" s="17" t="s">
        <v>45</v>
      </c>
      <c r="AN2" s="16" t="s">
        <v>46</v>
      </c>
      <c r="AO2" s="17" t="s">
        <v>45</v>
      </c>
      <c r="AP2" s="16" t="s">
        <v>46</v>
      </c>
      <c r="AQ2" s="17" t="s">
        <v>45</v>
      </c>
      <c r="AR2" s="16" t="s">
        <v>46</v>
      </c>
      <c r="AS2" s="17" t="s">
        <v>45</v>
      </c>
      <c r="AT2" s="16" t="s">
        <v>46</v>
      </c>
      <c r="AU2" s="17" t="s">
        <v>45</v>
      </c>
      <c r="AV2" s="16" t="s">
        <v>46</v>
      </c>
      <c r="AW2" s="17" t="s">
        <v>45</v>
      </c>
      <c r="AX2" s="16" t="s">
        <v>46</v>
      </c>
      <c r="AY2" s="17" t="s">
        <v>45</v>
      </c>
      <c r="AZ2" s="16" t="s">
        <v>46</v>
      </c>
      <c r="BA2" s="17" t="s">
        <v>45</v>
      </c>
      <c r="BB2" s="16" t="s">
        <v>46</v>
      </c>
      <c r="BC2" s="17" t="s">
        <v>45</v>
      </c>
      <c r="BD2" s="16" t="s">
        <v>46</v>
      </c>
      <c r="BE2" s="17" t="s">
        <v>45</v>
      </c>
      <c r="BF2" s="16" t="s">
        <v>46</v>
      </c>
      <c r="BG2" s="17" t="s">
        <v>45</v>
      </c>
      <c r="BH2" s="16" t="s">
        <v>46</v>
      </c>
      <c r="BI2" s="17" t="s">
        <v>45</v>
      </c>
      <c r="BJ2" s="16" t="s">
        <v>46</v>
      </c>
      <c r="BK2" s="17" t="s">
        <v>45</v>
      </c>
      <c r="BL2" s="16" t="s">
        <v>46</v>
      </c>
      <c r="BM2" s="17" t="s">
        <v>45</v>
      </c>
      <c r="BN2" s="18" t="s">
        <v>41</v>
      </c>
      <c r="BO2" s="18" t="s">
        <v>42</v>
      </c>
      <c r="BQ2" s="19"/>
    </row>
    <row r="3" spans="1:71" s="8" customFormat="1" ht="23.25" customHeight="1" x14ac:dyDescent="0.15">
      <c r="A3" s="20">
        <v>1</v>
      </c>
      <c r="B3" s="20">
        <v>2</v>
      </c>
      <c r="C3" s="20">
        <v>3</v>
      </c>
      <c r="D3" s="20">
        <v>4</v>
      </c>
      <c r="E3" s="20">
        <v>5</v>
      </c>
      <c r="F3" s="20">
        <v>6</v>
      </c>
      <c r="G3" s="20">
        <v>7</v>
      </c>
      <c r="H3" s="20">
        <v>8</v>
      </c>
      <c r="I3" s="20">
        <v>9</v>
      </c>
      <c r="J3" s="20">
        <v>10</v>
      </c>
      <c r="K3" s="20"/>
      <c r="L3" s="20"/>
      <c r="M3" s="20"/>
      <c r="N3" s="20"/>
      <c r="O3" s="20"/>
      <c r="P3" s="20"/>
      <c r="Q3" s="20"/>
      <c r="R3" s="20"/>
      <c r="S3" s="20"/>
      <c r="T3" s="20"/>
      <c r="U3" s="20"/>
      <c r="V3" s="20"/>
      <c r="W3" s="20"/>
      <c r="X3" s="20"/>
      <c r="Y3" s="20"/>
      <c r="Z3" s="20"/>
      <c r="AA3" s="20"/>
      <c r="AB3" s="20"/>
      <c r="AC3" s="20">
        <v>13</v>
      </c>
      <c r="AD3" s="20">
        <v>14</v>
      </c>
      <c r="AE3" s="21">
        <v>15</v>
      </c>
      <c r="AF3" s="21"/>
      <c r="AG3" s="22">
        <f>+SUM(AG5:AG246)</f>
        <v>207682.35000000003</v>
      </c>
      <c r="AH3" s="23"/>
      <c r="AI3" s="22">
        <f>+SUM(AI5:AI246)</f>
        <v>136930.00799999997</v>
      </c>
      <c r="AJ3" s="23"/>
      <c r="AK3" s="22">
        <f>+SUM(AK5:AK246)</f>
        <v>111056.00999999998</v>
      </c>
      <c r="AL3" s="23"/>
      <c r="AM3" s="22">
        <f>+SUM(AM5:AM246)</f>
        <v>3115.6499999999996</v>
      </c>
      <c r="AN3" s="23"/>
      <c r="AO3" s="22">
        <f>+SUM(AO5:AO246)</f>
        <v>27619.340000000004</v>
      </c>
      <c r="AP3" s="23"/>
      <c r="AQ3" s="22">
        <f>+SUM(AQ5:AQ246)</f>
        <v>35878.4885784</v>
      </c>
      <c r="AR3" s="23"/>
      <c r="AS3" s="22">
        <f>+SUM(AS5:AS246)</f>
        <v>81655.776124622498</v>
      </c>
      <c r="AT3" s="23"/>
      <c r="AU3" s="22">
        <f>+SUM(AU5:AU246)</f>
        <v>112840.37646875804</v>
      </c>
      <c r="AV3" s="23"/>
      <c r="AW3" s="22">
        <f>+SUM(AW5:AW246)</f>
        <v>64512.290000000008</v>
      </c>
      <c r="AX3" s="23"/>
      <c r="AY3" s="22">
        <f>+SUM(AY5:AY246)</f>
        <v>69791.719999999987</v>
      </c>
      <c r="AZ3" s="23"/>
      <c r="BA3" s="22">
        <f>+SUM(BA5:BA246)</f>
        <v>64911.296899795991</v>
      </c>
      <c r="BB3" s="22"/>
      <c r="BC3" s="22">
        <f>+SUM(BC5:BC2497)</f>
        <v>96431.302321192983</v>
      </c>
      <c r="BD3" s="22"/>
      <c r="BE3" s="22">
        <f>+SUM(BE5:BE246)</f>
        <v>186399.95999999996</v>
      </c>
      <c r="BF3" s="22"/>
      <c r="BG3" s="22">
        <f>+SUM(BG5:BG246)</f>
        <v>88646.670000000013</v>
      </c>
      <c r="BH3" s="22"/>
      <c r="BI3" s="22">
        <f>+SUM(BI5:BI246)</f>
        <v>17663.588012351996</v>
      </c>
      <c r="BJ3" s="22"/>
      <c r="BK3" s="22">
        <f>+SUM(BK5:BK246)</f>
        <v>30565.365526464004</v>
      </c>
      <c r="BL3" s="22"/>
      <c r="BM3" s="22">
        <f>+SUM(BM5:BM246)</f>
        <v>44563.3248120344</v>
      </c>
      <c r="BN3" s="22"/>
      <c r="BO3" s="22">
        <f>+SUM(BO5:BO246)</f>
        <v>2688.0715189439993</v>
      </c>
      <c r="BP3" s="12" t="s">
        <v>37</v>
      </c>
      <c r="BQ3" s="13" t="s">
        <v>38</v>
      </c>
      <c r="BR3" s="14" t="s">
        <v>39</v>
      </c>
      <c r="BS3" s="14" t="s">
        <v>40</v>
      </c>
    </row>
    <row r="4" spans="1:71" s="33" customFormat="1" ht="19" x14ac:dyDescent="0.15">
      <c r="A4" s="24" t="s">
        <v>47</v>
      </c>
      <c r="B4" s="234" t="s">
        <v>48</v>
      </c>
      <c r="C4" s="235"/>
      <c r="D4" s="25"/>
      <c r="E4" s="26"/>
      <c r="F4" s="27"/>
      <c r="G4" s="28">
        <f>+AD4/H4</f>
        <v>1.107520389388772</v>
      </c>
      <c r="H4" s="27">
        <f>+SUM(H5:H117)</f>
        <v>2388922.9675533632</v>
      </c>
      <c r="I4" s="29"/>
      <c r="J4" s="27">
        <f>+SUM(J5:J110)</f>
        <v>2142901.002604288</v>
      </c>
      <c r="K4" s="30"/>
      <c r="L4" s="27">
        <f>+SUM(L5)</f>
        <v>3768</v>
      </c>
      <c r="M4" s="27"/>
      <c r="N4" s="27">
        <f>+SUM(N5:N10)</f>
        <v>27087.896874999999</v>
      </c>
      <c r="O4" s="27"/>
      <c r="P4" s="27">
        <f>+SUM(P5:P34)</f>
        <v>1508621.1335028112</v>
      </c>
      <c r="Q4" s="27"/>
      <c r="R4" s="27">
        <f>+SUM(R5:R54)</f>
        <v>536577.16371012002</v>
      </c>
      <c r="S4" s="27"/>
      <c r="T4" s="27">
        <f>+SUM(T5:T71)</f>
        <v>138386.30865106534</v>
      </c>
      <c r="U4" s="27"/>
      <c r="V4" s="27">
        <f>+SUM(V5:V85)</f>
        <v>13292.419610023928</v>
      </c>
      <c r="W4" s="27"/>
      <c r="X4" s="27"/>
      <c r="Y4" s="27"/>
      <c r="Z4" s="27">
        <f>+SUM(Z5:Z105)</f>
        <v>132268.45262564332</v>
      </c>
      <c r="AA4" s="27"/>
      <c r="AB4" s="27">
        <f>+SUM(AB5:AB117)</f>
        <v>502879.89264019375</v>
      </c>
      <c r="AC4" s="31"/>
      <c r="AD4" s="27">
        <f>+SUM(AD5:AD117)</f>
        <v>2645780.8952444815</v>
      </c>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14"/>
      <c r="BQ4" s="32"/>
      <c r="BR4" s="14"/>
      <c r="BS4" s="14"/>
    </row>
    <row r="5" spans="1:71" s="9" customFormat="1" ht="17" x14ac:dyDescent="0.15">
      <c r="A5" s="34" t="s">
        <v>49</v>
      </c>
      <c r="B5" s="35" t="s">
        <v>50</v>
      </c>
      <c r="C5" s="34" t="s">
        <v>51</v>
      </c>
      <c r="D5" s="36" t="s">
        <v>52</v>
      </c>
      <c r="E5" s="37" t="s">
        <v>53</v>
      </c>
      <c r="F5" s="38">
        <v>78.5</v>
      </c>
      <c r="G5" s="38">
        <v>302.17746405625473</v>
      </c>
      <c r="H5" s="38">
        <v>24148.690928415999</v>
      </c>
      <c r="I5" s="39">
        <v>248</v>
      </c>
      <c r="J5" s="40">
        <v>19468</v>
      </c>
      <c r="K5" s="38">
        <v>48</v>
      </c>
      <c r="L5" s="41">
        <f>+K5*F5</f>
        <v>3768</v>
      </c>
      <c r="M5" s="41"/>
      <c r="N5" s="41"/>
      <c r="O5" s="41"/>
      <c r="P5" s="41"/>
      <c r="Q5" s="42">
        <f>60-18</f>
        <v>42</v>
      </c>
      <c r="R5" s="42">
        <f>+Q5*F5</f>
        <v>3297</v>
      </c>
      <c r="S5" s="42">
        <v>48</v>
      </c>
      <c r="T5" s="42">
        <f>+S5*F5</f>
        <v>3768</v>
      </c>
      <c r="U5" s="43"/>
      <c r="V5" s="42"/>
      <c r="W5" s="42"/>
      <c r="X5" s="42"/>
      <c r="Y5" s="42">
        <v>110</v>
      </c>
      <c r="Z5" s="42">
        <f>+Y5*F5</f>
        <v>8635</v>
      </c>
      <c r="AA5" s="42">
        <v>91</v>
      </c>
      <c r="AB5" s="42">
        <f>+AA5*F5</f>
        <v>7143.5</v>
      </c>
      <c r="AC5" s="44">
        <f>+I5+AA5</f>
        <v>339</v>
      </c>
      <c r="AD5" s="44">
        <f>+J5+AB5</f>
        <v>26611.5</v>
      </c>
      <c r="AE5" s="45" t="s">
        <v>54</v>
      </c>
      <c r="AF5" s="45"/>
      <c r="AG5" s="45"/>
      <c r="AH5" s="45">
        <v>38.03656050955415</v>
      </c>
      <c r="AI5" s="45">
        <v>2985.8700000000003</v>
      </c>
      <c r="AJ5" s="45">
        <v>11.383057324840765</v>
      </c>
      <c r="AK5" s="45">
        <v>893.56999999999994</v>
      </c>
      <c r="AL5" s="45">
        <f>+AM5/78.5</f>
        <v>10.78624203821656</v>
      </c>
      <c r="AM5" s="45">
        <f>1693.44/2</f>
        <v>846.72</v>
      </c>
      <c r="AN5" s="45">
        <v>3.5248407643312101</v>
      </c>
      <c r="AO5" s="45">
        <v>276.7</v>
      </c>
      <c r="AP5" s="45"/>
      <c r="AQ5" s="45"/>
      <c r="AR5" s="45">
        <v>13.945985765707006</v>
      </c>
      <c r="AS5" s="45">
        <v>1094.759882608</v>
      </c>
      <c r="AT5" s="45">
        <v>2.8870179872611463</v>
      </c>
      <c r="AU5" s="45">
        <v>226.63091199999997</v>
      </c>
      <c r="AV5" s="45">
        <v>2.8031847133757961</v>
      </c>
      <c r="AW5" s="45">
        <v>220.04999999999998</v>
      </c>
      <c r="AX5" s="45">
        <v>2.8031847133757961</v>
      </c>
      <c r="AY5" s="45">
        <v>220.04999999999998</v>
      </c>
      <c r="AZ5" s="46">
        <v>2.8046739872611464</v>
      </c>
      <c r="BA5" s="47">
        <v>220.16690799999998</v>
      </c>
      <c r="BB5" s="47">
        <v>1.02193344</v>
      </c>
      <c r="BC5" s="47">
        <v>294.10177503999995</v>
      </c>
      <c r="BD5" s="47">
        <v>49.331337579617838</v>
      </c>
      <c r="BE5" s="47">
        <v>3872.51</v>
      </c>
      <c r="BF5" s="47">
        <v>6.7439490445859871</v>
      </c>
      <c r="BG5" s="47">
        <v>529.4</v>
      </c>
      <c r="BH5" s="47">
        <v>2.2296729599999998</v>
      </c>
      <c r="BI5" s="47">
        <v>175.02932736</v>
      </c>
      <c r="BJ5" s="47"/>
      <c r="BK5" s="47"/>
      <c r="BL5" s="47"/>
      <c r="BM5" s="47"/>
      <c r="BN5" s="47">
        <v>2.7870911999999994</v>
      </c>
      <c r="BO5" s="47">
        <v>218.78665919999997</v>
      </c>
      <c r="BP5" s="48">
        <f t="shared" ref="BP5:BP68" si="0">+AF5+AH5+AJ5+AL5+AN5+AP5+AR5+AT5+AV5+AX5+AZ5+BB5+BD5+BF5+BH5+BJ5+BL5+BN5</f>
        <v>151.08873202812737</v>
      </c>
      <c r="BQ5" s="49">
        <f>+BP5*2</f>
        <v>302.17746405625473</v>
      </c>
      <c r="BR5" s="50">
        <f t="shared" ref="BR5:BR68" si="1">+AG5+AI5+AK5+AM5+AO5+AQ5+AS5+AU5+AW5+AY5+BA5+BC5+BE5+BG5+BI5+BK5+BM5+BO5</f>
        <v>12074.345464208</v>
      </c>
      <c r="BS5" s="49">
        <f>+BR5*2</f>
        <v>24148.690928415999</v>
      </c>
    </row>
    <row r="6" spans="1:71" s="9" customFormat="1" ht="17" x14ac:dyDescent="0.15">
      <c r="A6" s="34" t="s">
        <v>55</v>
      </c>
      <c r="B6" s="35" t="s">
        <v>50</v>
      </c>
      <c r="C6" s="34" t="s">
        <v>56</v>
      </c>
      <c r="D6" s="36" t="s">
        <v>57</v>
      </c>
      <c r="E6" s="37" t="s">
        <v>53</v>
      </c>
      <c r="F6" s="38">
        <v>11.774999999999999</v>
      </c>
      <c r="G6" s="38"/>
      <c r="H6" s="38"/>
      <c r="I6" s="39">
        <v>0</v>
      </c>
      <c r="J6" s="40">
        <v>0</v>
      </c>
      <c r="K6" s="38"/>
      <c r="L6" s="41"/>
      <c r="M6" s="42">
        <f>1.25*2.5</f>
        <v>3.125</v>
      </c>
      <c r="N6" s="42">
        <f>+M6*F6</f>
        <v>36.796874999999993</v>
      </c>
      <c r="O6" s="42"/>
      <c r="P6" s="42"/>
      <c r="Q6" s="42">
        <v>-3.125</v>
      </c>
      <c r="R6" s="42">
        <f>+Q6*F6</f>
        <v>-36.796874999999993</v>
      </c>
      <c r="S6" s="42"/>
      <c r="T6" s="42"/>
      <c r="U6" s="43"/>
      <c r="V6" s="42"/>
      <c r="W6" s="42"/>
      <c r="X6" s="42"/>
      <c r="Y6" s="42"/>
      <c r="Z6" s="42"/>
      <c r="AA6" s="42"/>
      <c r="AB6" s="42"/>
      <c r="AC6" s="44">
        <f t="shared" ref="AC6:AD69" si="2">+I6+AA6</f>
        <v>0</v>
      </c>
      <c r="AD6" s="44">
        <f t="shared" si="2"/>
        <v>0</v>
      </c>
      <c r="AE6" s="45" t="s">
        <v>58</v>
      </c>
      <c r="AF6" s="45"/>
      <c r="AG6" s="45"/>
      <c r="AH6" s="45"/>
      <c r="AI6" s="45"/>
      <c r="AJ6" s="45"/>
      <c r="AK6" s="45"/>
      <c r="AL6" s="45"/>
      <c r="AM6" s="45"/>
      <c r="AN6" s="45"/>
      <c r="AO6" s="45"/>
      <c r="AP6" s="45"/>
      <c r="AQ6" s="45"/>
      <c r="AR6" s="45"/>
      <c r="AS6" s="45"/>
      <c r="AT6" s="45"/>
      <c r="AU6" s="45"/>
      <c r="AV6" s="45"/>
      <c r="AW6" s="45"/>
      <c r="AX6" s="45"/>
      <c r="AY6" s="45"/>
      <c r="AZ6" s="46"/>
      <c r="BA6" s="47"/>
      <c r="BB6" s="47"/>
      <c r="BC6" s="47"/>
      <c r="BD6" s="47"/>
      <c r="BE6" s="47"/>
      <c r="BF6" s="47"/>
      <c r="BG6" s="47"/>
      <c r="BH6" s="47"/>
      <c r="BI6" s="47"/>
      <c r="BJ6" s="47"/>
      <c r="BK6" s="47"/>
      <c r="BL6" s="47"/>
      <c r="BM6" s="47"/>
      <c r="BN6" s="47"/>
      <c r="BO6" s="47"/>
      <c r="BP6" s="48">
        <f t="shared" si="0"/>
        <v>0</v>
      </c>
      <c r="BQ6" s="49">
        <f t="shared" ref="BQ6:BQ69" si="3">+BP6*2</f>
        <v>0</v>
      </c>
      <c r="BR6" s="50">
        <f t="shared" si="1"/>
        <v>0</v>
      </c>
      <c r="BS6" s="49">
        <f t="shared" ref="BS6:BS69" si="4">+BR6*2</f>
        <v>0</v>
      </c>
    </row>
    <row r="7" spans="1:71" s="9" customFormat="1" ht="17" x14ac:dyDescent="0.15">
      <c r="A7" s="34" t="s">
        <v>59</v>
      </c>
      <c r="B7" s="35" t="s">
        <v>50</v>
      </c>
      <c r="C7" s="34" t="s">
        <v>60</v>
      </c>
      <c r="D7" s="36" t="s">
        <v>57</v>
      </c>
      <c r="E7" s="37" t="s">
        <v>53</v>
      </c>
      <c r="F7" s="38">
        <v>23.549999999999997</v>
      </c>
      <c r="G7" s="38"/>
      <c r="H7" s="38"/>
      <c r="I7" s="39">
        <v>0</v>
      </c>
      <c r="J7" s="40">
        <v>0</v>
      </c>
      <c r="K7" s="38"/>
      <c r="L7" s="41"/>
      <c r="M7" s="42">
        <v>9</v>
      </c>
      <c r="N7" s="42">
        <f>+M7*F7</f>
        <v>211.95</v>
      </c>
      <c r="O7" s="42"/>
      <c r="P7" s="42"/>
      <c r="Q7" s="42">
        <v>-9</v>
      </c>
      <c r="R7" s="42">
        <f>+Q7*F7</f>
        <v>-211.95</v>
      </c>
      <c r="S7" s="42"/>
      <c r="T7" s="42"/>
      <c r="U7" s="43"/>
      <c r="V7" s="42"/>
      <c r="W7" s="42"/>
      <c r="X7" s="42"/>
      <c r="Y7" s="42"/>
      <c r="Z7" s="42"/>
      <c r="AA7" s="42"/>
      <c r="AB7" s="42"/>
      <c r="AC7" s="44">
        <f t="shared" si="2"/>
        <v>0</v>
      </c>
      <c r="AD7" s="44">
        <f t="shared" si="2"/>
        <v>0</v>
      </c>
      <c r="AE7" s="45" t="s">
        <v>58</v>
      </c>
      <c r="AF7" s="45"/>
      <c r="AG7" s="45"/>
      <c r="AH7" s="45"/>
      <c r="AI7" s="45"/>
      <c r="AJ7" s="45"/>
      <c r="AK7" s="45"/>
      <c r="AL7" s="45"/>
      <c r="AM7" s="45"/>
      <c r="AN7" s="45"/>
      <c r="AO7" s="45"/>
      <c r="AP7" s="45"/>
      <c r="AQ7" s="45"/>
      <c r="AR7" s="45"/>
      <c r="AS7" s="45"/>
      <c r="AT7" s="45"/>
      <c r="AU7" s="45"/>
      <c r="AV7" s="45"/>
      <c r="AW7" s="45"/>
      <c r="AX7" s="45"/>
      <c r="AY7" s="45"/>
      <c r="AZ7" s="46"/>
      <c r="BA7" s="47"/>
      <c r="BB7" s="47"/>
      <c r="BC7" s="47"/>
      <c r="BD7" s="47"/>
      <c r="BE7" s="47"/>
      <c r="BF7" s="47"/>
      <c r="BG7" s="47"/>
      <c r="BH7" s="47"/>
      <c r="BI7" s="47"/>
      <c r="BJ7" s="47"/>
      <c r="BK7" s="47"/>
      <c r="BL7" s="47"/>
      <c r="BM7" s="47"/>
      <c r="BN7" s="47"/>
      <c r="BO7" s="47"/>
      <c r="BP7" s="48">
        <f t="shared" si="0"/>
        <v>0</v>
      </c>
      <c r="BQ7" s="49">
        <f t="shared" si="3"/>
        <v>0</v>
      </c>
      <c r="BR7" s="50">
        <f t="shared" si="1"/>
        <v>0</v>
      </c>
      <c r="BS7" s="49">
        <f t="shared" si="4"/>
        <v>0</v>
      </c>
    </row>
    <row r="8" spans="1:71" s="9" customFormat="1" ht="17" x14ac:dyDescent="0.15">
      <c r="A8" s="34" t="s">
        <v>61</v>
      </c>
      <c r="B8" s="35" t="s">
        <v>50</v>
      </c>
      <c r="C8" s="34" t="s">
        <v>62</v>
      </c>
      <c r="D8" s="36" t="s">
        <v>57</v>
      </c>
      <c r="E8" s="37" t="s">
        <v>53</v>
      </c>
      <c r="F8" s="38">
        <v>196.25</v>
      </c>
      <c r="G8" s="38">
        <v>1655.2575453350316</v>
      </c>
      <c r="H8" s="38">
        <v>324844.29327199998</v>
      </c>
      <c r="I8" s="39">
        <v>1776</v>
      </c>
      <c r="J8" s="40">
        <v>348540</v>
      </c>
      <c r="K8" s="38"/>
      <c r="L8" s="41"/>
      <c r="M8" s="42">
        <v>24</v>
      </c>
      <c r="N8" s="42">
        <f>+M8*F8</f>
        <v>4710</v>
      </c>
      <c r="O8" s="42">
        <f>73*24</f>
        <v>1752</v>
      </c>
      <c r="P8" s="51">
        <f>+O8*F8</f>
        <v>343830</v>
      </c>
      <c r="Q8" s="51"/>
      <c r="R8" s="51"/>
      <c r="S8" s="51"/>
      <c r="T8" s="51"/>
      <c r="U8" s="52"/>
      <c r="V8" s="51"/>
      <c r="W8" s="51"/>
      <c r="X8" s="51"/>
      <c r="Y8" s="51"/>
      <c r="Z8" s="51"/>
      <c r="AA8" s="51">
        <v>78</v>
      </c>
      <c r="AB8" s="51">
        <f>+AA8*F8</f>
        <v>15307.5</v>
      </c>
      <c r="AC8" s="44">
        <f t="shared" si="2"/>
        <v>1854</v>
      </c>
      <c r="AD8" s="44">
        <f t="shared" si="2"/>
        <v>363847.5</v>
      </c>
      <c r="AE8" s="45" t="s">
        <v>54</v>
      </c>
      <c r="AF8" s="45">
        <v>83.170343949044579</v>
      </c>
      <c r="AG8" s="45">
        <v>16322.179999999997</v>
      </c>
      <c r="AH8" s="45">
        <v>1.4291974522292996</v>
      </c>
      <c r="AI8" s="45">
        <v>280.48</v>
      </c>
      <c r="AJ8" s="45">
        <v>0.71541401273885363</v>
      </c>
      <c r="AK8" s="45">
        <v>140.4</v>
      </c>
      <c r="AL8" s="45">
        <v>0.6</v>
      </c>
      <c r="AM8" s="45">
        <v>117.75</v>
      </c>
      <c r="AN8" s="45"/>
      <c r="AO8" s="45"/>
      <c r="AP8" s="45">
        <v>42.499600000000008</v>
      </c>
      <c r="AQ8" s="45">
        <v>8340.5465000000004</v>
      </c>
      <c r="AR8" s="45">
        <v>130.29968</v>
      </c>
      <c r="AS8" s="45">
        <v>25571.3122</v>
      </c>
      <c r="AT8" s="45">
        <v>152.13993600000001</v>
      </c>
      <c r="AU8" s="45">
        <v>29857.462439999999</v>
      </c>
      <c r="AV8" s="45">
        <v>74.598012738853512</v>
      </c>
      <c r="AW8" s="45">
        <v>14639.86</v>
      </c>
      <c r="AX8" s="45">
        <v>83.756025477707013</v>
      </c>
      <c r="AY8" s="45">
        <v>16437.120000000003</v>
      </c>
      <c r="AZ8" s="46">
        <v>83.749908585987257</v>
      </c>
      <c r="BA8" s="47">
        <v>16435.919559999998</v>
      </c>
      <c r="BB8" s="47">
        <v>159.16899839999999</v>
      </c>
      <c r="BC8" s="47">
        <v>31236.915935999998</v>
      </c>
      <c r="BD8" s="47">
        <v>15.501656050955413</v>
      </c>
      <c r="BE8" s="47">
        <v>3042.2</v>
      </c>
      <c r="BF8" s="47"/>
      <c r="BG8" s="47"/>
      <c r="BH8" s="47"/>
      <c r="BI8" s="47"/>
      <c r="BJ8" s="47"/>
      <c r="BK8" s="47"/>
      <c r="BL8" s="47"/>
      <c r="BM8" s="47"/>
      <c r="BN8" s="47"/>
      <c r="BO8" s="47"/>
      <c r="BP8" s="48">
        <f t="shared" si="0"/>
        <v>827.62877266751582</v>
      </c>
      <c r="BQ8" s="49">
        <f t="shared" si="3"/>
        <v>1655.2575453350316</v>
      </c>
      <c r="BR8" s="50">
        <f t="shared" si="1"/>
        <v>162422.14663599999</v>
      </c>
      <c r="BS8" s="49">
        <f t="shared" si="4"/>
        <v>324844.29327199998</v>
      </c>
    </row>
    <row r="9" spans="1:71" s="9" customFormat="1" ht="17" x14ac:dyDescent="0.15">
      <c r="A9" s="34" t="s">
        <v>63</v>
      </c>
      <c r="B9" s="35" t="s">
        <v>50</v>
      </c>
      <c r="C9" s="34" t="s">
        <v>64</v>
      </c>
      <c r="D9" s="36" t="s">
        <v>57</v>
      </c>
      <c r="E9" s="37" t="s">
        <v>53</v>
      </c>
      <c r="F9" s="38">
        <v>329.7</v>
      </c>
      <c r="G9" s="38">
        <v>13.04932</v>
      </c>
      <c r="H9" s="38">
        <v>4302.3608039999999</v>
      </c>
      <c r="I9" s="39">
        <v>15</v>
      </c>
      <c r="J9" s="40">
        <v>4945.5</v>
      </c>
      <c r="K9" s="38"/>
      <c r="L9" s="41"/>
      <c r="M9" s="42">
        <f>2*7.5</f>
        <v>15</v>
      </c>
      <c r="N9" s="42">
        <f>+M9*F9</f>
        <v>4945.5</v>
      </c>
      <c r="O9" s="42"/>
      <c r="P9" s="42"/>
      <c r="Q9" s="42"/>
      <c r="R9" s="42"/>
      <c r="S9" s="42"/>
      <c r="T9" s="42"/>
      <c r="U9" s="43"/>
      <c r="V9" s="42"/>
      <c r="W9" s="42"/>
      <c r="X9" s="42"/>
      <c r="Y9" s="42"/>
      <c r="Z9" s="42"/>
      <c r="AA9" s="42"/>
      <c r="AB9" s="42"/>
      <c r="AC9" s="44">
        <f t="shared" si="2"/>
        <v>15</v>
      </c>
      <c r="AD9" s="44">
        <f t="shared" si="2"/>
        <v>4945.5</v>
      </c>
      <c r="AE9" s="45" t="s">
        <v>65</v>
      </c>
      <c r="AH9" s="45"/>
      <c r="AI9" s="45"/>
      <c r="AJ9" s="45"/>
      <c r="AK9" s="45"/>
      <c r="AL9" s="45">
        <v>6.5246587807097356</v>
      </c>
      <c r="AM9" s="45">
        <f>4302.36/2</f>
        <v>2151.1799999999998</v>
      </c>
      <c r="AN9" s="45"/>
      <c r="AO9" s="45"/>
      <c r="AP9" s="45"/>
      <c r="AQ9" s="45"/>
      <c r="AR9" s="45"/>
      <c r="AS9" s="45"/>
      <c r="AT9" s="45"/>
      <c r="AU9" s="45"/>
      <c r="AV9" s="45"/>
      <c r="AW9" s="45"/>
      <c r="AX9" s="45"/>
      <c r="AY9" s="45"/>
      <c r="AZ9" s="46"/>
      <c r="BA9" s="47"/>
      <c r="BB9" s="47"/>
      <c r="BC9" s="47"/>
      <c r="BD9" s="47"/>
      <c r="BE9" s="47"/>
      <c r="BF9" s="47"/>
      <c r="BG9" s="47"/>
      <c r="BH9" s="47"/>
      <c r="BI9" s="47"/>
      <c r="BJ9" s="47"/>
      <c r="BK9" s="47"/>
      <c r="BL9" s="47"/>
      <c r="BM9" s="47"/>
      <c r="BN9" s="47"/>
      <c r="BO9" s="47"/>
      <c r="BP9" s="48">
        <f t="shared" si="0"/>
        <v>6.5246587807097356</v>
      </c>
      <c r="BQ9" s="49">
        <f t="shared" si="3"/>
        <v>13.049317561419471</v>
      </c>
      <c r="BR9" s="50">
        <f t="shared" si="1"/>
        <v>2151.1799999999998</v>
      </c>
      <c r="BS9" s="49">
        <f t="shared" si="4"/>
        <v>4302.3599999999997</v>
      </c>
    </row>
    <row r="10" spans="1:71" s="9" customFormat="1" ht="17" x14ac:dyDescent="0.15">
      <c r="A10" s="34" t="s">
        <v>66</v>
      </c>
      <c r="B10" s="35" t="s">
        <v>50</v>
      </c>
      <c r="C10" s="34" t="s">
        <v>67</v>
      </c>
      <c r="D10" s="36" t="s">
        <v>57</v>
      </c>
      <c r="E10" s="37" t="s">
        <v>53</v>
      </c>
      <c r="F10" s="38">
        <v>431.75</v>
      </c>
      <c r="G10" s="38">
        <v>38.72855579713206</v>
      </c>
      <c r="H10" s="38">
        <v>16631.190435999997</v>
      </c>
      <c r="I10" s="39">
        <v>39.799999999999997</v>
      </c>
      <c r="J10" s="40">
        <v>17183.649999999998</v>
      </c>
      <c r="K10" s="38"/>
      <c r="L10" s="41"/>
      <c r="M10" s="42">
        <f>24+7.9*2</f>
        <v>39.799999999999997</v>
      </c>
      <c r="N10" s="42">
        <f>+M10*F10</f>
        <v>17183.649999999998</v>
      </c>
      <c r="O10" s="42"/>
      <c r="P10" s="42"/>
      <c r="Q10" s="42"/>
      <c r="R10" s="42"/>
      <c r="S10" s="42"/>
      <c r="T10" s="42"/>
      <c r="U10" s="43"/>
      <c r="V10" s="42"/>
      <c r="W10" s="42"/>
      <c r="X10" s="42"/>
      <c r="Y10" s="42"/>
      <c r="Z10" s="42"/>
      <c r="AA10" s="42">
        <v>5</v>
      </c>
      <c r="AB10" s="42">
        <f>+AA10*F10</f>
        <v>2158.75</v>
      </c>
      <c r="AC10" s="44">
        <f t="shared" si="2"/>
        <v>44.8</v>
      </c>
      <c r="AD10" s="44">
        <f t="shared" si="2"/>
        <v>19342.399999999998</v>
      </c>
      <c r="AE10" s="45" t="s">
        <v>54</v>
      </c>
      <c r="AF10" s="45"/>
      <c r="AG10" s="45"/>
      <c r="AH10" s="45">
        <v>2.7336421540243201</v>
      </c>
      <c r="AI10" s="45">
        <v>1180.25</v>
      </c>
      <c r="AJ10" s="45">
        <v>1.3670179502026636</v>
      </c>
      <c r="AK10" s="45">
        <v>590.21</v>
      </c>
      <c r="AL10" s="45"/>
      <c r="AM10" s="45"/>
      <c r="AN10" s="45"/>
      <c r="AO10" s="45"/>
      <c r="AP10" s="45"/>
      <c r="AQ10" s="45"/>
      <c r="AR10" s="45">
        <v>2.738632</v>
      </c>
      <c r="AS10" s="45">
        <v>1182.404366</v>
      </c>
      <c r="AT10" s="45">
        <v>2.9843519999999999</v>
      </c>
      <c r="AU10" s="45">
        <v>1288.493976</v>
      </c>
      <c r="AV10" s="45">
        <v>1.4922061378112335</v>
      </c>
      <c r="AW10" s="45">
        <v>644.26</v>
      </c>
      <c r="AX10" s="45">
        <v>1.691163867979155</v>
      </c>
      <c r="AY10" s="45">
        <v>730.16000000000008</v>
      </c>
      <c r="AZ10" s="46">
        <v>1.691163867979155</v>
      </c>
      <c r="BA10" s="47">
        <v>730.16000000000008</v>
      </c>
      <c r="BB10" s="47">
        <v>3.2351520000000007</v>
      </c>
      <c r="BC10" s="47">
        <v>1396.7768759999999</v>
      </c>
      <c r="BD10" s="47">
        <v>1.4309479205695017</v>
      </c>
      <c r="BE10" s="47">
        <v>572.88</v>
      </c>
      <c r="BF10" s="47"/>
      <c r="BG10" s="47"/>
      <c r="BH10" s="47"/>
      <c r="BI10" s="47"/>
      <c r="BJ10" s="47"/>
      <c r="BK10" s="47"/>
      <c r="BL10" s="47"/>
      <c r="BM10" s="47"/>
      <c r="BN10" s="47"/>
      <c r="BO10" s="47"/>
      <c r="BP10" s="48">
        <f t="shared" si="0"/>
        <v>19.36427789856603</v>
      </c>
      <c r="BQ10" s="49">
        <f t="shared" si="3"/>
        <v>38.72855579713206</v>
      </c>
      <c r="BR10" s="50">
        <f t="shared" si="1"/>
        <v>8315.5952179999986</v>
      </c>
      <c r="BS10" s="49">
        <f t="shared" si="4"/>
        <v>16631.190435999997</v>
      </c>
    </row>
    <row r="11" spans="1:71" s="9" customFormat="1" ht="17" x14ac:dyDescent="0.15">
      <c r="A11" s="34" t="s">
        <v>68</v>
      </c>
      <c r="B11" s="35" t="s">
        <v>50</v>
      </c>
      <c r="C11" s="35" t="s">
        <v>69</v>
      </c>
      <c r="D11" s="36" t="s">
        <v>52</v>
      </c>
      <c r="E11" s="37" t="s">
        <v>53</v>
      </c>
      <c r="F11" s="38">
        <v>47.099999999999994</v>
      </c>
      <c r="G11" s="38">
        <v>5061.3759009382347</v>
      </c>
      <c r="H11" s="38">
        <v>238390.80493419085</v>
      </c>
      <c r="I11" s="39">
        <v>3735.4957784832004</v>
      </c>
      <c r="J11" s="40">
        <v>175941.85116655871</v>
      </c>
      <c r="K11" s="38"/>
      <c r="L11" s="41"/>
      <c r="M11" s="42"/>
      <c r="N11" s="42"/>
      <c r="O11" s="42">
        <f>+G11*1.14</f>
        <v>5769.9685270695873</v>
      </c>
      <c r="P11" s="53">
        <f t="shared" ref="P11:P34" si="5">+O11*F11</f>
        <v>271765.51762497751</v>
      </c>
      <c r="Q11" s="53"/>
      <c r="R11" s="53"/>
      <c r="S11" s="53"/>
      <c r="T11" s="53"/>
      <c r="U11" s="54"/>
      <c r="V11" s="53"/>
      <c r="W11" s="53"/>
      <c r="X11" s="53"/>
      <c r="Y11" s="53"/>
      <c r="Z11" s="53"/>
      <c r="AA11" s="53">
        <v>1883</v>
      </c>
      <c r="AB11" s="53">
        <f>+AA11*F11</f>
        <v>88689.299999999988</v>
      </c>
      <c r="AC11" s="44">
        <f t="shared" si="2"/>
        <v>5618.4957784832004</v>
      </c>
      <c r="AD11" s="44">
        <f t="shared" si="2"/>
        <v>264631.15116655873</v>
      </c>
      <c r="AE11" s="45" t="s">
        <v>54</v>
      </c>
      <c r="AF11" s="45">
        <v>4.5231422505307863</v>
      </c>
      <c r="AG11" s="45">
        <v>213.04000000000002</v>
      </c>
      <c r="AH11" s="45">
        <v>550.36518046709136</v>
      </c>
      <c r="AI11" s="45">
        <v>25922.2</v>
      </c>
      <c r="AJ11" s="45">
        <v>412.33821656050958</v>
      </c>
      <c r="AK11" s="45">
        <v>19421.13</v>
      </c>
      <c r="AL11" s="45"/>
      <c r="AM11" s="45"/>
      <c r="AN11" s="45">
        <v>309.18174097664553</v>
      </c>
      <c r="AO11" s="45">
        <v>14562.460000000003</v>
      </c>
      <c r="AP11" s="45"/>
      <c r="AQ11" s="45"/>
      <c r="AR11" s="45">
        <v>108.56649400329998</v>
      </c>
      <c r="AS11" s="45">
        <v>5113.4818675554288</v>
      </c>
      <c r="AT11" s="45">
        <v>191.53686499999998</v>
      </c>
      <c r="AU11" s="45">
        <v>9021.3863414999996</v>
      </c>
      <c r="AV11" s="45">
        <v>176.35307855626328</v>
      </c>
      <c r="AW11" s="45">
        <v>8306.23</v>
      </c>
      <c r="AX11" s="45">
        <v>181.76157112526539</v>
      </c>
      <c r="AY11" s="45">
        <v>8560.9699999999993</v>
      </c>
      <c r="AZ11" s="46">
        <v>154.52924377282378</v>
      </c>
      <c r="BA11" s="47">
        <v>7278.3273816999999</v>
      </c>
      <c r="BB11" s="47">
        <v>174.19320000000002</v>
      </c>
      <c r="BC11" s="47">
        <v>8204.4997199999998</v>
      </c>
      <c r="BD11" s="47"/>
      <c r="BE11" s="47"/>
      <c r="BF11" s="47">
        <v>11.051592356687898</v>
      </c>
      <c r="BG11" s="47">
        <v>520.53</v>
      </c>
      <c r="BH11" s="47"/>
      <c r="BI11" s="47"/>
      <c r="BJ11" s="47"/>
      <c r="BK11" s="47"/>
      <c r="BL11" s="47">
        <v>236.77798699999997</v>
      </c>
      <c r="BM11" s="47">
        <v>11152.243187699998</v>
      </c>
      <c r="BN11" s="47">
        <v>19.5096384</v>
      </c>
      <c r="BO11" s="47">
        <v>918.9039686399999</v>
      </c>
      <c r="BP11" s="48">
        <f t="shared" si="0"/>
        <v>2530.6879504691174</v>
      </c>
      <c r="BQ11" s="49">
        <f t="shared" si="3"/>
        <v>5061.3759009382347</v>
      </c>
      <c r="BR11" s="50">
        <f t="shared" si="1"/>
        <v>119195.40246709542</v>
      </c>
      <c r="BS11" s="49">
        <f t="shared" si="4"/>
        <v>238390.80493419085</v>
      </c>
    </row>
    <row r="12" spans="1:71" s="9" customFormat="1" ht="17" x14ac:dyDescent="0.15">
      <c r="A12" s="34" t="s">
        <v>70</v>
      </c>
      <c r="B12" s="35" t="s">
        <v>50</v>
      </c>
      <c r="C12" s="35" t="s">
        <v>71</v>
      </c>
      <c r="D12" s="36" t="s">
        <v>52</v>
      </c>
      <c r="E12" s="37" t="s">
        <v>53</v>
      </c>
      <c r="F12" s="38">
        <v>94.199999999999989</v>
      </c>
      <c r="G12" s="38">
        <v>192.08413118709132</v>
      </c>
      <c r="H12" s="38">
        <v>18094.325157824002</v>
      </c>
      <c r="I12" s="39">
        <v>65.004404467200004</v>
      </c>
      <c r="J12" s="40">
        <v>6123.4149008102395</v>
      </c>
      <c r="K12" s="38"/>
      <c r="L12" s="41"/>
      <c r="M12" s="42"/>
      <c r="N12" s="42"/>
      <c r="O12" s="42">
        <f t="shared" ref="O12:O23" si="6">+G12*1.13</f>
        <v>217.05506824141315</v>
      </c>
      <c r="P12" s="53">
        <f t="shared" si="5"/>
        <v>20446.587428341118</v>
      </c>
      <c r="Q12" s="53"/>
      <c r="R12" s="53"/>
      <c r="S12" s="53">
        <v>17.98</v>
      </c>
      <c r="T12" s="42">
        <f>+S12*F12</f>
        <v>1693.7159999999999</v>
      </c>
      <c r="U12" s="43"/>
      <c r="V12" s="42"/>
      <c r="W12" s="42"/>
      <c r="X12" s="42"/>
      <c r="Y12" s="42">
        <v>17</v>
      </c>
      <c r="Z12" s="42">
        <f>+Y12*F12</f>
        <v>1601.3999999999999</v>
      </c>
      <c r="AA12" s="42">
        <v>148</v>
      </c>
      <c r="AB12" s="42">
        <f>+AA12*F12</f>
        <v>13941.599999999999</v>
      </c>
      <c r="AC12" s="44">
        <f t="shared" si="2"/>
        <v>213.0044044672</v>
      </c>
      <c r="AD12" s="44">
        <f t="shared" si="2"/>
        <v>20065.014900810238</v>
      </c>
      <c r="AE12" s="45" t="s">
        <v>54</v>
      </c>
      <c r="AF12" s="45">
        <v>5.5451167728237785</v>
      </c>
      <c r="AG12" s="45">
        <v>522.34999999999991</v>
      </c>
      <c r="AH12" s="45">
        <v>6.3930997876857747</v>
      </c>
      <c r="AI12" s="45">
        <v>602.2299999999999</v>
      </c>
      <c r="AJ12" s="45">
        <v>1.4009554140127389</v>
      </c>
      <c r="AK12" s="45">
        <v>131.97</v>
      </c>
      <c r="AL12" s="45"/>
      <c r="AM12" s="45"/>
      <c r="AN12" s="55">
        <v>0.10360934182590234</v>
      </c>
      <c r="AO12" s="55">
        <v>9.76</v>
      </c>
      <c r="AP12" s="55"/>
      <c r="AQ12" s="55"/>
      <c r="AR12" s="56">
        <v>1.5504000000000002E-2</v>
      </c>
      <c r="AS12" s="56">
        <v>1.4604768000000001</v>
      </c>
      <c r="AT12" s="56">
        <v>16.497272000000002</v>
      </c>
      <c r="AU12" s="56">
        <v>1554.0430223999999</v>
      </c>
      <c r="AV12" s="56">
        <v>3.9278131634819533E-3</v>
      </c>
      <c r="AW12" s="56">
        <v>0.37</v>
      </c>
      <c r="AX12" s="56">
        <v>11.298832271762208</v>
      </c>
      <c r="AY12" s="56">
        <v>1064.3499999999999</v>
      </c>
      <c r="AZ12" s="46">
        <v>3.9278131634819533E-3</v>
      </c>
      <c r="BA12" s="47">
        <v>0.37</v>
      </c>
      <c r="BB12" s="47">
        <v>0.18580608000000001</v>
      </c>
      <c r="BC12" s="47">
        <v>17.502932736000002</v>
      </c>
      <c r="BD12" s="47">
        <v>3.1479830148619961</v>
      </c>
      <c r="BE12" s="47">
        <v>296.54000000000002</v>
      </c>
      <c r="BF12" s="47">
        <v>30.235138004246291</v>
      </c>
      <c r="BG12" s="47">
        <v>2848.1500000000005</v>
      </c>
      <c r="BH12" s="47">
        <v>12.263201280000001</v>
      </c>
      <c r="BI12" s="47">
        <v>1155.193560576</v>
      </c>
      <c r="BJ12" s="47"/>
      <c r="BK12" s="47"/>
      <c r="BL12" s="47">
        <v>8.947692</v>
      </c>
      <c r="BM12" s="47">
        <v>842.87258639999993</v>
      </c>
      <c r="BN12" s="47"/>
      <c r="BO12" s="47"/>
      <c r="BP12" s="48">
        <f t="shared" si="0"/>
        <v>96.042065593545658</v>
      </c>
      <c r="BQ12" s="49">
        <f t="shared" si="3"/>
        <v>192.08413118709132</v>
      </c>
      <c r="BR12" s="50">
        <f t="shared" si="1"/>
        <v>9047.1625789120008</v>
      </c>
      <c r="BS12" s="49">
        <f t="shared" si="4"/>
        <v>18094.325157824002</v>
      </c>
    </row>
    <row r="13" spans="1:71" s="9" customFormat="1" ht="17" x14ac:dyDescent="0.15">
      <c r="A13" s="34" t="s">
        <v>72</v>
      </c>
      <c r="B13" s="35" t="s">
        <v>50</v>
      </c>
      <c r="C13" s="35" t="s">
        <v>73</v>
      </c>
      <c r="D13" s="36" t="s">
        <v>52</v>
      </c>
      <c r="E13" s="37" t="s">
        <v>53</v>
      </c>
      <c r="F13" s="38">
        <v>125.6</v>
      </c>
      <c r="G13" s="38">
        <v>255.024630766879</v>
      </c>
      <c r="H13" s="38">
        <v>32031.093624320001</v>
      </c>
      <c r="I13" s="39">
        <v>34.013661004799999</v>
      </c>
      <c r="J13" s="40">
        <v>4272.1158222028798</v>
      </c>
      <c r="K13" s="38"/>
      <c r="L13" s="41"/>
      <c r="M13" s="42"/>
      <c r="N13" s="42"/>
      <c r="O13" s="42">
        <f t="shared" si="6"/>
        <v>288.17783276657326</v>
      </c>
      <c r="P13" s="53">
        <f t="shared" si="5"/>
        <v>36195.135795481598</v>
      </c>
      <c r="Q13" s="53"/>
      <c r="R13" s="53"/>
      <c r="S13" s="53"/>
      <c r="T13" s="53"/>
      <c r="U13" s="54"/>
      <c r="V13" s="53"/>
      <c r="W13" s="53"/>
      <c r="X13" s="53"/>
      <c r="Y13" s="53"/>
      <c r="Z13" s="53"/>
      <c r="AA13" s="53">
        <v>249</v>
      </c>
      <c r="AB13" s="53">
        <f>+AA13*F13</f>
        <v>31274.399999999998</v>
      </c>
      <c r="AC13" s="44">
        <f t="shared" si="2"/>
        <v>283.01366100479999</v>
      </c>
      <c r="AD13" s="44">
        <f t="shared" si="2"/>
        <v>35546.515822202877</v>
      </c>
      <c r="AE13" s="45" t="s">
        <v>54</v>
      </c>
      <c r="AF13" s="45"/>
      <c r="AG13" s="45"/>
      <c r="AH13" s="45"/>
      <c r="AI13" s="45"/>
      <c r="AJ13" s="45"/>
      <c r="AK13" s="45"/>
      <c r="AL13" s="45"/>
      <c r="AM13" s="45"/>
      <c r="AN13" s="45"/>
      <c r="AO13" s="45"/>
      <c r="AP13" s="45"/>
      <c r="AQ13" s="45"/>
      <c r="AR13" s="45">
        <v>3.7955520000000003</v>
      </c>
      <c r="AS13" s="45">
        <v>476.72133120000001</v>
      </c>
      <c r="AT13" s="45">
        <v>4.9017599999999995</v>
      </c>
      <c r="AU13" s="45">
        <v>615.66105599999992</v>
      </c>
      <c r="AV13" s="45">
        <v>2.4464968152866242</v>
      </c>
      <c r="AW13" s="45">
        <v>307.27999999999997</v>
      </c>
      <c r="AX13" s="45">
        <v>3.2671974522292997</v>
      </c>
      <c r="AY13" s="45">
        <v>410.36</v>
      </c>
      <c r="AZ13" s="46">
        <v>3.3480891719745225</v>
      </c>
      <c r="BA13" s="47">
        <v>420.52</v>
      </c>
      <c r="BB13" s="47">
        <v>5.6670854400000001</v>
      </c>
      <c r="BC13" s="47">
        <v>711.78593126399994</v>
      </c>
      <c r="BD13" s="47">
        <v>1.5211783439490447</v>
      </c>
      <c r="BE13" s="47">
        <v>191.06</v>
      </c>
      <c r="BF13" s="47"/>
      <c r="BG13" s="47"/>
      <c r="BH13" s="47">
        <v>102.56495616000001</v>
      </c>
      <c r="BI13" s="47">
        <v>12882.158493696001</v>
      </c>
      <c r="BJ13" s="47"/>
      <c r="BK13" s="47"/>
      <c r="BL13" s="47"/>
      <c r="BM13" s="47"/>
      <c r="BN13" s="47"/>
      <c r="BO13" s="47"/>
      <c r="BP13" s="48">
        <f t="shared" si="0"/>
        <v>127.5123153834395</v>
      </c>
      <c r="BQ13" s="49">
        <f t="shared" si="3"/>
        <v>255.024630766879</v>
      </c>
      <c r="BR13" s="50">
        <f t="shared" si="1"/>
        <v>16015.546812160001</v>
      </c>
      <c r="BS13" s="49">
        <f t="shared" si="4"/>
        <v>32031.093624320001</v>
      </c>
    </row>
    <row r="14" spans="1:71" s="9" customFormat="1" ht="17" x14ac:dyDescent="0.15">
      <c r="A14" s="34" t="s">
        <v>74</v>
      </c>
      <c r="B14" s="35" t="s">
        <v>50</v>
      </c>
      <c r="C14" s="35" t="s">
        <v>75</v>
      </c>
      <c r="D14" s="36" t="s">
        <v>52</v>
      </c>
      <c r="E14" s="37" t="s">
        <v>53</v>
      </c>
      <c r="F14" s="38">
        <v>157</v>
      </c>
      <c r="G14" s="38">
        <v>81.253986820891726</v>
      </c>
      <c r="H14" s="38">
        <v>12729.764598144</v>
      </c>
      <c r="I14" s="39">
        <v>24</v>
      </c>
      <c r="J14" s="40">
        <v>3768</v>
      </c>
      <c r="K14" s="38"/>
      <c r="L14" s="41"/>
      <c r="M14" s="42"/>
      <c r="N14" s="42"/>
      <c r="O14" s="42">
        <v>24</v>
      </c>
      <c r="P14" s="53">
        <f t="shared" si="5"/>
        <v>3768</v>
      </c>
      <c r="Q14" s="53"/>
      <c r="R14" s="53"/>
      <c r="S14" s="53"/>
      <c r="T14" s="53"/>
      <c r="U14" s="54"/>
      <c r="V14" s="53"/>
      <c r="W14" s="53"/>
      <c r="X14" s="53"/>
      <c r="Y14" s="53"/>
      <c r="Z14" s="53"/>
      <c r="AA14" s="53">
        <v>67</v>
      </c>
      <c r="AB14" s="53">
        <f>+AA14*F14</f>
        <v>10519</v>
      </c>
      <c r="AC14" s="44">
        <f t="shared" si="2"/>
        <v>91</v>
      </c>
      <c r="AD14" s="44">
        <f t="shared" si="2"/>
        <v>14287</v>
      </c>
      <c r="AE14" s="45" t="s">
        <v>54</v>
      </c>
      <c r="AF14" s="45">
        <v>3.3355414012738853</v>
      </c>
      <c r="AG14" s="45">
        <v>523.67999999999995</v>
      </c>
      <c r="AH14" s="45"/>
      <c r="AI14" s="45"/>
      <c r="AJ14" s="45"/>
      <c r="AK14" s="45"/>
      <c r="AL14" s="45"/>
      <c r="AM14" s="45"/>
      <c r="AN14" s="45"/>
      <c r="AO14" s="45"/>
      <c r="AP14" s="45"/>
      <c r="AQ14" s="45"/>
      <c r="AR14" s="45">
        <v>2.4036800000000005</v>
      </c>
      <c r="AS14" s="45">
        <v>377.37776000000002</v>
      </c>
      <c r="AT14" s="45">
        <v>2.658528</v>
      </c>
      <c r="AU14" s="45">
        <v>417.38889599999999</v>
      </c>
      <c r="AV14" s="45">
        <v>1.3014012738853502</v>
      </c>
      <c r="AW14" s="45">
        <v>204.32</v>
      </c>
      <c r="AX14" s="45">
        <v>1.5667515923566879</v>
      </c>
      <c r="AY14" s="45">
        <v>245.98</v>
      </c>
      <c r="AZ14" s="46">
        <v>1.5667515923566879</v>
      </c>
      <c r="BA14" s="47">
        <v>245.98</v>
      </c>
      <c r="BB14" s="47">
        <v>3.0658003200000001</v>
      </c>
      <c r="BC14" s="47">
        <v>481.33065024000001</v>
      </c>
      <c r="BD14" s="47">
        <v>1.0476433121019109</v>
      </c>
      <c r="BE14" s="47">
        <v>164.48</v>
      </c>
      <c r="BF14" s="47">
        <v>21.675350318471338</v>
      </c>
      <c r="BG14" s="47">
        <v>3403.03</v>
      </c>
      <c r="BH14" s="47">
        <v>0.27870911999999998</v>
      </c>
      <c r="BI14" s="47">
        <v>43.757331839999999</v>
      </c>
      <c r="BJ14" s="47"/>
      <c r="BK14" s="47"/>
      <c r="BL14" s="47">
        <v>0.6120000000000001</v>
      </c>
      <c r="BM14" s="47">
        <v>91.279800000000009</v>
      </c>
      <c r="BN14" s="47">
        <v>1.1148364800000001</v>
      </c>
      <c r="BO14" s="47">
        <v>166.277860992</v>
      </c>
      <c r="BP14" s="48">
        <f t="shared" si="0"/>
        <v>40.626993410445863</v>
      </c>
      <c r="BQ14" s="49">
        <f t="shared" si="3"/>
        <v>81.253986820891726</v>
      </c>
      <c r="BR14" s="50">
        <f t="shared" si="1"/>
        <v>6364.882299072</v>
      </c>
      <c r="BS14" s="49">
        <f t="shared" si="4"/>
        <v>12729.764598144</v>
      </c>
    </row>
    <row r="15" spans="1:71" s="9" customFormat="1" ht="17" x14ac:dyDescent="0.15">
      <c r="A15" s="34" t="s">
        <v>76</v>
      </c>
      <c r="B15" s="35" t="s">
        <v>50</v>
      </c>
      <c r="C15" s="35" t="s">
        <v>77</v>
      </c>
      <c r="D15" s="36" t="s">
        <v>52</v>
      </c>
      <c r="E15" s="37" t="s">
        <v>53</v>
      </c>
      <c r="F15" s="38">
        <v>219.8</v>
      </c>
      <c r="G15" s="38">
        <v>5.1387721157241133</v>
      </c>
      <c r="H15" s="38">
        <v>1129.5021110361599</v>
      </c>
      <c r="I15" s="39">
        <v>12</v>
      </c>
      <c r="J15" s="40">
        <v>2637.6000000000004</v>
      </c>
      <c r="K15" s="38"/>
      <c r="L15" s="41"/>
      <c r="M15" s="42"/>
      <c r="N15" s="42"/>
      <c r="O15" s="42">
        <v>12</v>
      </c>
      <c r="P15" s="53">
        <f t="shared" si="5"/>
        <v>2637.6000000000004</v>
      </c>
      <c r="Q15" s="53"/>
      <c r="R15" s="53"/>
      <c r="S15" s="53"/>
      <c r="T15" s="53"/>
      <c r="U15" s="54"/>
      <c r="V15" s="53"/>
      <c r="W15" s="53"/>
      <c r="X15" s="53"/>
      <c r="Y15" s="53"/>
      <c r="Z15" s="53"/>
      <c r="AA15" s="53"/>
      <c r="AB15" s="53"/>
      <c r="AC15" s="44">
        <f t="shared" si="2"/>
        <v>12</v>
      </c>
      <c r="AD15" s="44">
        <f t="shared" si="2"/>
        <v>2637.6000000000004</v>
      </c>
      <c r="AE15" s="45" t="s">
        <v>78</v>
      </c>
      <c r="AF15" s="45"/>
      <c r="AG15" s="45"/>
      <c r="AH15" s="45"/>
      <c r="AI15" s="45"/>
      <c r="AJ15" s="45"/>
      <c r="AK15" s="45"/>
      <c r="AL15" s="45"/>
      <c r="AM15" s="45"/>
      <c r="AN15" s="45"/>
      <c r="AO15" s="45"/>
      <c r="AP15" s="45"/>
      <c r="AQ15" s="45"/>
      <c r="AR15" s="45">
        <v>0.40642064960000002</v>
      </c>
      <c r="AS15" s="45">
        <v>89.331258782079999</v>
      </c>
      <c r="AT15" s="45">
        <v>0.69529600000000003</v>
      </c>
      <c r="AU15" s="45">
        <v>152.82606079999999</v>
      </c>
      <c r="AV15" s="55">
        <v>0.18839854413102822</v>
      </c>
      <c r="AW15" s="55">
        <v>41.41</v>
      </c>
      <c r="AX15" s="55">
        <v>0.18839854413102822</v>
      </c>
      <c r="AY15" s="55">
        <v>41.41</v>
      </c>
      <c r="AZ15" s="46">
        <v>0.34764800000000001</v>
      </c>
      <c r="BA15" s="47">
        <v>76.413030399999997</v>
      </c>
      <c r="BB15" s="47">
        <v>0.74322431999999994</v>
      </c>
      <c r="BC15" s="47">
        <v>163.36070553599998</v>
      </c>
      <c r="BD15" s="47"/>
      <c r="BE15" s="47"/>
      <c r="BF15" s="47"/>
      <c r="BG15" s="47"/>
      <c r="BH15" s="47"/>
      <c r="BI15" s="47"/>
      <c r="BJ15" s="47"/>
      <c r="BK15" s="47"/>
      <c r="BL15" s="47"/>
      <c r="BM15" s="47"/>
      <c r="BN15" s="47"/>
      <c r="BO15" s="47"/>
      <c r="BP15" s="48">
        <f t="shared" si="0"/>
        <v>2.5693860578620566</v>
      </c>
      <c r="BQ15" s="49">
        <f t="shared" si="3"/>
        <v>5.1387721157241133</v>
      </c>
      <c r="BR15" s="50">
        <f t="shared" si="1"/>
        <v>564.75105551807997</v>
      </c>
      <c r="BS15" s="49">
        <f t="shared" si="4"/>
        <v>1129.5021110361599</v>
      </c>
    </row>
    <row r="16" spans="1:71" s="9" customFormat="1" ht="17" x14ac:dyDescent="0.15">
      <c r="A16" s="34" t="s">
        <v>79</v>
      </c>
      <c r="B16" s="35" t="s">
        <v>50</v>
      </c>
      <c r="C16" s="35" t="s">
        <v>80</v>
      </c>
      <c r="D16" s="36" t="s">
        <v>52</v>
      </c>
      <c r="E16" s="37" t="s">
        <v>53</v>
      </c>
      <c r="F16" s="38">
        <v>392.5</v>
      </c>
      <c r="G16" s="38">
        <v>20.385931617834398</v>
      </c>
      <c r="H16" s="38">
        <v>8001.4781600000006</v>
      </c>
      <c r="I16" s="39">
        <v>18</v>
      </c>
      <c r="J16" s="40">
        <v>7065</v>
      </c>
      <c r="K16" s="38"/>
      <c r="L16" s="41"/>
      <c r="M16" s="42"/>
      <c r="N16" s="42"/>
      <c r="O16" s="42">
        <v>18</v>
      </c>
      <c r="P16" s="53">
        <f t="shared" si="5"/>
        <v>7065</v>
      </c>
      <c r="Q16" s="53"/>
      <c r="R16" s="53"/>
      <c r="S16" s="53"/>
      <c r="T16" s="53"/>
      <c r="U16" s="54"/>
      <c r="V16" s="53"/>
      <c r="W16" s="53"/>
      <c r="X16" s="53"/>
      <c r="Y16" s="53"/>
      <c r="Z16" s="53"/>
      <c r="AA16" s="53">
        <v>5</v>
      </c>
      <c r="AB16" s="53"/>
      <c r="AC16" s="44">
        <f t="shared" si="2"/>
        <v>23</v>
      </c>
      <c r="AD16" s="44">
        <f t="shared" si="2"/>
        <v>7065</v>
      </c>
      <c r="AE16" s="45" t="s">
        <v>54</v>
      </c>
      <c r="AF16" s="45"/>
      <c r="AG16" s="45"/>
      <c r="AH16" s="45"/>
      <c r="AI16" s="45"/>
      <c r="AJ16" s="45"/>
      <c r="AK16" s="45"/>
      <c r="AL16" s="45"/>
      <c r="AM16" s="45"/>
      <c r="AN16" s="45"/>
      <c r="AO16" s="45"/>
      <c r="AP16" s="45"/>
      <c r="AQ16" s="45"/>
      <c r="AR16" s="45">
        <v>2.0784000000000002</v>
      </c>
      <c r="AS16" s="45">
        <v>815.77200000000005</v>
      </c>
      <c r="AT16" s="45">
        <v>2.3168000000000002</v>
      </c>
      <c r="AU16" s="45">
        <v>909.34400000000005</v>
      </c>
      <c r="AV16" s="45">
        <v>1.1583949044585988</v>
      </c>
      <c r="AW16" s="45">
        <v>454.67</v>
      </c>
      <c r="AX16" s="45">
        <v>1.1583949044585988</v>
      </c>
      <c r="AY16" s="45">
        <v>454.67</v>
      </c>
      <c r="AZ16" s="46">
        <v>1.1584000000000001</v>
      </c>
      <c r="BA16" s="47">
        <v>454.67200000000003</v>
      </c>
      <c r="BB16" s="47">
        <v>2.3225760000000002</v>
      </c>
      <c r="BC16" s="47">
        <v>911.61108000000002</v>
      </c>
      <c r="BD16" s="47"/>
      <c r="BE16" s="47"/>
      <c r="BF16" s="47"/>
      <c r="BG16" s="47"/>
      <c r="BH16" s="47"/>
      <c r="BI16" s="47"/>
      <c r="BJ16" s="47"/>
      <c r="BK16" s="47"/>
      <c r="BL16" s="47"/>
      <c r="BM16" s="47"/>
      <c r="BN16" s="47"/>
      <c r="BO16" s="47"/>
      <c r="BP16" s="48">
        <f t="shared" si="0"/>
        <v>10.192965808917199</v>
      </c>
      <c r="BQ16" s="49">
        <f t="shared" si="3"/>
        <v>20.385931617834398</v>
      </c>
      <c r="BR16" s="50">
        <f t="shared" si="1"/>
        <v>4000.7390800000003</v>
      </c>
      <c r="BS16" s="49">
        <f t="shared" si="4"/>
        <v>8001.4781600000006</v>
      </c>
    </row>
    <row r="17" spans="1:71" s="9" customFormat="1" ht="17" x14ac:dyDescent="0.15">
      <c r="A17" s="34" t="s">
        <v>81</v>
      </c>
      <c r="B17" s="35" t="s">
        <v>50</v>
      </c>
      <c r="C17" s="35" t="s">
        <v>71</v>
      </c>
      <c r="D17" s="36" t="s">
        <v>57</v>
      </c>
      <c r="E17" s="37" t="s">
        <v>53</v>
      </c>
      <c r="F17" s="38">
        <v>94.199999999999989</v>
      </c>
      <c r="G17" s="38">
        <v>108.4273261044586</v>
      </c>
      <c r="H17" s="38">
        <v>10213.854119039999</v>
      </c>
      <c r="I17" s="39">
        <v>134.0438518688</v>
      </c>
      <c r="J17" s="40">
        <v>12626.38392604096</v>
      </c>
      <c r="K17" s="38"/>
      <c r="L17" s="41"/>
      <c r="M17" s="42"/>
      <c r="N17" s="42"/>
      <c r="O17" s="42">
        <f t="shared" si="6"/>
        <v>122.52287849803821</v>
      </c>
      <c r="P17" s="53">
        <f t="shared" si="5"/>
        <v>11541.655154515198</v>
      </c>
      <c r="Q17" s="53"/>
      <c r="R17" s="53"/>
      <c r="S17" s="53"/>
      <c r="T17" s="53"/>
      <c r="U17" s="54"/>
      <c r="V17" s="53"/>
      <c r="W17" s="53"/>
      <c r="X17" s="53"/>
      <c r="Y17" s="53"/>
      <c r="Z17" s="53"/>
      <c r="AA17" s="53"/>
      <c r="AB17" s="53"/>
      <c r="AC17" s="44">
        <f t="shared" si="2"/>
        <v>134.0438518688</v>
      </c>
      <c r="AD17" s="44">
        <f t="shared" si="2"/>
        <v>12626.38392604096</v>
      </c>
      <c r="AE17" s="45" t="s">
        <v>78</v>
      </c>
      <c r="AF17" s="45">
        <v>43.992887473460726</v>
      </c>
      <c r="AG17" s="45">
        <v>4144.13</v>
      </c>
      <c r="AH17" s="45"/>
      <c r="AI17" s="45"/>
      <c r="AJ17" s="45"/>
      <c r="AK17" s="45"/>
      <c r="AL17" s="45"/>
      <c r="AM17" s="45"/>
      <c r="AN17" s="45"/>
      <c r="AO17" s="45"/>
      <c r="AP17" s="45">
        <v>5.0669519999999997</v>
      </c>
      <c r="AQ17" s="45">
        <v>477.30687839999996</v>
      </c>
      <c r="AR17" s="45">
        <v>0.75240000000000007</v>
      </c>
      <c r="AS17" s="45">
        <v>70.876080000000002</v>
      </c>
      <c r="AT17" s="45">
        <v>0.83356799999999986</v>
      </c>
      <c r="AU17" s="45">
        <v>78.522105599999989</v>
      </c>
      <c r="AV17" s="55">
        <v>0.41677282377919322</v>
      </c>
      <c r="AW17" s="55">
        <v>39.26</v>
      </c>
      <c r="AX17" s="55">
        <v>0.87876857749469217</v>
      </c>
      <c r="AY17" s="55">
        <v>82.78</v>
      </c>
      <c r="AZ17" s="46">
        <v>0.87876857749469217</v>
      </c>
      <c r="BA17" s="47">
        <v>82.78</v>
      </c>
      <c r="BB17" s="47">
        <v>1.3935455999999999</v>
      </c>
      <c r="BC17" s="47">
        <v>131.27199551999999</v>
      </c>
      <c r="BD17" s="47"/>
      <c r="BE17" s="47"/>
      <c r="BF17" s="47"/>
      <c r="BG17" s="47"/>
      <c r="BH17" s="47"/>
      <c r="BI17" s="47"/>
      <c r="BJ17" s="47"/>
      <c r="BK17" s="47"/>
      <c r="BL17" s="47"/>
      <c r="BM17" s="47"/>
      <c r="BN17" s="47"/>
      <c r="BO17" s="47"/>
      <c r="BP17" s="48">
        <f t="shared" si="0"/>
        <v>54.2136630522293</v>
      </c>
      <c r="BQ17" s="49">
        <f t="shared" si="3"/>
        <v>108.4273261044586</v>
      </c>
      <c r="BR17" s="50">
        <f t="shared" si="1"/>
        <v>5106.9270595199996</v>
      </c>
      <c r="BS17" s="49">
        <f t="shared" si="4"/>
        <v>10213.854119039999</v>
      </c>
    </row>
    <row r="18" spans="1:71" s="9" customFormat="1" ht="17" x14ac:dyDescent="0.15">
      <c r="A18" s="34" t="s">
        <v>82</v>
      </c>
      <c r="B18" s="35" t="s">
        <v>50</v>
      </c>
      <c r="C18" s="35" t="s">
        <v>83</v>
      </c>
      <c r="D18" s="36" t="s">
        <v>57</v>
      </c>
      <c r="E18" s="37" t="s">
        <v>53</v>
      </c>
      <c r="F18" s="38">
        <f>20*7.85</f>
        <v>157</v>
      </c>
      <c r="G18" s="38">
        <v>716.04068446165616</v>
      </c>
      <c r="H18" s="38">
        <v>112406.718838656</v>
      </c>
      <c r="I18" s="39">
        <v>811.49093328640004</v>
      </c>
      <c r="J18" s="40">
        <v>121035.50780966655</v>
      </c>
      <c r="K18" s="38"/>
      <c r="L18" s="41"/>
      <c r="M18" s="42"/>
      <c r="N18" s="42"/>
      <c r="O18" s="42">
        <f t="shared" si="6"/>
        <v>809.12597344167136</v>
      </c>
      <c r="P18" s="53">
        <f t="shared" si="5"/>
        <v>127032.7778303424</v>
      </c>
      <c r="Q18" s="53"/>
      <c r="R18" s="53"/>
      <c r="S18" s="53"/>
      <c r="T18" s="53"/>
      <c r="U18" s="54"/>
      <c r="V18" s="53"/>
      <c r="W18" s="53"/>
      <c r="X18" s="53"/>
      <c r="Y18" s="53"/>
      <c r="Z18" s="53"/>
      <c r="AA18" s="53"/>
      <c r="AB18" s="53"/>
      <c r="AC18" s="44">
        <f t="shared" si="2"/>
        <v>811.49093328640004</v>
      </c>
      <c r="AD18" s="44">
        <f t="shared" si="2"/>
        <v>121035.50780966655</v>
      </c>
      <c r="AE18" s="45" t="s">
        <v>78</v>
      </c>
      <c r="AF18" s="45">
        <v>142.20617834394903</v>
      </c>
      <c r="AG18" s="45">
        <v>22326.37</v>
      </c>
      <c r="AH18" s="45">
        <v>140.93783439490446</v>
      </c>
      <c r="AI18" s="45">
        <v>22127.239999999998</v>
      </c>
      <c r="AJ18" s="45">
        <v>71.36477707006371</v>
      </c>
      <c r="AK18" s="45">
        <v>11204.27</v>
      </c>
      <c r="AL18" s="45"/>
      <c r="AM18" s="45"/>
      <c r="AN18" s="45"/>
      <c r="AO18" s="45"/>
      <c r="AP18" s="45"/>
      <c r="AQ18" s="45"/>
      <c r="AR18" s="45">
        <v>0.74434400000000001</v>
      </c>
      <c r="AS18" s="45">
        <v>116.862008</v>
      </c>
      <c r="AT18" s="45">
        <v>1.3806720000000001</v>
      </c>
      <c r="AU18" s="45">
        <v>216.76550399999999</v>
      </c>
      <c r="AV18" s="45">
        <v>0.64331210191082799</v>
      </c>
      <c r="AW18" s="45">
        <v>101</v>
      </c>
      <c r="AX18" s="45"/>
      <c r="AY18" s="45"/>
      <c r="AZ18" s="46"/>
      <c r="BA18" s="47"/>
      <c r="BB18" s="47">
        <v>0.74322432000000005</v>
      </c>
      <c r="BC18" s="47">
        <v>110.85190732800001</v>
      </c>
      <c r="BD18" s="47"/>
      <c r="BE18" s="47"/>
      <c r="BF18" s="47"/>
      <c r="BG18" s="47"/>
      <c r="BH18" s="47"/>
      <c r="BI18" s="47"/>
      <c r="BJ18" s="47"/>
      <c r="BK18" s="47"/>
      <c r="BL18" s="47"/>
      <c r="BM18" s="47"/>
      <c r="BN18" s="47"/>
      <c r="BO18" s="47"/>
      <c r="BP18" s="48">
        <f t="shared" si="0"/>
        <v>358.02034223082808</v>
      </c>
      <c r="BQ18" s="49">
        <f t="shared" si="3"/>
        <v>716.04068446165616</v>
      </c>
      <c r="BR18" s="50">
        <f t="shared" si="1"/>
        <v>56203.359419328001</v>
      </c>
      <c r="BS18" s="49">
        <f t="shared" si="4"/>
        <v>112406.718838656</v>
      </c>
    </row>
    <row r="19" spans="1:71" s="9" customFormat="1" ht="17" x14ac:dyDescent="0.15">
      <c r="A19" s="34" t="s">
        <v>84</v>
      </c>
      <c r="B19" s="35" t="s">
        <v>50</v>
      </c>
      <c r="C19" s="35" t="s">
        <v>77</v>
      </c>
      <c r="D19" s="36" t="s">
        <v>57</v>
      </c>
      <c r="E19" s="37" t="s">
        <v>53</v>
      </c>
      <c r="F19" s="38">
        <v>219.8</v>
      </c>
      <c r="G19" s="38">
        <v>4.971253810081893</v>
      </c>
      <c r="H19" s="38">
        <v>1092.681587456</v>
      </c>
      <c r="I19" s="39">
        <v>12</v>
      </c>
      <c r="J19" s="40">
        <v>2637.6000000000004</v>
      </c>
      <c r="K19" s="38"/>
      <c r="L19" s="41"/>
      <c r="M19" s="42"/>
      <c r="N19" s="42"/>
      <c r="O19" s="42">
        <v>12</v>
      </c>
      <c r="P19" s="53">
        <f t="shared" si="5"/>
        <v>2637.6000000000004</v>
      </c>
      <c r="Q19" s="53"/>
      <c r="R19" s="53"/>
      <c r="S19" s="53"/>
      <c r="T19" s="53"/>
      <c r="U19" s="54"/>
      <c r="V19" s="53"/>
      <c r="W19" s="53"/>
      <c r="X19" s="53"/>
      <c r="Y19" s="53"/>
      <c r="Z19" s="53"/>
      <c r="AA19" s="53"/>
      <c r="AB19" s="53"/>
      <c r="AC19" s="44">
        <f t="shared" si="2"/>
        <v>12</v>
      </c>
      <c r="AD19" s="44">
        <f t="shared" si="2"/>
        <v>2637.6000000000004</v>
      </c>
      <c r="AE19" s="45" t="s">
        <v>78</v>
      </c>
      <c r="AF19" s="45"/>
      <c r="AG19" s="45"/>
      <c r="AH19" s="45"/>
      <c r="AI19" s="45"/>
      <c r="AJ19" s="45"/>
      <c r="AK19" s="45"/>
      <c r="AL19" s="45"/>
      <c r="AM19" s="45"/>
      <c r="AN19" s="45"/>
      <c r="AO19" s="45"/>
      <c r="AP19" s="45"/>
      <c r="AQ19" s="45"/>
      <c r="AR19" s="45"/>
      <c r="AS19" s="45"/>
      <c r="AT19" s="45"/>
      <c r="AU19" s="45"/>
      <c r="AV19" s="45"/>
      <c r="AW19" s="45"/>
      <c r="AX19" s="45">
        <v>0.82474977252047321</v>
      </c>
      <c r="AY19" s="45">
        <v>181.28</v>
      </c>
      <c r="AZ19" s="46">
        <v>0.82474977252047321</v>
      </c>
      <c r="BA19" s="47">
        <v>181.28</v>
      </c>
      <c r="BB19" s="47">
        <v>0.83612736000000021</v>
      </c>
      <c r="BC19" s="47">
        <v>183.78079372800002</v>
      </c>
      <c r="BD19" s="47"/>
      <c r="BE19" s="47"/>
      <c r="BF19" s="47"/>
      <c r="BG19" s="47"/>
      <c r="BH19" s="47"/>
      <c r="BI19" s="47"/>
      <c r="BJ19" s="47"/>
      <c r="BK19" s="47"/>
      <c r="BL19" s="47"/>
      <c r="BM19" s="47"/>
      <c r="BN19" s="47"/>
      <c r="BO19" s="47"/>
      <c r="BP19" s="48">
        <f t="shared" si="0"/>
        <v>2.4856269050409465</v>
      </c>
      <c r="BQ19" s="49">
        <f t="shared" si="3"/>
        <v>4.971253810081893</v>
      </c>
      <c r="BR19" s="50">
        <f t="shared" si="1"/>
        <v>546.34079372799999</v>
      </c>
      <c r="BS19" s="49">
        <f t="shared" si="4"/>
        <v>1092.681587456</v>
      </c>
    </row>
    <row r="20" spans="1:71" s="9" customFormat="1" ht="17" x14ac:dyDescent="0.15">
      <c r="A20" s="34" t="s">
        <v>85</v>
      </c>
      <c r="B20" s="35" t="s">
        <v>50</v>
      </c>
      <c r="C20" s="35" t="s">
        <v>86</v>
      </c>
      <c r="D20" s="36" t="s">
        <v>57</v>
      </c>
      <c r="E20" s="37" t="s">
        <v>53</v>
      </c>
      <c r="F20" s="38">
        <v>251.2</v>
      </c>
      <c r="G20" s="38">
        <v>740.88726489171972</v>
      </c>
      <c r="H20" s="38">
        <v>186110.88094080001</v>
      </c>
      <c r="I20" s="39">
        <v>842.66911440000013</v>
      </c>
      <c r="J20" s="40">
        <v>211678.48153728002</v>
      </c>
      <c r="K20" s="38"/>
      <c r="L20" s="41"/>
      <c r="M20" s="42"/>
      <c r="N20" s="42"/>
      <c r="O20" s="42">
        <f t="shared" si="6"/>
        <v>837.20260932764324</v>
      </c>
      <c r="P20" s="53">
        <f t="shared" si="5"/>
        <v>210305.29546310398</v>
      </c>
      <c r="Q20" s="53"/>
      <c r="R20" s="53"/>
      <c r="S20" s="53"/>
      <c r="T20" s="53"/>
      <c r="U20" s="54"/>
      <c r="V20" s="53"/>
      <c r="W20" s="53"/>
      <c r="X20" s="53"/>
      <c r="Y20" s="53"/>
      <c r="Z20" s="53"/>
      <c r="AA20" s="53"/>
      <c r="AB20" s="53"/>
      <c r="AC20" s="44">
        <f t="shared" si="2"/>
        <v>842.66911440000013</v>
      </c>
      <c r="AD20" s="44">
        <f t="shared" si="2"/>
        <v>211678.48153728002</v>
      </c>
      <c r="AE20" s="45" t="s">
        <v>78</v>
      </c>
      <c r="AF20" s="45">
        <v>13.971019108280256</v>
      </c>
      <c r="AG20" s="45">
        <v>3509.52</v>
      </c>
      <c r="AH20" s="45">
        <v>134.49251592356691</v>
      </c>
      <c r="AI20" s="45">
        <v>33784.520000000004</v>
      </c>
      <c r="AJ20" s="45">
        <v>68.122730891719755</v>
      </c>
      <c r="AK20" s="45">
        <v>17112.43</v>
      </c>
      <c r="AL20" s="45"/>
      <c r="AM20" s="45"/>
      <c r="AN20" s="45"/>
      <c r="AO20" s="45"/>
      <c r="AP20" s="45">
        <v>23.166</v>
      </c>
      <c r="AQ20" s="45">
        <v>5819.2991999999995</v>
      </c>
      <c r="AR20" s="45">
        <v>118.24</v>
      </c>
      <c r="AS20" s="45">
        <v>29701.887999999999</v>
      </c>
      <c r="AT20" s="45"/>
      <c r="AU20" s="45"/>
      <c r="AV20" s="45"/>
      <c r="AW20" s="45"/>
      <c r="AX20" s="45">
        <v>4.1096337579617837</v>
      </c>
      <c r="AY20" s="45">
        <v>1032.3399999999999</v>
      </c>
      <c r="AZ20" s="46">
        <v>4.0623407643312106</v>
      </c>
      <c r="BA20" s="47">
        <v>1020.46</v>
      </c>
      <c r="BB20" s="47">
        <v>4.2793919999999996</v>
      </c>
      <c r="BC20" s="47">
        <v>1074.9832703999998</v>
      </c>
      <c r="BD20" s="47"/>
      <c r="BE20" s="47"/>
      <c r="BF20" s="47"/>
      <c r="BG20" s="47"/>
      <c r="BH20" s="47"/>
      <c r="BI20" s="47"/>
      <c r="BJ20" s="47"/>
      <c r="BK20" s="47"/>
      <c r="BL20" s="47"/>
      <c r="BM20" s="47"/>
      <c r="BN20" s="47"/>
      <c r="BO20" s="47"/>
      <c r="BP20" s="48">
        <f t="shared" si="0"/>
        <v>370.44363244585986</v>
      </c>
      <c r="BQ20" s="49">
        <f t="shared" si="3"/>
        <v>740.88726489171972</v>
      </c>
      <c r="BR20" s="50">
        <f t="shared" si="1"/>
        <v>93055.440470400004</v>
      </c>
      <c r="BS20" s="49">
        <f t="shared" si="4"/>
        <v>186110.88094080001</v>
      </c>
    </row>
    <row r="21" spans="1:71" s="9" customFormat="1" ht="17" x14ac:dyDescent="0.15">
      <c r="A21" s="34" t="s">
        <v>87</v>
      </c>
      <c r="B21" s="35" t="s">
        <v>50</v>
      </c>
      <c r="C21" s="35" t="s">
        <v>88</v>
      </c>
      <c r="D21" s="36" t="s">
        <v>57</v>
      </c>
      <c r="E21" s="37" t="s">
        <v>53</v>
      </c>
      <c r="F21" s="38">
        <v>298.2997915780698</v>
      </c>
      <c r="G21" s="38">
        <v>970.34496214549119</v>
      </c>
      <c r="H21" s="38">
        <v>289453.90220799996</v>
      </c>
      <c r="I21" s="39">
        <v>1063.9955200000002</v>
      </c>
      <c r="J21" s="40">
        <v>317389.64185600006</v>
      </c>
      <c r="K21" s="38"/>
      <c r="L21" s="41"/>
      <c r="M21" s="42"/>
      <c r="N21" s="42"/>
      <c r="O21" s="42">
        <f>+G21*1.12</f>
        <v>1086.7863576029501</v>
      </c>
      <c r="P21" s="53">
        <f t="shared" si="5"/>
        <v>324188.14396284969</v>
      </c>
      <c r="Q21" s="53"/>
      <c r="R21" s="53"/>
      <c r="S21" s="53"/>
      <c r="T21" s="53"/>
      <c r="U21" s="54"/>
      <c r="V21" s="53"/>
      <c r="W21" s="53"/>
      <c r="X21" s="53"/>
      <c r="Y21" s="53"/>
      <c r="Z21" s="53"/>
      <c r="AA21" s="53">
        <v>24</v>
      </c>
      <c r="AB21" s="53">
        <f>+AA21*F21</f>
        <v>7159.1949978736757</v>
      </c>
      <c r="AC21" s="44">
        <f t="shared" si="2"/>
        <v>1087.9955200000002</v>
      </c>
      <c r="AD21" s="44">
        <f t="shared" si="2"/>
        <v>324548.83685387374</v>
      </c>
      <c r="AE21" s="45" t="s">
        <v>54</v>
      </c>
      <c r="AF21" s="45"/>
      <c r="AG21" s="45"/>
      <c r="AH21" s="45"/>
      <c r="AI21" s="45"/>
      <c r="AJ21" s="45"/>
      <c r="AK21" s="45"/>
      <c r="AL21" s="45"/>
      <c r="AM21" s="45"/>
      <c r="AN21" s="45"/>
      <c r="AO21" s="45"/>
      <c r="AP21" s="45">
        <v>34.320000000000007</v>
      </c>
      <c r="AQ21" s="45">
        <v>10237.656000000001</v>
      </c>
      <c r="AR21" s="45">
        <v>6.7968000000000002</v>
      </c>
      <c r="AS21" s="45">
        <v>2027.4854399999999</v>
      </c>
      <c r="AT21" s="45">
        <v>130.91200000000001</v>
      </c>
      <c r="AU21" s="45">
        <v>39051.049600000006</v>
      </c>
      <c r="AV21" s="45">
        <v>64.3312437143815</v>
      </c>
      <c r="AW21" s="45">
        <v>19190.009999999998</v>
      </c>
      <c r="AX21" s="45">
        <v>61.223700972175656</v>
      </c>
      <c r="AY21" s="45">
        <v>18263.03</v>
      </c>
      <c r="AZ21" s="46">
        <v>61.215176131411333</v>
      </c>
      <c r="BA21" s="47">
        <v>18260.48704</v>
      </c>
      <c r="BB21" s="47">
        <v>126.06528000000002</v>
      </c>
      <c r="BC21" s="47">
        <v>37605.273024000002</v>
      </c>
      <c r="BD21" s="57">
        <v>0.30828025477707005</v>
      </c>
      <c r="BE21" s="57">
        <v>91.96</v>
      </c>
      <c r="BF21" s="57"/>
      <c r="BG21" s="57"/>
      <c r="BH21" s="57"/>
      <c r="BI21" s="57"/>
      <c r="BJ21" s="57"/>
      <c r="BK21" s="57"/>
      <c r="BL21" s="57"/>
      <c r="BM21" s="57"/>
      <c r="BN21" s="57"/>
      <c r="BO21" s="57"/>
      <c r="BP21" s="48">
        <f t="shared" si="0"/>
        <v>485.1724810727456</v>
      </c>
      <c r="BQ21" s="49">
        <f t="shared" si="3"/>
        <v>970.34496214549119</v>
      </c>
      <c r="BR21" s="50">
        <f t="shared" si="1"/>
        <v>144726.95110399998</v>
      </c>
      <c r="BS21" s="49">
        <f t="shared" si="4"/>
        <v>289453.90220799996</v>
      </c>
    </row>
    <row r="22" spans="1:71" s="9" customFormat="1" ht="17" x14ac:dyDescent="0.15">
      <c r="A22" s="34" t="s">
        <v>89</v>
      </c>
      <c r="B22" s="35" t="s">
        <v>50</v>
      </c>
      <c r="C22" s="35" t="s">
        <v>90</v>
      </c>
      <c r="D22" s="36" t="s">
        <v>57</v>
      </c>
      <c r="E22" s="37" t="s">
        <v>53</v>
      </c>
      <c r="F22" s="38">
        <v>392.49999999999994</v>
      </c>
      <c r="G22" s="38">
        <v>9.3468534461146504</v>
      </c>
      <c r="H22" s="38">
        <v>3668.6399776000003</v>
      </c>
      <c r="I22" s="39">
        <v>6</v>
      </c>
      <c r="J22" s="40">
        <v>2354.9999999999995</v>
      </c>
      <c r="K22" s="38"/>
      <c r="L22" s="41"/>
      <c r="M22" s="42"/>
      <c r="N22" s="42"/>
      <c r="O22" s="42">
        <v>6</v>
      </c>
      <c r="P22" s="53">
        <f t="shared" si="5"/>
        <v>2354.9999999999995</v>
      </c>
      <c r="Q22" s="53"/>
      <c r="R22" s="53"/>
      <c r="S22" s="53"/>
      <c r="T22" s="53"/>
      <c r="U22" s="54"/>
      <c r="V22" s="53"/>
      <c r="W22" s="53"/>
      <c r="X22" s="53"/>
      <c r="Y22" s="53"/>
      <c r="Z22" s="53"/>
      <c r="AA22" s="53">
        <v>6</v>
      </c>
      <c r="AB22" s="53">
        <f>+AA22*F22</f>
        <v>2354.9999999999995</v>
      </c>
      <c r="AC22" s="44">
        <f t="shared" si="2"/>
        <v>12</v>
      </c>
      <c r="AD22" s="44">
        <f t="shared" si="2"/>
        <v>4709.9999999999991</v>
      </c>
      <c r="AE22" s="45" t="s">
        <v>54</v>
      </c>
      <c r="AF22" s="45"/>
      <c r="AG22" s="45"/>
      <c r="AH22" s="45"/>
      <c r="AI22" s="45"/>
      <c r="AJ22" s="45"/>
      <c r="AK22" s="45"/>
      <c r="AL22" s="45"/>
      <c r="AM22" s="45"/>
      <c r="AN22" s="45"/>
      <c r="AO22" s="45"/>
      <c r="AP22" s="45"/>
      <c r="AQ22" s="45"/>
      <c r="AR22" s="45">
        <v>1.4400000000000002</v>
      </c>
      <c r="AS22" s="45">
        <v>565.20000000000005</v>
      </c>
      <c r="AT22" s="45">
        <v>1.6</v>
      </c>
      <c r="AU22" s="45">
        <v>628</v>
      </c>
      <c r="AV22" s="45">
        <v>0.79729936305732485</v>
      </c>
      <c r="AW22" s="45">
        <v>312.94</v>
      </c>
      <c r="AX22" s="45"/>
      <c r="AY22" s="45"/>
      <c r="AZ22" s="46"/>
      <c r="BA22" s="47"/>
      <c r="BB22" s="47">
        <v>0.83612736000000021</v>
      </c>
      <c r="BC22" s="47">
        <v>328.17998880000005</v>
      </c>
      <c r="BD22" s="47"/>
      <c r="BE22" s="47"/>
      <c r="BF22" s="47"/>
      <c r="BG22" s="47"/>
      <c r="BH22" s="47"/>
      <c r="BI22" s="47"/>
      <c r="BJ22" s="47"/>
      <c r="BK22" s="47"/>
      <c r="BL22" s="47"/>
      <c r="BM22" s="47"/>
      <c r="BN22" s="47"/>
      <c r="BO22" s="47"/>
      <c r="BP22" s="48">
        <f t="shared" si="0"/>
        <v>4.6734267230573252</v>
      </c>
      <c r="BQ22" s="49">
        <f t="shared" si="3"/>
        <v>9.3468534461146504</v>
      </c>
      <c r="BR22" s="50">
        <f t="shared" si="1"/>
        <v>1834.3199888000001</v>
      </c>
      <c r="BS22" s="49">
        <f t="shared" si="4"/>
        <v>3668.6399776000003</v>
      </c>
    </row>
    <row r="23" spans="1:71" s="9" customFormat="1" ht="17" x14ac:dyDescent="0.15">
      <c r="A23" s="34" t="s">
        <v>91</v>
      </c>
      <c r="B23" s="35" t="s">
        <v>50</v>
      </c>
      <c r="C23" s="35" t="s">
        <v>92</v>
      </c>
      <c r="D23" s="36" t="s">
        <v>57</v>
      </c>
      <c r="E23" s="37" t="s">
        <v>53</v>
      </c>
      <c r="F23" s="38">
        <v>471</v>
      </c>
      <c r="G23" s="38">
        <v>52.852451464968155</v>
      </c>
      <c r="H23" s="38">
        <v>24893.504639999999</v>
      </c>
      <c r="I23" s="39">
        <v>60.618623999999997</v>
      </c>
      <c r="J23" s="40">
        <v>28551.371904</v>
      </c>
      <c r="K23" s="38"/>
      <c r="L23" s="41"/>
      <c r="M23" s="42"/>
      <c r="N23" s="42"/>
      <c r="O23" s="42">
        <f t="shared" si="6"/>
        <v>59.723270155414006</v>
      </c>
      <c r="P23" s="53">
        <f t="shared" si="5"/>
        <v>28129.660243199996</v>
      </c>
      <c r="Q23" s="53"/>
      <c r="R23" s="53"/>
      <c r="S23" s="53"/>
      <c r="T23" s="53"/>
      <c r="U23" s="54"/>
      <c r="V23" s="53"/>
      <c r="W23" s="53"/>
      <c r="X23" s="53"/>
      <c r="Y23" s="53"/>
      <c r="Z23" s="53"/>
      <c r="AA23" s="53"/>
      <c r="AB23" s="53"/>
      <c r="AC23" s="44">
        <f t="shared" si="2"/>
        <v>60.618623999999997</v>
      </c>
      <c r="AD23" s="44">
        <f t="shared" si="2"/>
        <v>28551.371904</v>
      </c>
      <c r="AE23" s="45" t="s">
        <v>78</v>
      </c>
      <c r="AF23" s="45"/>
      <c r="AG23" s="45"/>
      <c r="AH23" s="45"/>
      <c r="AI23" s="45"/>
      <c r="AJ23" s="45"/>
      <c r="AK23" s="45"/>
      <c r="AL23" s="45"/>
      <c r="AM23" s="45"/>
      <c r="AN23" s="45"/>
      <c r="AO23" s="45"/>
      <c r="AP23" s="45">
        <v>17.16</v>
      </c>
      <c r="AQ23" s="45">
        <v>8082.36</v>
      </c>
      <c r="AR23" s="45"/>
      <c r="AS23" s="45"/>
      <c r="AT23" s="45"/>
      <c r="AU23" s="45"/>
      <c r="AV23" s="45"/>
      <c r="AW23" s="45"/>
      <c r="AX23" s="45">
        <v>3.0659023354564758</v>
      </c>
      <c r="AY23" s="45">
        <v>1444.04</v>
      </c>
      <c r="AZ23" s="46">
        <v>3.0304033970276008</v>
      </c>
      <c r="BA23" s="47">
        <v>1427.32</v>
      </c>
      <c r="BB23" s="47">
        <v>3.1699200000000003</v>
      </c>
      <c r="BC23" s="47">
        <v>1493.03232</v>
      </c>
      <c r="BD23" s="47"/>
      <c r="BE23" s="47"/>
      <c r="BF23" s="47"/>
      <c r="BG23" s="47"/>
      <c r="BH23" s="47"/>
      <c r="BI23" s="47"/>
      <c r="BJ23" s="47"/>
      <c r="BK23" s="47"/>
      <c r="BL23" s="47"/>
      <c r="BM23" s="47"/>
      <c r="BN23" s="47"/>
      <c r="BO23" s="47"/>
      <c r="BP23" s="48">
        <f t="shared" si="0"/>
        <v>26.426225732484077</v>
      </c>
      <c r="BQ23" s="49">
        <f t="shared" si="3"/>
        <v>52.852451464968155</v>
      </c>
      <c r="BR23" s="50">
        <f t="shared" si="1"/>
        <v>12446.75232</v>
      </c>
      <c r="BS23" s="49">
        <f t="shared" si="4"/>
        <v>24893.504639999999</v>
      </c>
    </row>
    <row r="24" spans="1:71" s="9" customFormat="1" ht="17" x14ac:dyDescent="0.15">
      <c r="A24" s="34" t="s">
        <v>93</v>
      </c>
      <c r="B24" s="35" t="s">
        <v>50</v>
      </c>
      <c r="C24" s="35" t="s">
        <v>94</v>
      </c>
      <c r="D24" s="36" t="s">
        <v>57</v>
      </c>
      <c r="E24" s="37" t="s">
        <v>53</v>
      </c>
      <c r="F24" s="38">
        <v>510.25</v>
      </c>
      <c r="G24" s="38">
        <v>11.621353406212641</v>
      </c>
      <c r="H24" s="38">
        <v>5906.9230755199997</v>
      </c>
      <c r="I24" s="39">
        <v>12</v>
      </c>
      <c r="J24" s="40">
        <v>6123</v>
      </c>
      <c r="K24" s="38"/>
      <c r="L24" s="41"/>
      <c r="M24" s="42"/>
      <c r="N24" s="42"/>
      <c r="O24" s="42">
        <v>12</v>
      </c>
      <c r="P24" s="53">
        <f t="shared" si="5"/>
        <v>6123</v>
      </c>
      <c r="Q24" s="53"/>
      <c r="R24" s="53"/>
      <c r="S24" s="53"/>
      <c r="T24" s="53"/>
      <c r="U24" s="54"/>
      <c r="V24" s="53"/>
      <c r="W24" s="53"/>
      <c r="X24" s="53"/>
      <c r="Y24" s="53"/>
      <c r="Z24" s="53"/>
      <c r="AA24" s="53">
        <v>2</v>
      </c>
      <c r="AB24" s="53">
        <f>+AA24*F24</f>
        <v>1020.5</v>
      </c>
      <c r="AC24" s="44">
        <f t="shared" si="2"/>
        <v>14</v>
      </c>
      <c r="AD24" s="44">
        <f t="shared" si="2"/>
        <v>7143.5</v>
      </c>
      <c r="AE24" s="45" t="s">
        <v>54</v>
      </c>
      <c r="AF24" s="45"/>
      <c r="AG24" s="45"/>
      <c r="AH24" s="45"/>
      <c r="AI24" s="45"/>
      <c r="AJ24" s="45"/>
      <c r="AK24" s="45"/>
      <c r="AL24" s="45"/>
      <c r="AM24" s="45"/>
      <c r="AN24" s="45"/>
      <c r="AO24" s="45"/>
      <c r="AP24" s="45"/>
      <c r="AQ24" s="45"/>
      <c r="AR24" s="45"/>
      <c r="AS24" s="45"/>
      <c r="AT24" s="45"/>
      <c r="AU24" s="45"/>
      <c r="AV24" s="45"/>
      <c r="AW24" s="45"/>
      <c r="AX24" s="45">
        <v>0.95792258696717292</v>
      </c>
      <c r="AY24" s="45">
        <v>488.78</v>
      </c>
      <c r="AZ24" s="46">
        <v>0.95792258696717292</v>
      </c>
      <c r="BA24" s="47">
        <v>488.78</v>
      </c>
      <c r="BB24" s="47">
        <v>1.02193344</v>
      </c>
      <c r="BC24" s="47">
        <v>521.44153775999996</v>
      </c>
      <c r="BD24" s="58">
        <v>1.4568471337579618</v>
      </c>
      <c r="BE24" s="58">
        <v>731.92</v>
      </c>
      <c r="BF24" s="58">
        <v>1.4160509554140128</v>
      </c>
      <c r="BG24" s="58">
        <v>722.54</v>
      </c>
      <c r="BH24" s="58"/>
      <c r="BI24" s="58"/>
      <c r="BJ24" s="58"/>
      <c r="BK24" s="58"/>
      <c r="BL24" s="58"/>
      <c r="BM24" s="58"/>
      <c r="BN24" s="58"/>
      <c r="BO24" s="58"/>
      <c r="BP24" s="48">
        <f t="shared" si="0"/>
        <v>5.8106767031063207</v>
      </c>
      <c r="BQ24" s="49">
        <f t="shared" si="3"/>
        <v>11.621353406212641</v>
      </c>
      <c r="BR24" s="50">
        <f t="shared" si="1"/>
        <v>2953.4615377599998</v>
      </c>
      <c r="BS24" s="49">
        <f t="shared" si="4"/>
        <v>5906.9230755199997</v>
      </c>
    </row>
    <row r="25" spans="1:71" s="9" customFormat="1" ht="17" x14ac:dyDescent="0.15">
      <c r="A25" s="34" t="s">
        <v>95</v>
      </c>
      <c r="B25" s="35" t="s">
        <v>96</v>
      </c>
      <c r="C25" s="35" t="s">
        <v>97</v>
      </c>
      <c r="D25" s="36" t="s">
        <v>52</v>
      </c>
      <c r="E25" s="37" t="s">
        <v>98</v>
      </c>
      <c r="F25" s="38">
        <v>18.600000000000001</v>
      </c>
      <c r="G25" s="38">
        <v>491.93280000000004</v>
      </c>
      <c r="H25" s="38">
        <v>9203.9348800000007</v>
      </c>
      <c r="I25" s="39">
        <v>404</v>
      </c>
      <c r="J25" s="40">
        <v>7514.4000000000005</v>
      </c>
      <c r="K25" s="38"/>
      <c r="L25" s="41"/>
      <c r="M25" s="42"/>
      <c r="N25" s="42"/>
      <c r="O25" s="42">
        <v>36</v>
      </c>
      <c r="P25" s="53">
        <f t="shared" si="5"/>
        <v>669.6</v>
      </c>
      <c r="Q25" s="53"/>
      <c r="R25" s="53"/>
      <c r="S25" s="53">
        <v>368</v>
      </c>
      <c r="T25" s="42">
        <f t="shared" ref="T25:T26" si="7">+S25*F25</f>
        <v>6844.8</v>
      </c>
      <c r="U25" s="43"/>
      <c r="V25" s="42"/>
      <c r="W25" s="42"/>
      <c r="X25" s="42"/>
      <c r="Y25" s="42"/>
      <c r="Z25" s="42"/>
      <c r="AA25" s="42">
        <v>117</v>
      </c>
      <c r="AB25" s="42">
        <f>+AA25*F25</f>
        <v>2176.2000000000003</v>
      </c>
      <c r="AC25" s="44">
        <f t="shared" si="2"/>
        <v>521</v>
      </c>
      <c r="AD25" s="44">
        <f t="shared" si="2"/>
        <v>9690.6</v>
      </c>
      <c r="AE25" s="45" t="s">
        <v>54</v>
      </c>
      <c r="AF25" s="45">
        <v>206.46199999999999</v>
      </c>
      <c r="AG25" s="45">
        <v>3842.97</v>
      </c>
      <c r="AH25" s="45"/>
      <c r="AI25" s="45"/>
      <c r="AJ25" s="45"/>
      <c r="AK25" s="45"/>
      <c r="AL25" s="45"/>
      <c r="AM25" s="45"/>
      <c r="AN25" s="45"/>
      <c r="AO25" s="45"/>
      <c r="AP25" s="45"/>
      <c r="AQ25" s="45"/>
      <c r="AR25" s="45">
        <v>6.78</v>
      </c>
      <c r="AS25" s="45">
        <v>126.108</v>
      </c>
      <c r="AT25" s="45">
        <v>7.7279999999999998</v>
      </c>
      <c r="AU25" s="45">
        <v>167.66879999999998</v>
      </c>
      <c r="AV25" s="45">
        <v>7.2149999999999999</v>
      </c>
      <c r="AW25" s="45">
        <v>134.30000000000001</v>
      </c>
      <c r="AX25" s="45">
        <v>7.2149999999999999</v>
      </c>
      <c r="AY25" s="45">
        <v>134.30000000000001</v>
      </c>
      <c r="AZ25" s="46">
        <v>6.604000000000001</v>
      </c>
      <c r="BA25" s="47">
        <v>122.92000000000002</v>
      </c>
      <c r="BB25" s="47">
        <v>3.9624000000000001</v>
      </c>
      <c r="BC25" s="47">
        <v>73.700640000000007</v>
      </c>
      <c r="BD25" s="47"/>
      <c r="BE25" s="47"/>
      <c r="BF25" s="47"/>
      <c r="BG25" s="47"/>
      <c r="BH25" s="47"/>
      <c r="BI25" s="47"/>
      <c r="BJ25" s="47"/>
      <c r="BK25" s="47"/>
      <c r="BL25" s="47"/>
      <c r="BM25" s="47"/>
      <c r="BN25" s="47"/>
      <c r="BO25" s="47"/>
      <c r="BP25" s="48">
        <f t="shared" si="0"/>
        <v>245.96640000000002</v>
      </c>
      <c r="BQ25" s="49">
        <f t="shared" si="3"/>
        <v>491.93280000000004</v>
      </c>
      <c r="BR25" s="50">
        <f t="shared" si="1"/>
        <v>4601.9674400000004</v>
      </c>
      <c r="BS25" s="49">
        <f t="shared" si="4"/>
        <v>9203.9348800000007</v>
      </c>
    </row>
    <row r="26" spans="1:71" s="9" customFormat="1" ht="17" x14ac:dyDescent="0.15">
      <c r="A26" s="34" t="s">
        <v>99</v>
      </c>
      <c r="B26" s="35" t="s">
        <v>96</v>
      </c>
      <c r="C26" s="35" t="s">
        <v>100</v>
      </c>
      <c r="D26" s="36" t="s">
        <v>52</v>
      </c>
      <c r="E26" s="37" t="s">
        <v>98</v>
      </c>
      <c r="F26" s="38">
        <v>24.599999999999998</v>
      </c>
      <c r="G26" s="38">
        <v>4657.6983999999993</v>
      </c>
      <c r="H26" s="38">
        <v>114555.53423999998</v>
      </c>
      <c r="I26" s="39">
        <v>3133.3606</v>
      </c>
      <c r="J26" s="40">
        <v>77080.670759999994</v>
      </c>
      <c r="K26" s="38"/>
      <c r="L26" s="41"/>
      <c r="M26" s="42"/>
      <c r="N26" s="42"/>
      <c r="O26" s="42">
        <v>480</v>
      </c>
      <c r="P26" s="53">
        <f t="shared" si="5"/>
        <v>11807.999999999998</v>
      </c>
      <c r="Q26" s="53"/>
      <c r="R26" s="53"/>
      <c r="S26" s="53">
        <f>1047.51*1.06</f>
        <v>1110.3606</v>
      </c>
      <c r="T26" s="42">
        <f t="shared" si="7"/>
        <v>27314.870759999998</v>
      </c>
      <c r="U26" s="43"/>
      <c r="V26" s="42"/>
      <c r="W26" s="42"/>
      <c r="X26" s="42"/>
      <c r="Y26" s="42">
        <v>1543</v>
      </c>
      <c r="Z26" s="42">
        <f>+Y26*F26</f>
        <v>37957.799999999996</v>
      </c>
      <c r="AA26" s="42">
        <v>1804</v>
      </c>
      <c r="AB26" s="42">
        <f>+AA26*F26</f>
        <v>44378.399999999994</v>
      </c>
      <c r="AC26" s="44">
        <f t="shared" si="2"/>
        <v>4937.3606</v>
      </c>
      <c r="AD26" s="44">
        <f t="shared" si="2"/>
        <v>121459.07075999999</v>
      </c>
      <c r="AE26" s="45" t="s">
        <v>54</v>
      </c>
      <c r="AF26" s="45">
        <v>617.84399999999994</v>
      </c>
      <c r="AG26" s="45">
        <v>15195.129999999996</v>
      </c>
      <c r="AH26" s="45">
        <v>464.75799999999998</v>
      </c>
      <c r="AI26" s="45">
        <v>11430.68</v>
      </c>
      <c r="AJ26" s="45">
        <v>256.15800000000002</v>
      </c>
      <c r="AK26" s="45">
        <v>6299.6599999999989</v>
      </c>
      <c r="AL26" s="45"/>
      <c r="AM26" s="45"/>
      <c r="AN26" s="45">
        <v>402.82599999999991</v>
      </c>
      <c r="AO26" s="45">
        <v>9907.6400000000012</v>
      </c>
      <c r="AP26" s="45"/>
      <c r="AQ26" s="45"/>
      <c r="AR26" s="45">
        <v>32.911999999999999</v>
      </c>
      <c r="AS26" s="45">
        <v>809.63520000000005</v>
      </c>
      <c r="AT26" s="45">
        <v>54.414000000000001</v>
      </c>
      <c r="AU26" s="45">
        <v>1338.5844000000002</v>
      </c>
      <c r="AV26" s="45">
        <v>51.616</v>
      </c>
      <c r="AW26" s="45">
        <v>1269.2600000000002</v>
      </c>
      <c r="AX26" s="45">
        <v>52.49</v>
      </c>
      <c r="AY26" s="45">
        <v>1290.76</v>
      </c>
      <c r="AZ26" s="46">
        <v>45.092000000000006</v>
      </c>
      <c r="BA26" s="47">
        <v>1108.6124</v>
      </c>
      <c r="BB26" s="47">
        <v>52.425599999999996</v>
      </c>
      <c r="BC26" s="47">
        <v>1289.66976</v>
      </c>
      <c r="BD26" s="47"/>
      <c r="BE26" s="47"/>
      <c r="BF26" s="47">
        <v>51.302000000000007</v>
      </c>
      <c r="BG26" s="47">
        <v>1261.6499999999999</v>
      </c>
      <c r="BH26" s="47"/>
      <c r="BI26" s="47"/>
      <c r="BJ26" s="47"/>
      <c r="BK26" s="47"/>
      <c r="BL26" s="47">
        <v>229.63799999999998</v>
      </c>
      <c r="BM26" s="47">
        <v>5649.0948000000008</v>
      </c>
      <c r="BN26" s="47">
        <v>17.373600000000003</v>
      </c>
      <c r="BO26" s="47">
        <v>427.39056000000005</v>
      </c>
      <c r="BP26" s="48">
        <f t="shared" si="0"/>
        <v>2328.8491999999997</v>
      </c>
      <c r="BQ26" s="49">
        <f t="shared" si="3"/>
        <v>4657.6983999999993</v>
      </c>
      <c r="BR26" s="50">
        <f t="shared" si="1"/>
        <v>57277.76711999999</v>
      </c>
      <c r="BS26" s="49">
        <f t="shared" si="4"/>
        <v>114555.53423999998</v>
      </c>
    </row>
    <row r="27" spans="1:71" s="9" customFormat="1" ht="17" x14ac:dyDescent="0.15">
      <c r="A27" s="34" t="s">
        <v>101</v>
      </c>
      <c r="B27" s="35" t="s">
        <v>102</v>
      </c>
      <c r="C27" s="35" t="s">
        <v>103</v>
      </c>
      <c r="D27" s="36" t="s">
        <v>52</v>
      </c>
      <c r="E27" s="37" t="s">
        <v>98</v>
      </c>
      <c r="F27" s="38">
        <v>49.900000000000006</v>
      </c>
      <c r="G27" s="38">
        <v>18.288</v>
      </c>
      <c r="H27" s="38">
        <v>912.57120000000009</v>
      </c>
      <c r="I27" s="39">
        <v>24</v>
      </c>
      <c r="J27" s="40">
        <v>1197.6000000000001</v>
      </c>
      <c r="K27" s="38"/>
      <c r="L27" s="41"/>
      <c r="M27" s="42"/>
      <c r="N27" s="42"/>
      <c r="O27" s="42">
        <v>24</v>
      </c>
      <c r="P27" s="53">
        <f t="shared" si="5"/>
        <v>1197.6000000000001</v>
      </c>
      <c r="Q27" s="53"/>
      <c r="R27" s="53"/>
      <c r="S27" s="53"/>
      <c r="T27" s="53"/>
      <c r="U27" s="54"/>
      <c r="V27" s="53"/>
      <c r="W27" s="53"/>
      <c r="X27" s="53"/>
      <c r="Y27" s="53"/>
      <c r="Z27" s="53"/>
      <c r="AA27" s="53"/>
      <c r="AB27" s="53"/>
      <c r="AC27" s="44">
        <f t="shared" si="2"/>
        <v>24</v>
      </c>
      <c r="AD27" s="44">
        <f t="shared" si="2"/>
        <v>1197.6000000000001</v>
      </c>
      <c r="AE27" s="45" t="s">
        <v>78</v>
      </c>
      <c r="AF27" s="45"/>
      <c r="AG27" s="45"/>
      <c r="AH27" s="45"/>
      <c r="AI27" s="45"/>
      <c r="AJ27" s="45"/>
      <c r="AK27" s="45"/>
      <c r="AL27" s="45"/>
      <c r="AM27" s="45"/>
      <c r="AN27" s="45"/>
      <c r="AO27" s="45"/>
      <c r="AP27" s="45"/>
      <c r="AQ27" s="45"/>
      <c r="AR27" s="45"/>
      <c r="AS27" s="45"/>
      <c r="AT27" s="45"/>
      <c r="AU27" s="45"/>
      <c r="AV27" s="45"/>
      <c r="AW27" s="45"/>
      <c r="AX27" s="45"/>
      <c r="AY27" s="45"/>
      <c r="AZ27" s="46"/>
      <c r="BA27" s="47"/>
      <c r="BB27" s="47"/>
      <c r="BC27" s="47"/>
      <c r="BD27" s="47"/>
      <c r="BE27" s="47"/>
      <c r="BF27" s="47"/>
      <c r="BG27" s="47"/>
      <c r="BH27" s="47"/>
      <c r="BI27" s="47"/>
      <c r="BJ27" s="47"/>
      <c r="BK27" s="47"/>
      <c r="BL27" s="47"/>
      <c r="BM27" s="47"/>
      <c r="BN27" s="47">
        <v>9.1440000000000001</v>
      </c>
      <c r="BO27" s="47">
        <v>456.28560000000004</v>
      </c>
      <c r="BP27" s="48">
        <f t="shared" si="0"/>
        <v>9.1440000000000001</v>
      </c>
      <c r="BQ27" s="49">
        <f t="shared" si="3"/>
        <v>18.288</v>
      </c>
      <c r="BR27" s="50">
        <f t="shared" si="1"/>
        <v>456.28560000000004</v>
      </c>
      <c r="BS27" s="49">
        <f t="shared" si="4"/>
        <v>912.57120000000009</v>
      </c>
    </row>
    <row r="28" spans="1:71" s="9" customFormat="1" ht="17" x14ac:dyDescent="0.15">
      <c r="A28" s="34" t="s">
        <v>104</v>
      </c>
      <c r="B28" s="35" t="s">
        <v>102</v>
      </c>
      <c r="C28" s="35" t="s">
        <v>105</v>
      </c>
      <c r="D28" s="36" t="s">
        <v>52</v>
      </c>
      <c r="E28" s="37" t="s">
        <v>98</v>
      </c>
      <c r="F28" s="38">
        <v>56.8</v>
      </c>
      <c r="G28" s="38">
        <v>868.94040000000007</v>
      </c>
      <c r="H28" s="38">
        <v>48714.300640000001</v>
      </c>
      <c r="I28" s="39">
        <v>468</v>
      </c>
      <c r="J28" s="40">
        <v>27424.799999999996</v>
      </c>
      <c r="K28" s="38"/>
      <c r="L28" s="41"/>
      <c r="M28" s="42"/>
      <c r="N28" s="42"/>
      <c r="O28" s="42">
        <v>468</v>
      </c>
      <c r="P28" s="53">
        <f t="shared" si="5"/>
        <v>26582.399999999998</v>
      </c>
      <c r="Q28" s="53"/>
      <c r="R28" s="53"/>
      <c r="S28" s="53"/>
      <c r="T28" s="53"/>
      <c r="U28" s="54"/>
      <c r="V28" s="53"/>
      <c r="W28" s="53"/>
      <c r="X28" s="53"/>
      <c r="Y28" s="53"/>
      <c r="Z28" s="53"/>
      <c r="AA28" s="53">
        <v>460</v>
      </c>
      <c r="AB28" s="53">
        <f>+AA28*F28</f>
        <v>26128</v>
      </c>
      <c r="AC28" s="44">
        <f t="shared" si="2"/>
        <v>928</v>
      </c>
      <c r="AD28" s="44">
        <f t="shared" si="2"/>
        <v>53552.799999999996</v>
      </c>
      <c r="AE28" s="45" t="s">
        <v>54</v>
      </c>
      <c r="AF28" s="45"/>
      <c r="AG28" s="45"/>
      <c r="AH28" s="45"/>
      <c r="AI28" s="45"/>
      <c r="AJ28" s="45"/>
      <c r="AK28" s="45"/>
      <c r="AL28" s="45"/>
      <c r="AM28" s="45"/>
      <c r="AN28" s="45"/>
      <c r="AO28" s="45"/>
      <c r="AP28" s="45"/>
      <c r="AQ28" s="45"/>
      <c r="AR28" s="45">
        <v>37.026000000000003</v>
      </c>
      <c r="AS28" s="45">
        <v>2103.0767999999998</v>
      </c>
      <c r="AT28" s="45">
        <v>60.46</v>
      </c>
      <c r="AU28" s="45">
        <v>3434.1280000000002</v>
      </c>
      <c r="AV28" s="45">
        <v>55.319999999999993</v>
      </c>
      <c r="AW28" s="45">
        <v>3087.0400000000004</v>
      </c>
      <c r="AX28" s="45">
        <v>56.34</v>
      </c>
      <c r="AY28" s="45">
        <v>3143.9600000000005</v>
      </c>
      <c r="AZ28" s="46">
        <v>48.22</v>
      </c>
      <c r="BA28" s="47">
        <v>2690.32</v>
      </c>
      <c r="BB28" s="47">
        <v>56.083200000000005</v>
      </c>
      <c r="BC28" s="47">
        <v>3286.4755200000004</v>
      </c>
      <c r="BD28" s="47"/>
      <c r="BE28" s="47"/>
      <c r="BF28" s="47">
        <v>121.021</v>
      </c>
      <c r="BG28" s="47">
        <v>6612.15</v>
      </c>
      <c r="BH28" s="47"/>
      <c r="BI28" s="47"/>
      <c r="BJ28" s="47"/>
      <c r="BK28" s="47"/>
      <c r="BL28" s="47"/>
      <c r="BM28" s="47"/>
      <c r="BN28" s="47"/>
      <c r="BO28" s="47"/>
      <c r="BP28" s="48">
        <f t="shared" si="0"/>
        <v>434.47020000000003</v>
      </c>
      <c r="BQ28" s="49">
        <f t="shared" si="3"/>
        <v>868.94040000000007</v>
      </c>
      <c r="BR28" s="50">
        <f t="shared" si="1"/>
        <v>24357.150320000001</v>
      </c>
      <c r="BS28" s="49">
        <f t="shared" si="4"/>
        <v>48714.300640000001</v>
      </c>
    </row>
    <row r="29" spans="1:71" s="9" customFormat="1" ht="17" x14ac:dyDescent="0.15">
      <c r="A29" s="34" t="s">
        <v>106</v>
      </c>
      <c r="B29" s="35" t="s">
        <v>102</v>
      </c>
      <c r="C29" s="35" t="s">
        <v>107</v>
      </c>
      <c r="D29" s="36" t="s">
        <v>52</v>
      </c>
      <c r="E29" s="37" t="s">
        <v>98</v>
      </c>
      <c r="F29" s="38">
        <v>36.699999999999996</v>
      </c>
      <c r="G29" s="38">
        <v>608.14240000000007</v>
      </c>
      <c r="H29" s="38">
        <v>21558.324079999999</v>
      </c>
      <c r="I29" s="39">
        <v>555</v>
      </c>
      <c r="J29" s="40">
        <v>20368.499999999996</v>
      </c>
      <c r="K29" s="38"/>
      <c r="L29" s="41"/>
      <c r="M29" s="42"/>
      <c r="N29" s="42"/>
      <c r="O29" s="42">
        <v>228</v>
      </c>
      <c r="P29" s="53">
        <f t="shared" si="5"/>
        <v>8367.5999999999985</v>
      </c>
      <c r="Q29" s="53"/>
      <c r="R29" s="53"/>
      <c r="S29" s="53"/>
      <c r="T29" s="53"/>
      <c r="U29" s="54"/>
      <c r="V29" s="53"/>
      <c r="W29" s="53"/>
      <c r="X29" s="53"/>
      <c r="Y29" s="53">
        <v>327</v>
      </c>
      <c r="Z29" s="42">
        <f>+Y29*F29</f>
        <v>12000.899999999998</v>
      </c>
      <c r="AA29" s="42">
        <v>90</v>
      </c>
      <c r="AB29" s="42">
        <f>+AA29*F29</f>
        <v>3302.9999999999995</v>
      </c>
      <c r="AC29" s="44">
        <f t="shared" si="2"/>
        <v>645</v>
      </c>
      <c r="AD29" s="44">
        <f t="shared" si="2"/>
        <v>23671.499999999996</v>
      </c>
      <c r="AE29" s="45" t="s">
        <v>54</v>
      </c>
      <c r="AF29" s="45"/>
      <c r="AG29" s="45"/>
      <c r="AH29" s="45">
        <v>32.853999999999999</v>
      </c>
      <c r="AI29" s="45">
        <v>1130.8599999999999</v>
      </c>
      <c r="AJ29" s="45">
        <v>119.86600000000001</v>
      </c>
      <c r="AK29" s="45">
        <v>4202.58</v>
      </c>
      <c r="AL29" s="45"/>
      <c r="AM29" s="45"/>
      <c r="AN29" s="45"/>
      <c r="AO29" s="45"/>
      <c r="AP29" s="45"/>
      <c r="AQ29" s="45"/>
      <c r="AR29" s="45">
        <v>24.106000000000005</v>
      </c>
      <c r="AS29" s="45">
        <v>884.6902</v>
      </c>
      <c r="AT29" s="45">
        <v>24.955999999999996</v>
      </c>
      <c r="AU29" s="45">
        <v>915.88520000000005</v>
      </c>
      <c r="AV29" s="45">
        <v>29.582999999999998</v>
      </c>
      <c r="AW29" s="45">
        <v>1030.8399999999999</v>
      </c>
      <c r="AX29" s="45">
        <v>28.626999999999999</v>
      </c>
      <c r="AY29" s="45">
        <v>996.6</v>
      </c>
      <c r="AZ29" s="46">
        <v>26.096</v>
      </c>
      <c r="BA29" s="47">
        <v>957.72320000000002</v>
      </c>
      <c r="BB29" s="47">
        <v>17.9832</v>
      </c>
      <c r="BC29" s="47">
        <v>659.98344000000009</v>
      </c>
      <c r="BD29" s="47"/>
      <c r="BE29" s="47"/>
      <c r="BF29" s="47"/>
      <c r="BG29" s="47"/>
      <c r="BH29" s="47"/>
      <c r="BI29" s="47"/>
      <c r="BJ29" s="47"/>
      <c r="BK29" s="47"/>
      <c r="BL29" s="47"/>
      <c r="BM29" s="47"/>
      <c r="BN29" s="47"/>
      <c r="BO29" s="47"/>
      <c r="BP29" s="48">
        <f t="shared" si="0"/>
        <v>304.07120000000003</v>
      </c>
      <c r="BQ29" s="49">
        <f t="shared" si="3"/>
        <v>608.14240000000007</v>
      </c>
      <c r="BR29" s="50">
        <f t="shared" si="1"/>
        <v>10779.162039999999</v>
      </c>
      <c r="BS29" s="49">
        <f t="shared" si="4"/>
        <v>21558.324079999999</v>
      </c>
    </row>
    <row r="30" spans="1:71" s="9" customFormat="1" ht="17" x14ac:dyDescent="0.15">
      <c r="A30" s="34" t="s">
        <v>108</v>
      </c>
      <c r="B30" s="35" t="s">
        <v>102</v>
      </c>
      <c r="C30" s="35" t="s">
        <v>109</v>
      </c>
      <c r="D30" s="36" t="s">
        <v>52</v>
      </c>
      <c r="E30" s="37" t="s">
        <v>98</v>
      </c>
      <c r="F30" s="38">
        <v>79.699999999999989</v>
      </c>
      <c r="G30" s="38">
        <v>170.79159999999999</v>
      </c>
      <c r="H30" s="38">
        <v>13489.109919999999</v>
      </c>
      <c r="I30" s="39">
        <v>180</v>
      </c>
      <c r="J30" s="40">
        <v>14345.999999999998</v>
      </c>
      <c r="K30" s="38"/>
      <c r="L30" s="41"/>
      <c r="M30" s="42"/>
      <c r="N30" s="42"/>
      <c r="O30" s="42">
        <v>180</v>
      </c>
      <c r="P30" s="53">
        <f t="shared" si="5"/>
        <v>14345.999999999998</v>
      </c>
      <c r="Q30" s="53"/>
      <c r="R30" s="53"/>
      <c r="S30" s="53"/>
      <c r="T30" s="53"/>
      <c r="U30" s="54"/>
      <c r="V30" s="53"/>
      <c r="W30" s="53"/>
      <c r="X30" s="53"/>
      <c r="Y30" s="53"/>
      <c r="Z30" s="53"/>
      <c r="AA30" s="53"/>
      <c r="AB30" s="53"/>
      <c r="AC30" s="44">
        <f t="shared" si="2"/>
        <v>180</v>
      </c>
      <c r="AD30" s="44">
        <f t="shared" si="2"/>
        <v>14345.999999999998</v>
      </c>
      <c r="AE30" s="45" t="s">
        <v>78</v>
      </c>
      <c r="AF30" s="45"/>
      <c r="AG30" s="45"/>
      <c r="AH30" s="45"/>
      <c r="AI30" s="45"/>
      <c r="AJ30" s="45"/>
      <c r="AK30" s="45"/>
      <c r="AL30" s="45"/>
      <c r="AM30" s="45"/>
      <c r="AN30" s="45"/>
      <c r="AO30" s="45"/>
      <c r="AP30" s="45">
        <v>36.700000000000003</v>
      </c>
      <c r="AQ30" s="45">
        <v>2921.3199999999997</v>
      </c>
      <c r="AR30" s="59">
        <v>6.0549999999999997</v>
      </c>
      <c r="AS30" s="45">
        <v>466.15799999999996</v>
      </c>
      <c r="AT30" s="45">
        <v>6.8680000000000003</v>
      </c>
      <c r="AU30" s="45">
        <v>547.37959999999998</v>
      </c>
      <c r="AV30" s="45">
        <v>4.82</v>
      </c>
      <c r="AW30" s="45">
        <v>370.56</v>
      </c>
      <c r="AX30" s="45">
        <v>7.7039999999999997</v>
      </c>
      <c r="AY30" s="45">
        <v>592.4</v>
      </c>
      <c r="AZ30" s="46">
        <v>7.7039999999999997</v>
      </c>
      <c r="BA30" s="47">
        <v>607.81680000000006</v>
      </c>
      <c r="BB30" s="47">
        <v>15.5448</v>
      </c>
      <c r="BC30" s="47">
        <v>1238.92056</v>
      </c>
      <c r="BD30" s="47"/>
      <c r="BE30" s="47"/>
      <c r="BF30" s="47"/>
      <c r="BG30" s="47"/>
      <c r="BH30" s="47"/>
      <c r="BI30" s="47"/>
      <c r="BJ30" s="47"/>
      <c r="BK30" s="47"/>
      <c r="BL30" s="47"/>
      <c r="BM30" s="47"/>
      <c r="BN30" s="47"/>
      <c r="BO30" s="47"/>
      <c r="BP30" s="48">
        <f t="shared" si="0"/>
        <v>85.395799999999994</v>
      </c>
      <c r="BQ30" s="49">
        <f t="shared" si="3"/>
        <v>170.79159999999999</v>
      </c>
      <c r="BR30" s="50">
        <f t="shared" si="1"/>
        <v>6744.5549599999995</v>
      </c>
      <c r="BS30" s="49">
        <f t="shared" si="4"/>
        <v>13489.109919999999</v>
      </c>
    </row>
    <row r="31" spans="1:71" s="9" customFormat="1" ht="17" x14ac:dyDescent="0.15">
      <c r="A31" s="34" t="s">
        <v>110</v>
      </c>
      <c r="B31" s="35" t="s">
        <v>102</v>
      </c>
      <c r="C31" s="35" t="s">
        <v>111</v>
      </c>
      <c r="D31" s="36" t="s">
        <v>52</v>
      </c>
      <c r="E31" s="37" t="s">
        <v>98</v>
      </c>
      <c r="F31" s="38">
        <v>106</v>
      </c>
      <c r="G31" s="38">
        <v>382.80399999999997</v>
      </c>
      <c r="H31" s="38">
        <v>39086.820000000007</v>
      </c>
      <c r="I31" s="39">
        <v>419.2654</v>
      </c>
      <c r="J31" s="40">
        <v>44442.132400000002</v>
      </c>
      <c r="K31" s="38"/>
      <c r="L31" s="41"/>
      <c r="M31" s="42"/>
      <c r="N31" s="42"/>
      <c r="O31" s="42">
        <v>372</v>
      </c>
      <c r="P31" s="53">
        <f t="shared" si="5"/>
        <v>39432</v>
      </c>
      <c r="Q31" s="53"/>
      <c r="R31" s="53"/>
      <c r="S31" s="53">
        <f>44.59*1.06</f>
        <v>47.265400000000007</v>
      </c>
      <c r="T31" s="42">
        <f>+S31*F31</f>
        <v>5010.1324000000004</v>
      </c>
      <c r="U31" s="43"/>
      <c r="V31" s="42"/>
      <c r="W31" s="42"/>
      <c r="X31" s="42"/>
      <c r="Y31" s="42"/>
      <c r="Z31" s="42"/>
      <c r="AA31" s="42"/>
      <c r="AB31" s="42"/>
      <c r="AC31" s="44">
        <f t="shared" si="2"/>
        <v>419.2654</v>
      </c>
      <c r="AD31" s="44">
        <f t="shared" si="2"/>
        <v>44442.132400000002</v>
      </c>
      <c r="AE31" s="45" t="s">
        <v>112</v>
      </c>
      <c r="AF31" s="45">
        <v>22.154</v>
      </c>
      <c r="AG31" s="45">
        <v>2237.13</v>
      </c>
      <c r="AH31" s="45"/>
      <c r="AI31" s="45"/>
      <c r="AJ31" s="45"/>
      <c r="AK31" s="45"/>
      <c r="AL31" s="45"/>
      <c r="AM31" s="45"/>
      <c r="AN31" s="45"/>
      <c r="AO31" s="45"/>
      <c r="AP31" s="45"/>
      <c r="AQ31" s="45"/>
      <c r="AR31" s="45"/>
      <c r="AS31" s="45"/>
      <c r="AT31" s="45"/>
      <c r="AU31" s="45"/>
      <c r="AV31" s="45">
        <v>56.415999999999997</v>
      </c>
      <c r="AW31" s="45">
        <v>5768.76</v>
      </c>
      <c r="AX31" s="45">
        <v>56.415999999999997</v>
      </c>
      <c r="AY31" s="45">
        <v>5768.76</v>
      </c>
      <c r="AZ31" s="46">
        <v>56.415999999999997</v>
      </c>
      <c r="BA31" s="47">
        <v>5768.76</v>
      </c>
      <c r="BB31" s="47"/>
      <c r="BC31" s="47"/>
      <c r="BD31" s="47"/>
      <c r="BE31" s="47"/>
      <c r="BF31" s="47"/>
      <c r="BG31" s="47"/>
      <c r="BH31" s="47"/>
      <c r="BI31" s="47"/>
      <c r="BJ31" s="47"/>
      <c r="BK31" s="47"/>
      <c r="BL31" s="47"/>
      <c r="BM31" s="47"/>
      <c r="BN31" s="47"/>
      <c r="BO31" s="47"/>
      <c r="BP31" s="48">
        <f t="shared" si="0"/>
        <v>191.40199999999999</v>
      </c>
      <c r="BQ31" s="49">
        <f t="shared" si="3"/>
        <v>382.80399999999997</v>
      </c>
      <c r="BR31" s="50">
        <f t="shared" si="1"/>
        <v>19543.410000000003</v>
      </c>
      <c r="BS31" s="49">
        <f t="shared" si="4"/>
        <v>39086.820000000007</v>
      </c>
    </row>
    <row r="32" spans="1:71" s="9" customFormat="1" ht="17" x14ac:dyDescent="0.15">
      <c r="A32" s="34" t="s">
        <v>113</v>
      </c>
      <c r="B32" s="35" t="s">
        <v>114</v>
      </c>
      <c r="C32" s="35" t="s">
        <v>115</v>
      </c>
      <c r="D32" s="36" t="s">
        <v>52</v>
      </c>
      <c r="E32" s="37" t="s">
        <v>98</v>
      </c>
      <c r="F32" s="38">
        <v>10.7</v>
      </c>
      <c r="G32" s="38">
        <v>117.084</v>
      </c>
      <c r="H32" s="38">
        <v>1251.8200000000002</v>
      </c>
      <c r="I32" s="39">
        <v>136</v>
      </c>
      <c r="J32" s="40">
        <v>1455.1999999999998</v>
      </c>
      <c r="K32" s="38"/>
      <c r="L32" s="41"/>
      <c r="M32" s="42"/>
      <c r="N32" s="42"/>
      <c r="O32" s="42">
        <v>132</v>
      </c>
      <c r="P32" s="53">
        <f t="shared" si="5"/>
        <v>1412.3999999999999</v>
      </c>
      <c r="Q32" s="53"/>
      <c r="R32" s="53"/>
      <c r="S32" s="53"/>
      <c r="T32" s="53"/>
      <c r="U32" s="54"/>
      <c r="V32" s="53"/>
      <c r="W32" s="53"/>
      <c r="X32" s="53"/>
      <c r="Y32" s="53">
        <v>4</v>
      </c>
      <c r="Z32" s="42">
        <f>+Y32*F32</f>
        <v>42.8</v>
      </c>
      <c r="AA32" s="42"/>
      <c r="AB32" s="42"/>
      <c r="AC32" s="44">
        <f t="shared" si="2"/>
        <v>136</v>
      </c>
      <c r="AD32" s="44">
        <f t="shared" si="2"/>
        <v>1455.1999999999998</v>
      </c>
      <c r="AE32" s="45" t="s">
        <v>116</v>
      </c>
      <c r="AF32" s="45"/>
      <c r="AG32" s="45"/>
      <c r="AH32" s="45">
        <v>1.216</v>
      </c>
      <c r="AI32" s="45">
        <v>13</v>
      </c>
      <c r="AJ32" s="55">
        <v>0.3</v>
      </c>
      <c r="AK32" s="45">
        <v>3.21</v>
      </c>
      <c r="AL32" s="45"/>
      <c r="AM32" s="45"/>
      <c r="AN32" s="45"/>
      <c r="AO32" s="45"/>
      <c r="AP32" s="45"/>
      <c r="AQ32" s="45"/>
      <c r="AR32" s="45"/>
      <c r="AS32" s="45"/>
      <c r="AT32" s="45"/>
      <c r="AU32" s="45"/>
      <c r="AV32" s="45"/>
      <c r="AW32" s="45"/>
      <c r="AX32" s="45"/>
      <c r="AY32" s="45"/>
      <c r="AZ32" s="46">
        <v>57.026000000000003</v>
      </c>
      <c r="BA32" s="47">
        <v>609.70000000000005</v>
      </c>
      <c r="BB32" s="47"/>
      <c r="BC32" s="47"/>
      <c r="BD32" s="47"/>
      <c r="BE32" s="47"/>
      <c r="BF32" s="47"/>
      <c r="BG32" s="47"/>
      <c r="BH32" s="47"/>
      <c r="BI32" s="47"/>
      <c r="BJ32" s="47"/>
      <c r="BK32" s="47"/>
      <c r="BL32" s="47"/>
      <c r="BM32" s="47"/>
      <c r="BN32" s="47"/>
      <c r="BO32" s="47"/>
      <c r="BP32" s="48">
        <f t="shared" si="0"/>
        <v>58.542000000000002</v>
      </c>
      <c r="BQ32" s="49">
        <f t="shared" si="3"/>
        <v>117.084</v>
      </c>
      <c r="BR32" s="50">
        <f t="shared" si="1"/>
        <v>625.91000000000008</v>
      </c>
      <c r="BS32" s="49">
        <f t="shared" si="4"/>
        <v>1251.8200000000002</v>
      </c>
    </row>
    <row r="33" spans="1:71" s="9" customFormat="1" ht="17" x14ac:dyDescent="0.15">
      <c r="A33" s="34" t="s">
        <v>117</v>
      </c>
      <c r="B33" s="35" t="s">
        <v>114</v>
      </c>
      <c r="C33" s="35" t="s">
        <v>118</v>
      </c>
      <c r="D33" s="36" t="s">
        <v>52</v>
      </c>
      <c r="E33" s="37" t="s">
        <v>98</v>
      </c>
      <c r="F33" s="38">
        <v>14.7</v>
      </c>
      <c r="G33" s="38">
        <v>327.596</v>
      </c>
      <c r="H33" s="38">
        <v>4821.732399999999</v>
      </c>
      <c r="I33" s="39">
        <v>252</v>
      </c>
      <c r="J33" s="40">
        <v>3704.3999999999996</v>
      </c>
      <c r="K33" s="38"/>
      <c r="L33" s="41"/>
      <c r="M33" s="42"/>
      <c r="N33" s="42"/>
      <c r="O33" s="42">
        <v>252</v>
      </c>
      <c r="P33" s="53">
        <f t="shared" si="5"/>
        <v>3704.3999999999996</v>
      </c>
      <c r="Q33" s="53"/>
      <c r="R33" s="53"/>
      <c r="S33" s="53"/>
      <c r="T33" s="53"/>
      <c r="U33" s="54"/>
      <c r="V33" s="53"/>
      <c r="W33" s="53"/>
      <c r="X33" s="53"/>
      <c r="Y33" s="53"/>
      <c r="Z33" s="53"/>
      <c r="AA33" s="53">
        <v>95</v>
      </c>
      <c r="AB33" s="53">
        <f>+AA33*F33</f>
        <v>1396.5</v>
      </c>
      <c r="AC33" s="44">
        <f t="shared" si="2"/>
        <v>347</v>
      </c>
      <c r="AD33" s="44">
        <f t="shared" si="2"/>
        <v>5100.8999999999996</v>
      </c>
      <c r="AE33" s="45" t="s">
        <v>54</v>
      </c>
      <c r="AF33" s="45"/>
      <c r="AG33" s="45"/>
      <c r="AH33" s="45"/>
      <c r="AI33" s="45"/>
      <c r="AJ33" s="45"/>
      <c r="AK33" s="45"/>
      <c r="AL33" s="45"/>
      <c r="AM33" s="45"/>
      <c r="AN33" s="45"/>
      <c r="AO33" s="45"/>
      <c r="AP33" s="45"/>
      <c r="AQ33" s="45"/>
      <c r="AR33" s="45"/>
      <c r="AS33" s="45"/>
      <c r="AT33" s="45">
        <v>49.746000000000002</v>
      </c>
      <c r="AU33" s="45">
        <v>731.26619999999991</v>
      </c>
      <c r="AV33" s="45">
        <v>57.026000000000003</v>
      </c>
      <c r="AW33" s="45">
        <v>839.8</v>
      </c>
      <c r="AX33" s="45">
        <v>57.026000000000003</v>
      </c>
      <c r="AY33" s="45">
        <v>839.8</v>
      </c>
      <c r="AZ33" s="46"/>
      <c r="BA33" s="47"/>
      <c r="BB33" s="47"/>
      <c r="BC33" s="47"/>
      <c r="BD33" s="47"/>
      <c r="BE33" s="47"/>
      <c r="BF33" s="47"/>
      <c r="BG33" s="47"/>
      <c r="BH33" s="47"/>
      <c r="BI33" s="47"/>
      <c r="BJ33" s="47"/>
      <c r="BK33" s="47"/>
      <c r="BL33" s="47"/>
      <c r="BM33" s="47"/>
      <c r="BN33" s="47"/>
      <c r="BO33" s="47"/>
      <c r="BP33" s="48">
        <f t="shared" si="0"/>
        <v>163.798</v>
      </c>
      <c r="BQ33" s="49">
        <f t="shared" si="3"/>
        <v>327.596</v>
      </c>
      <c r="BR33" s="50">
        <f t="shared" si="1"/>
        <v>2410.8661999999995</v>
      </c>
      <c r="BS33" s="49">
        <f t="shared" si="4"/>
        <v>4821.732399999999</v>
      </c>
    </row>
    <row r="34" spans="1:71" s="9" customFormat="1" ht="17" x14ac:dyDescent="0.15">
      <c r="A34" s="34" t="s">
        <v>119</v>
      </c>
      <c r="B34" s="35" t="s">
        <v>114</v>
      </c>
      <c r="C34" s="35" t="s">
        <v>120</v>
      </c>
      <c r="D34" s="36" t="s">
        <v>52</v>
      </c>
      <c r="E34" s="37" t="s">
        <v>98</v>
      </c>
      <c r="F34" s="38">
        <v>8.2799999999999994</v>
      </c>
      <c r="G34" s="38">
        <v>707.82320000000004</v>
      </c>
      <c r="H34" s="38">
        <v>5862.262256</v>
      </c>
      <c r="I34" s="39">
        <v>648</v>
      </c>
      <c r="J34" s="40">
        <v>5365.44</v>
      </c>
      <c r="K34" s="38"/>
      <c r="L34" s="41"/>
      <c r="M34" s="42"/>
      <c r="N34" s="42"/>
      <c r="O34" s="42">
        <v>372</v>
      </c>
      <c r="P34" s="53">
        <f t="shared" si="5"/>
        <v>3080.16</v>
      </c>
      <c r="Q34" s="53"/>
      <c r="R34" s="53"/>
      <c r="S34" s="53"/>
      <c r="T34" s="53"/>
      <c r="U34" s="54"/>
      <c r="V34" s="53"/>
      <c r="W34" s="53"/>
      <c r="X34" s="53"/>
      <c r="Y34" s="53">
        <v>276</v>
      </c>
      <c r="Z34" s="42">
        <f>+Y34*F34</f>
        <v>2285.2799999999997</v>
      </c>
      <c r="AA34" s="42">
        <v>102</v>
      </c>
      <c r="AB34" s="42">
        <f>+AA34*F34</f>
        <v>844.56</v>
      </c>
      <c r="AC34" s="44">
        <f t="shared" si="2"/>
        <v>750</v>
      </c>
      <c r="AD34" s="44">
        <f t="shared" si="2"/>
        <v>6210</v>
      </c>
      <c r="AE34" s="45" t="s">
        <v>54</v>
      </c>
      <c r="AF34" s="45"/>
      <c r="AG34" s="45"/>
      <c r="AH34" s="45">
        <v>128.928</v>
      </c>
      <c r="AI34" s="45">
        <v>1067.46</v>
      </c>
      <c r="AJ34" s="45"/>
      <c r="AK34" s="45"/>
      <c r="AL34" s="45"/>
      <c r="AM34" s="45"/>
      <c r="AN34" s="45">
        <v>9.7639999999999993</v>
      </c>
      <c r="AO34" s="45">
        <v>80.84</v>
      </c>
      <c r="AP34" s="45"/>
      <c r="AQ34" s="45"/>
      <c r="AR34" s="45">
        <v>44.17</v>
      </c>
      <c r="AS34" s="45">
        <v>366.61100000000005</v>
      </c>
      <c r="AT34" s="45"/>
      <c r="AU34" s="45"/>
      <c r="AV34" s="45"/>
      <c r="AW34" s="45"/>
      <c r="AX34" s="45">
        <v>57.026000000000003</v>
      </c>
      <c r="AY34" s="45">
        <v>472.14</v>
      </c>
      <c r="AZ34" s="46">
        <v>57.026000000000003</v>
      </c>
      <c r="BA34" s="47">
        <v>472.14</v>
      </c>
      <c r="BB34" s="47">
        <v>56.997600000000006</v>
      </c>
      <c r="BC34" s="47">
        <v>471.94012800000002</v>
      </c>
      <c r="BD34" s="47"/>
      <c r="BE34" s="47"/>
      <c r="BF34" s="47"/>
      <c r="BG34" s="47"/>
      <c r="BH34" s="47"/>
      <c r="BI34" s="47"/>
      <c r="BJ34" s="47"/>
      <c r="BK34" s="47"/>
      <c r="BL34" s="47"/>
      <c r="BM34" s="47"/>
      <c r="BN34" s="47"/>
      <c r="BO34" s="47"/>
      <c r="BP34" s="48">
        <f t="shared" si="0"/>
        <v>353.91160000000002</v>
      </c>
      <c r="BQ34" s="49">
        <f t="shared" si="3"/>
        <v>707.82320000000004</v>
      </c>
      <c r="BR34" s="50">
        <f t="shared" si="1"/>
        <v>2931.131128</v>
      </c>
      <c r="BS34" s="49">
        <f t="shared" si="4"/>
        <v>5862.262256</v>
      </c>
    </row>
    <row r="35" spans="1:71" s="9" customFormat="1" ht="17" x14ac:dyDescent="0.15">
      <c r="A35" s="34" t="s">
        <v>121</v>
      </c>
      <c r="B35" s="35" t="s">
        <v>114</v>
      </c>
      <c r="C35" s="35" t="s">
        <v>122</v>
      </c>
      <c r="D35" s="36" t="s">
        <v>52</v>
      </c>
      <c r="E35" s="37" t="s">
        <v>98</v>
      </c>
      <c r="F35" s="38">
        <v>27.3</v>
      </c>
      <c r="G35" s="38">
        <v>1296.8407999999999</v>
      </c>
      <c r="H35" s="38">
        <v>35395.783040000002</v>
      </c>
      <c r="I35" s="39">
        <v>1281.8638000000001</v>
      </c>
      <c r="J35" s="40">
        <v>34994.881740000004</v>
      </c>
      <c r="K35" s="38"/>
      <c r="L35" s="41"/>
      <c r="M35" s="42"/>
      <c r="N35" s="42"/>
      <c r="O35" s="42"/>
      <c r="P35" s="53"/>
      <c r="Q35" s="53">
        <f>+G35*1.07</f>
        <v>1387.6196560000001</v>
      </c>
      <c r="R35" s="53">
        <f t="shared" ref="R35:R54" si="8">+Q35*F35</f>
        <v>37882.016608800004</v>
      </c>
      <c r="S35" s="53"/>
      <c r="T35" s="53"/>
      <c r="U35" s="54"/>
      <c r="V35" s="53"/>
      <c r="W35" s="53"/>
      <c r="X35" s="53"/>
      <c r="Y35" s="53">
        <v>51</v>
      </c>
      <c r="Z35" s="53">
        <f>+Y35*F35</f>
        <v>1392.3</v>
      </c>
      <c r="AA35" s="53">
        <v>93</v>
      </c>
      <c r="AB35" s="53">
        <f>+AA35*F35</f>
        <v>2538.9</v>
      </c>
      <c r="AC35" s="44">
        <f t="shared" si="2"/>
        <v>1374.8638000000001</v>
      </c>
      <c r="AD35" s="44">
        <f t="shared" si="2"/>
        <v>37533.781740000006</v>
      </c>
      <c r="AE35" s="45" t="s">
        <v>54</v>
      </c>
      <c r="AF35" s="45"/>
      <c r="AG35" s="45"/>
      <c r="AH35" s="45">
        <v>24.035999999999998</v>
      </c>
      <c r="AI35" s="45">
        <v>656.04000000000008</v>
      </c>
      <c r="AJ35" s="45"/>
      <c r="AK35" s="45"/>
      <c r="AL35" s="45"/>
      <c r="AM35" s="45"/>
      <c r="AN35" s="45"/>
      <c r="AO35" s="45"/>
      <c r="AP35" s="45"/>
      <c r="AQ35" s="45"/>
      <c r="AR35" s="45"/>
      <c r="AS35" s="45"/>
      <c r="AT35" s="45"/>
      <c r="AU35" s="45"/>
      <c r="AV35" s="45"/>
      <c r="AW35" s="45"/>
      <c r="AX35" s="45"/>
      <c r="AY35" s="45"/>
      <c r="AZ35" s="46"/>
      <c r="BA35" s="47"/>
      <c r="BB35" s="47"/>
      <c r="BC35" s="47"/>
      <c r="BD35" s="47">
        <v>559.46199999999999</v>
      </c>
      <c r="BE35" s="47">
        <v>15269.470000000001</v>
      </c>
      <c r="BF35" s="47"/>
      <c r="BG35" s="47"/>
      <c r="BH35" s="47">
        <v>64.92240000000001</v>
      </c>
      <c r="BI35" s="47">
        <v>1772.3815200000001</v>
      </c>
      <c r="BJ35" s="47"/>
      <c r="BK35" s="47"/>
      <c r="BL35" s="47"/>
      <c r="BM35" s="47"/>
      <c r="BN35" s="47"/>
      <c r="BO35" s="47"/>
      <c r="BP35" s="48">
        <f t="shared" si="0"/>
        <v>648.42039999999997</v>
      </c>
      <c r="BQ35" s="49">
        <f t="shared" si="3"/>
        <v>1296.8407999999999</v>
      </c>
      <c r="BR35" s="50">
        <f t="shared" si="1"/>
        <v>17697.891520000001</v>
      </c>
      <c r="BS35" s="49">
        <f t="shared" si="4"/>
        <v>35395.783040000002</v>
      </c>
    </row>
    <row r="36" spans="1:71" s="9" customFormat="1" ht="17" x14ac:dyDescent="0.15">
      <c r="A36" s="34" t="s">
        <v>123</v>
      </c>
      <c r="B36" s="35" t="s">
        <v>114</v>
      </c>
      <c r="C36" s="35" t="s">
        <v>124</v>
      </c>
      <c r="D36" s="36" t="s">
        <v>52</v>
      </c>
      <c r="E36" s="37" t="s">
        <v>98</v>
      </c>
      <c r="F36" s="38">
        <v>17.8</v>
      </c>
      <c r="G36" s="38">
        <v>92.62</v>
      </c>
      <c r="H36" s="38">
        <v>1629.2</v>
      </c>
      <c r="I36" s="39">
        <v>102.75120000000001</v>
      </c>
      <c r="J36" s="40">
        <v>1828.9713600000002</v>
      </c>
      <c r="K36" s="38"/>
      <c r="L36" s="41"/>
      <c r="M36" s="42"/>
      <c r="N36" s="42"/>
      <c r="O36" s="42"/>
      <c r="P36" s="53"/>
      <c r="Q36" s="53">
        <f>+G36*1.08</f>
        <v>100.02960000000002</v>
      </c>
      <c r="R36" s="53">
        <f t="shared" si="8"/>
        <v>1780.5268800000003</v>
      </c>
      <c r="S36" s="53"/>
      <c r="T36" s="53"/>
      <c r="U36" s="54"/>
      <c r="V36" s="53"/>
      <c r="W36" s="53"/>
      <c r="X36" s="53"/>
      <c r="Y36" s="53"/>
      <c r="Z36" s="53"/>
      <c r="AA36" s="53"/>
      <c r="AB36" s="53"/>
      <c r="AC36" s="44">
        <f t="shared" si="2"/>
        <v>102.75120000000001</v>
      </c>
      <c r="AD36" s="44">
        <f t="shared" si="2"/>
        <v>1828.9713600000002</v>
      </c>
      <c r="AE36" s="45" t="s">
        <v>125</v>
      </c>
      <c r="AF36" s="45"/>
      <c r="AG36" s="45"/>
      <c r="AH36" s="45"/>
      <c r="AI36" s="45"/>
      <c r="AJ36" s="45"/>
      <c r="AK36" s="45"/>
      <c r="AL36" s="45"/>
      <c r="AM36" s="45"/>
      <c r="AN36" s="45"/>
      <c r="AO36" s="45"/>
      <c r="AP36" s="45"/>
      <c r="AQ36" s="45"/>
      <c r="AR36" s="45"/>
      <c r="AS36" s="45"/>
      <c r="AT36" s="45"/>
      <c r="AU36" s="45"/>
      <c r="AV36" s="45"/>
      <c r="AW36" s="45"/>
      <c r="AX36" s="45"/>
      <c r="AY36" s="45"/>
      <c r="AZ36" s="46"/>
      <c r="BA36" s="47"/>
      <c r="BB36" s="47"/>
      <c r="BC36" s="47"/>
      <c r="BD36" s="47">
        <v>46.31</v>
      </c>
      <c r="BE36" s="47">
        <v>814.6</v>
      </c>
      <c r="BF36" s="47"/>
      <c r="BG36" s="47"/>
      <c r="BH36" s="47"/>
      <c r="BI36" s="47"/>
      <c r="BJ36" s="47"/>
      <c r="BK36" s="47"/>
      <c r="BL36" s="47"/>
      <c r="BM36" s="47"/>
      <c r="BN36" s="47"/>
      <c r="BO36" s="47"/>
      <c r="BP36" s="48">
        <f t="shared" si="0"/>
        <v>46.31</v>
      </c>
      <c r="BQ36" s="49">
        <f t="shared" si="3"/>
        <v>92.62</v>
      </c>
      <c r="BR36" s="50">
        <f t="shared" si="1"/>
        <v>814.6</v>
      </c>
      <c r="BS36" s="49">
        <f t="shared" si="4"/>
        <v>1629.2</v>
      </c>
    </row>
    <row r="37" spans="1:71" s="9" customFormat="1" ht="17" x14ac:dyDescent="0.15">
      <c r="A37" s="34" t="s">
        <v>126</v>
      </c>
      <c r="B37" s="35" t="s">
        <v>114</v>
      </c>
      <c r="C37" s="35" t="s">
        <v>127</v>
      </c>
      <c r="D37" s="36" t="s">
        <v>52</v>
      </c>
      <c r="E37" s="37" t="s">
        <v>98</v>
      </c>
      <c r="F37" s="38">
        <v>73.599999999999994</v>
      </c>
      <c r="G37" s="38"/>
      <c r="H37" s="38"/>
      <c r="I37" s="39">
        <v>44</v>
      </c>
      <c r="J37" s="40">
        <v>3238.3999999999996</v>
      </c>
      <c r="K37" s="38"/>
      <c r="L37" s="41"/>
      <c r="M37" s="42"/>
      <c r="N37" s="42"/>
      <c r="O37" s="42"/>
      <c r="P37" s="53"/>
      <c r="Q37" s="53">
        <v>44</v>
      </c>
      <c r="R37" s="53">
        <f t="shared" si="8"/>
        <v>3238.3999999999996</v>
      </c>
      <c r="S37" s="53"/>
      <c r="T37" s="53"/>
      <c r="U37" s="54"/>
      <c r="V37" s="53"/>
      <c r="W37" s="53"/>
      <c r="X37" s="53"/>
      <c r="Y37" s="53"/>
      <c r="Z37" s="53"/>
      <c r="AA37" s="53">
        <v>-44</v>
      </c>
      <c r="AB37" s="53">
        <f>+AA37*F37</f>
        <v>-3238.3999999999996</v>
      </c>
      <c r="AC37" s="44">
        <f t="shared" si="2"/>
        <v>0</v>
      </c>
      <c r="AD37" s="44">
        <f t="shared" si="2"/>
        <v>0</v>
      </c>
      <c r="AE37" s="45" t="s">
        <v>54</v>
      </c>
      <c r="AF37" s="45"/>
      <c r="AG37" s="45"/>
      <c r="AH37" s="45"/>
      <c r="AI37" s="45"/>
      <c r="AJ37" s="45"/>
      <c r="AK37" s="45"/>
      <c r="AL37" s="45"/>
      <c r="AM37" s="45"/>
      <c r="AN37" s="45"/>
      <c r="AO37" s="45"/>
      <c r="AP37" s="45"/>
      <c r="AQ37" s="45"/>
      <c r="AR37" s="45"/>
      <c r="AS37" s="45"/>
      <c r="AT37" s="45"/>
      <c r="AU37" s="45"/>
      <c r="AV37" s="45"/>
      <c r="AW37" s="45"/>
      <c r="AX37" s="45"/>
      <c r="AY37" s="45"/>
      <c r="AZ37" s="46"/>
      <c r="BA37" s="47"/>
      <c r="BB37" s="47"/>
      <c r="BC37" s="47"/>
      <c r="BD37" s="47"/>
      <c r="BE37" s="47"/>
      <c r="BF37" s="47"/>
      <c r="BG37" s="47"/>
      <c r="BH37" s="47"/>
      <c r="BI37" s="47"/>
      <c r="BJ37" s="47"/>
      <c r="BK37" s="47"/>
      <c r="BL37" s="47"/>
      <c r="BM37" s="47"/>
      <c r="BN37" s="47"/>
      <c r="BO37" s="47"/>
      <c r="BP37" s="48">
        <f t="shared" si="0"/>
        <v>0</v>
      </c>
      <c r="BQ37" s="49">
        <f t="shared" si="3"/>
        <v>0</v>
      </c>
      <c r="BR37" s="50">
        <f t="shared" si="1"/>
        <v>0</v>
      </c>
      <c r="BS37" s="49">
        <f t="shared" si="4"/>
        <v>0</v>
      </c>
    </row>
    <row r="38" spans="1:71" s="9" customFormat="1" ht="17" x14ac:dyDescent="0.15">
      <c r="A38" s="34" t="s">
        <v>128</v>
      </c>
      <c r="B38" s="35" t="s">
        <v>96</v>
      </c>
      <c r="C38" s="35" t="s">
        <v>129</v>
      </c>
      <c r="D38" s="36" t="s">
        <v>52</v>
      </c>
      <c r="E38" s="37" t="s">
        <v>98</v>
      </c>
      <c r="F38" s="38">
        <v>30.3</v>
      </c>
      <c r="G38" s="38">
        <v>647.05599999999993</v>
      </c>
      <c r="H38" s="38">
        <v>19629.120000000003</v>
      </c>
      <c r="I38" s="39">
        <v>630.40960000000007</v>
      </c>
      <c r="J38" s="40">
        <v>19101.410880000003</v>
      </c>
      <c r="K38" s="38"/>
      <c r="L38" s="41"/>
      <c r="M38" s="42"/>
      <c r="N38" s="42"/>
      <c r="O38" s="42"/>
      <c r="P38" s="53"/>
      <c r="Q38" s="53">
        <f>+G38*1.1</f>
        <v>711.76159999999993</v>
      </c>
      <c r="R38" s="53">
        <f t="shared" si="8"/>
        <v>21566.376479999999</v>
      </c>
      <c r="S38" s="53">
        <f>388.16*1.06</f>
        <v>411.44960000000003</v>
      </c>
      <c r="T38" s="42">
        <f>+S38*F38</f>
        <v>12466.922880000002</v>
      </c>
      <c r="U38" s="43"/>
      <c r="V38" s="42"/>
      <c r="W38" s="42"/>
      <c r="X38" s="42"/>
      <c r="Y38" s="42">
        <v>116</v>
      </c>
      <c r="Z38" s="53">
        <f>+Y38*F38</f>
        <v>3514.8</v>
      </c>
      <c r="AA38" s="53">
        <v>55</v>
      </c>
      <c r="AB38" s="53">
        <f>+AA38*F38</f>
        <v>1666.5</v>
      </c>
      <c r="AC38" s="44">
        <f t="shared" si="2"/>
        <v>685.40960000000007</v>
      </c>
      <c r="AD38" s="44">
        <f t="shared" si="2"/>
        <v>20767.910880000003</v>
      </c>
      <c r="AE38" s="45" t="s">
        <v>54</v>
      </c>
      <c r="AF38" s="45">
        <v>194.11399999999998</v>
      </c>
      <c r="AG38" s="45">
        <v>5888.34</v>
      </c>
      <c r="AH38" s="45">
        <v>54.128</v>
      </c>
      <c r="AI38" s="45">
        <v>1642.0500000000002</v>
      </c>
      <c r="AJ38" s="45"/>
      <c r="AK38" s="45"/>
      <c r="AL38" s="45"/>
      <c r="AM38" s="45"/>
      <c r="AN38" s="45"/>
      <c r="AO38" s="45"/>
      <c r="AP38" s="45"/>
      <c r="AQ38" s="45"/>
      <c r="AR38" s="45"/>
      <c r="AS38" s="45"/>
      <c r="AT38" s="45"/>
      <c r="AU38" s="45"/>
      <c r="AV38" s="45"/>
      <c r="AW38" s="45"/>
      <c r="AX38" s="45"/>
      <c r="AY38" s="45"/>
      <c r="AZ38" s="46"/>
      <c r="BA38" s="47"/>
      <c r="BB38" s="47"/>
      <c r="BC38" s="47"/>
      <c r="BD38" s="47">
        <v>75.286000000000001</v>
      </c>
      <c r="BE38" s="47">
        <v>2284.17</v>
      </c>
      <c r="BF38" s="47"/>
      <c r="BG38" s="47"/>
      <c r="BH38" s="47"/>
      <c r="BI38" s="47"/>
      <c r="BJ38" s="47"/>
      <c r="BK38" s="47"/>
      <c r="BL38" s="47"/>
      <c r="BM38" s="47"/>
      <c r="BN38" s="47"/>
      <c r="BO38" s="47"/>
      <c r="BP38" s="48">
        <f t="shared" si="0"/>
        <v>323.52799999999996</v>
      </c>
      <c r="BQ38" s="49">
        <f t="shared" si="3"/>
        <v>647.05599999999993</v>
      </c>
      <c r="BR38" s="50">
        <f t="shared" si="1"/>
        <v>9814.5600000000013</v>
      </c>
      <c r="BS38" s="49">
        <f t="shared" si="4"/>
        <v>19629.120000000003</v>
      </c>
    </row>
    <row r="39" spans="1:71" s="9" customFormat="1" ht="17" x14ac:dyDescent="0.15">
      <c r="A39" s="34" t="s">
        <v>130</v>
      </c>
      <c r="B39" s="35" t="s">
        <v>131</v>
      </c>
      <c r="C39" s="35" t="s">
        <v>132</v>
      </c>
      <c r="D39" s="36" t="s">
        <v>52</v>
      </c>
      <c r="E39" s="37" t="s">
        <v>53</v>
      </c>
      <c r="F39" s="38">
        <v>47.099999999999994</v>
      </c>
      <c r="G39" s="38">
        <v>973.58768577494686</v>
      </c>
      <c r="H39" s="38">
        <v>45855.979999999996</v>
      </c>
      <c r="I39" s="39">
        <v>1007.5999999999999</v>
      </c>
      <c r="J39" s="40">
        <v>47457.959999999992</v>
      </c>
      <c r="K39" s="38"/>
      <c r="L39" s="41"/>
      <c r="M39" s="42"/>
      <c r="N39" s="42"/>
      <c r="O39" s="42"/>
      <c r="P39" s="53"/>
      <c r="Q39" s="53">
        <f>44*2*11.45</f>
        <v>1007.5999999999999</v>
      </c>
      <c r="R39" s="53">
        <f t="shared" si="8"/>
        <v>47457.959999999992</v>
      </c>
      <c r="S39" s="53"/>
      <c r="T39" s="53"/>
      <c r="U39" s="54"/>
      <c r="V39" s="53"/>
      <c r="W39" s="53"/>
      <c r="X39" s="53"/>
      <c r="Y39" s="53"/>
      <c r="Z39" s="53"/>
      <c r="AA39" s="53"/>
      <c r="AB39" s="53"/>
      <c r="AC39" s="44">
        <f t="shared" si="2"/>
        <v>1007.5999999999999</v>
      </c>
      <c r="AD39" s="44">
        <f t="shared" si="2"/>
        <v>47457.959999999992</v>
      </c>
      <c r="AE39" s="45" t="s">
        <v>133</v>
      </c>
      <c r="AF39" s="45"/>
      <c r="AG39" s="45"/>
      <c r="AH39" s="45"/>
      <c r="AI39" s="45"/>
      <c r="AJ39" s="45"/>
      <c r="AK39" s="45"/>
      <c r="AL39" s="45"/>
      <c r="AM39" s="45"/>
      <c r="AN39" s="45"/>
      <c r="AO39" s="45"/>
      <c r="AP39" s="45"/>
      <c r="AQ39" s="45"/>
      <c r="AR39" s="45"/>
      <c r="AS39" s="45"/>
      <c r="AT39" s="45"/>
      <c r="AU39" s="45"/>
      <c r="AV39" s="45"/>
      <c r="AW39" s="45"/>
      <c r="AX39" s="45"/>
      <c r="AY39" s="45"/>
      <c r="AZ39" s="46"/>
      <c r="BA39" s="47"/>
      <c r="BB39" s="47"/>
      <c r="BC39" s="47"/>
      <c r="BD39" s="47">
        <v>486.79384288747343</v>
      </c>
      <c r="BE39" s="47">
        <v>22927.989999999998</v>
      </c>
      <c r="BF39" s="47"/>
      <c r="BG39" s="47"/>
      <c r="BH39" s="47"/>
      <c r="BI39" s="47"/>
      <c r="BJ39" s="47"/>
      <c r="BK39" s="47"/>
      <c r="BL39" s="47"/>
      <c r="BM39" s="47"/>
      <c r="BN39" s="47"/>
      <c r="BO39" s="47"/>
      <c r="BP39" s="48">
        <f t="shared" si="0"/>
        <v>486.79384288747343</v>
      </c>
      <c r="BQ39" s="49">
        <f t="shared" si="3"/>
        <v>973.58768577494686</v>
      </c>
      <c r="BR39" s="50">
        <f t="shared" si="1"/>
        <v>22927.989999999998</v>
      </c>
      <c r="BS39" s="49">
        <f t="shared" si="4"/>
        <v>45855.979999999996</v>
      </c>
    </row>
    <row r="40" spans="1:71" s="9" customFormat="1" ht="17" x14ac:dyDescent="0.15">
      <c r="A40" s="34" t="s">
        <v>134</v>
      </c>
      <c r="B40" s="35" t="s">
        <v>135</v>
      </c>
      <c r="C40" s="35" t="s">
        <v>136</v>
      </c>
      <c r="D40" s="36" t="s">
        <v>52</v>
      </c>
      <c r="E40" s="37" t="s">
        <v>53</v>
      </c>
      <c r="F40" s="38">
        <v>47.099999999999994</v>
      </c>
      <c r="G40" s="38">
        <v>113.74607218683653</v>
      </c>
      <c r="H40" s="38">
        <v>5357.4400000000005</v>
      </c>
      <c r="I40" s="39">
        <v>119.08026900000002</v>
      </c>
      <c r="J40" s="40">
        <v>5608.6806698999999</v>
      </c>
      <c r="K40" s="38"/>
      <c r="L40" s="41"/>
      <c r="M40" s="42"/>
      <c r="N40" s="42"/>
      <c r="O40" s="42"/>
      <c r="P40" s="53"/>
      <c r="Q40" s="53">
        <f>+G40*1.15</f>
        <v>130.807983014862</v>
      </c>
      <c r="R40" s="53">
        <f t="shared" si="8"/>
        <v>6161.0559999999996</v>
      </c>
      <c r="S40" s="53"/>
      <c r="T40" s="53"/>
      <c r="U40" s="54"/>
      <c r="V40" s="53"/>
      <c r="W40" s="53"/>
      <c r="X40" s="53"/>
      <c r="Y40" s="53"/>
      <c r="Z40" s="53"/>
      <c r="AA40" s="53">
        <v>12</v>
      </c>
      <c r="AB40" s="53">
        <f>+AA40*F40</f>
        <v>565.19999999999993</v>
      </c>
      <c r="AC40" s="44">
        <f t="shared" si="2"/>
        <v>131.08026900000002</v>
      </c>
      <c r="AD40" s="44">
        <f t="shared" si="2"/>
        <v>6173.8806698999997</v>
      </c>
      <c r="AE40" s="45" t="s">
        <v>54</v>
      </c>
      <c r="AF40" s="45"/>
      <c r="AG40" s="45"/>
      <c r="AH40" s="45"/>
      <c r="AI40" s="45"/>
      <c r="AJ40" s="45"/>
      <c r="AK40" s="45"/>
      <c r="AL40" s="45"/>
      <c r="AM40" s="45"/>
      <c r="AN40" s="45"/>
      <c r="AO40" s="45"/>
      <c r="AP40" s="45"/>
      <c r="AQ40" s="45"/>
      <c r="AR40" s="45"/>
      <c r="AS40" s="45"/>
      <c r="AT40" s="45"/>
      <c r="AU40" s="45"/>
      <c r="AV40" s="45"/>
      <c r="AW40" s="45"/>
      <c r="AX40" s="45"/>
      <c r="AY40" s="45"/>
      <c r="AZ40" s="46"/>
      <c r="BA40" s="47"/>
      <c r="BB40" s="47"/>
      <c r="BC40" s="47"/>
      <c r="BD40" s="47">
        <v>56.873036093418264</v>
      </c>
      <c r="BE40" s="47">
        <v>2678.7200000000003</v>
      </c>
      <c r="BF40" s="47"/>
      <c r="BG40" s="47"/>
      <c r="BH40" s="47"/>
      <c r="BI40" s="47"/>
      <c r="BJ40" s="47"/>
      <c r="BK40" s="47"/>
      <c r="BL40" s="47"/>
      <c r="BM40" s="47"/>
      <c r="BN40" s="47"/>
      <c r="BO40" s="47"/>
      <c r="BP40" s="48">
        <f t="shared" si="0"/>
        <v>56.873036093418264</v>
      </c>
      <c r="BQ40" s="49">
        <f t="shared" si="3"/>
        <v>113.74607218683653</v>
      </c>
      <c r="BR40" s="50">
        <f t="shared" si="1"/>
        <v>2678.7200000000003</v>
      </c>
      <c r="BS40" s="49">
        <f t="shared" si="4"/>
        <v>5357.4400000000005</v>
      </c>
    </row>
    <row r="41" spans="1:71" s="9" customFormat="1" ht="17" x14ac:dyDescent="0.15">
      <c r="A41" s="34" t="s">
        <v>137</v>
      </c>
      <c r="B41" s="35" t="s">
        <v>131</v>
      </c>
      <c r="C41" s="35" t="s">
        <v>138</v>
      </c>
      <c r="D41" s="36" t="s">
        <v>52</v>
      </c>
      <c r="E41" s="37" t="s">
        <v>53</v>
      </c>
      <c r="F41" s="38">
        <v>62.8</v>
      </c>
      <c r="G41" s="38">
        <v>556.18121019108298</v>
      </c>
      <c r="H41" s="38">
        <v>34928.180000000008</v>
      </c>
      <c r="I41" s="39">
        <v>572.5</v>
      </c>
      <c r="J41" s="40">
        <v>35953</v>
      </c>
      <c r="K41" s="38"/>
      <c r="L41" s="41"/>
      <c r="M41" s="42"/>
      <c r="N41" s="42"/>
      <c r="O41" s="42"/>
      <c r="P41" s="53"/>
      <c r="Q41" s="53">
        <f>25*2*11.45</f>
        <v>572.5</v>
      </c>
      <c r="R41" s="53">
        <f t="shared" si="8"/>
        <v>35953</v>
      </c>
      <c r="S41" s="53"/>
      <c r="T41" s="53"/>
      <c r="U41" s="54"/>
      <c r="V41" s="53"/>
      <c r="W41" s="53"/>
      <c r="X41" s="53"/>
      <c r="Y41" s="53"/>
      <c r="Z41" s="53"/>
      <c r="AA41" s="53"/>
      <c r="AB41" s="53"/>
      <c r="AC41" s="44">
        <f t="shared" si="2"/>
        <v>572.5</v>
      </c>
      <c r="AD41" s="44">
        <f t="shared" si="2"/>
        <v>35953</v>
      </c>
      <c r="AE41" s="45" t="s">
        <v>139</v>
      </c>
      <c r="AF41" s="45"/>
      <c r="AG41" s="45"/>
      <c r="AH41" s="45"/>
      <c r="AI41" s="45"/>
      <c r="AJ41" s="45"/>
      <c r="AK41" s="45"/>
      <c r="AL41" s="45"/>
      <c r="AM41" s="45"/>
      <c r="AN41" s="45"/>
      <c r="AO41" s="45"/>
      <c r="AP41" s="45"/>
      <c r="AQ41" s="45"/>
      <c r="AR41" s="45"/>
      <c r="AS41" s="45"/>
      <c r="AT41" s="45"/>
      <c r="AU41" s="45"/>
      <c r="AV41" s="45"/>
      <c r="AW41" s="45"/>
      <c r="AX41" s="45"/>
      <c r="AY41" s="45"/>
      <c r="AZ41" s="46"/>
      <c r="BA41" s="47"/>
      <c r="BB41" s="47"/>
      <c r="BC41" s="47"/>
      <c r="BD41" s="47">
        <v>278.09060509554149</v>
      </c>
      <c r="BE41" s="47">
        <v>17464.090000000004</v>
      </c>
      <c r="BF41" s="47"/>
      <c r="BG41" s="47"/>
      <c r="BH41" s="47"/>
      <c r="BI41" s="47"/>
      <c r="BJ41" s="47"/>
      <c r="BK41" s="47"/>
      <c r="BL41" s="47"/>
      <c r="BM41" s="47"/>
      <c r="BN41" s="47"/>
      <c r="BO41" s="47"/>
      <c r="BP41" s="48">
        <f t="shared" si="0"/>
        <v>278.09060509554149</v>
      </c>
      <c r="BQ41" s="49">
        <f t="shared" si="3"/>
        <v>556.18121019108298</v>
      </c>
      <c r="BR41" s="50">
        <f t="shared" si="1"/>
        <v>17464.090000000004</v>
      </c>
      <c r="BS41" s="49">
        <f t="shared" si="4"/>
        <v>34928.180000000008</v>
      </c>
    </row>
    <row r="42" spans="1:71" s="9" customFormat="1" ht="17" x14ac:dyDescent="0.15">
      <c r="A42" s="34" t="s">
        <v>140</v>
      </c>
      <c r="B42" s="35" t="s">
        <v>141</v>
      </c>
      <c r="C42" s="35" t="s">
        <v>142</v>
      </c>
      <c r="D42" s="36" t="s">
        <v>52</v>
      </c>
      <c r="E42" s="37" t="s">
        <v>53</v>
      </c>
      <c r="F42" s="38">
        <v>62.8</v>
      </c>
      <c r="G42" s="225">
        <v>83</v>
      </c>
      <c r="H42" s="225">
        <v>5181</v>
      </c>
      <c r="I42" s="39">
        <v>59.2</v>
      </c>
      <c r="J42" s="40">
        <v>3717.76</v>
      </c>
      <c r="K42" s="38"/>
      <c r="L42" s="41"/>
      <c r="M42" s="42"/>
      <c r="N42" s="42"/>
      <c r="O42" s="42"/>
      <c r="P42" s="53"/>
      <c r="Q42" s="53">
        <f>4*2*7.4</f>
        <v>59.2</v>
      </c>
      <c r="R42" s="53">
        <f t="shared" si="8"/>
        <v>3717.76</v>
      </c>
      <c r="S42" s="53"/>
      <c r="T42" s="53"/>
      <c r="U42" s="54"/>
      <c r="V42" s="53"/>
      <c r="W42" s="53"/>
      <c r="X42" s="53"/>
      <c r="Y42" s="53"/>
      <c r="Z42" s="53"/>
      <c r="AA42" s="53"/>
      <c r="AB42" s="53"/>
      <c r="AC42" s="44">
        <f t="shared" si="2"/>
        <v>59.2</v>
      </c>
      <c r="AD42" s="44">
        <f t="shared" si="2"/>
        <v>3717.76</v>
      </c>
      <c r="AE42" s="45" t="s">
        <v>143</v>
      </c>
      <c r="AF42" s="45"/>
      <c r="AG42" s="45"/>
      <c r="AH42" s="45"/>
      <c r="AI42" s="45"/>
      <c r="AJ42" s="45"/>
      <c r="AK42" s="45"/>
      <c r="AL42" s="45"/>
      <c r="AM42" s="45"/>
      <c r="AN42" s="45"/>
      <c r="AO42" s="45"/>
      <c r="AP42" s="45"/>
      <c r="AQ42" s="45"/>
      <c r="AR42" s="45"/>
      <c r="AS42" s="45"/>
      <c r="AT42" s="45"/>
      <c r="AU42" s="45"/>
      <c r="AV42" s="45"/>
      <c r="AW42" s="45"/>
      <c r="AX42" s="45"/>
      <c r="AY42" s="45"/>
      <c r="AZ42" s="46"/>
      <c r="BA42" s="47"/>
      <c r="BB42" s="60"/>
      <c r="BC42" s="60"/>
      <c r="BD42" s="228">
        <v>41.252547770700637</v>
      </c>
      <c r="BE42" s="231">
        <v>2590.66</v>
      </c>
      <c r="BF42" s="61"/>
      <c r="BG42" s="61"/>
      <c r="BH42" s="61"/>
      <c r="BI42" s="61"/>
      <c r="BJ42" s="61"/>
      <c r="BK42" s="61"/>
      <c r="BL42" s="61"/>
      <c r="BM42" s="61"/>
      <c r="BN42" s="61"/>
      <c r="BO42" s="61"/>
      <c r="BP42" s="48">
        <f t="shared" si="0"/>
        <v>41.252547770700637</v>
      </c>
      <c r="BQ42" s="49">
        <f t="shared" si="3"/>
        <v>82.505095541401275</v>
      </c>
      <c r="BR42" s="50">
        <f t="shared" si="1"/>
        <v>2590.66</v>
      </c>
      <c r="BS42" s="49">
        <f t="shared" si="4"/>
        <v>5181.32</v>
      </c>
    </row>
    <row r="43" spans="1:71" s="9" customFormat="1" ht="17" x14ac:dyDescent="0.15">
      <c r="A43" s="34" t="s">
        <v>144</v>
      </c>
      <c r="B43" s="35" t="s">
        <v>141</v>
      </c>
      <c r="C43" s="35" t="s">
        <v>145</v>
      </c>
      <c r="D43" s="36" t="s">
        <v>52</v>
      </c>
      <c r="E43" s="37" t="s">
        <v>53</v>
      </c>
      <c r="F43" s="38">
        <v>62.8</v>
      </c>
      <c r="G43" s="227"/>
      <c r="H43" s="227"/>
      <c r="I43" s="39">
        <v>41.6</v>
      </c>
      <c r="J43" s="40">
        <v>2612.48</v>
      </c>
      <c r="K43" s="38"/>
      <c r="L43" s="41"/>
      <c r="M43" s="42"/>
      <c r="N43" s="42"/>
      <c r="O43" s="42"/>
      <c r="P43" s="53"/>
      <c r="Q43" s="53">
        <f>10.4*2*2</f>
        <v>41.6</v>
      </c>
      <c r="R43" s="53">
        <f t="shared" si="8"/>
        <v>2612.48</v>
      </c>
      <c r="S43" s="53"/>
      <c r="T43" s="53"/>
      <c r="U43" s="54"/>
      <c r="V43" s="53"/>
      <c r="W43" s="53"/>
      <c r="X43" s="53"/>
      <c r="Y43" s="53"/>
      <c r="Z43" s="53"/>
      <c r="AA43" s="53"/>
      <c r="AB43" s="53"/>
      <c r="AC43" s="44">
        <f t="shared" si="2"/>
        <v>41.6</v>
      </c>
      <c r="AD43" s="44">
        <f t="shared" si="2"/>
        <v>2612.48</v>
      </c>
      <c r="AE43" s="45" t="s">
        <v>146</v>
      </c>
      <c r="AF43" s="45"/>
      <c r="AG43" s="45"/>
      <c r="AH43" s="45"/>
      <c r="AI43" s="45"/>
      <c r="AJ43" s="45"/>
      <c r="AK43" s="45"/>
      <c r="AL43" s="45"/>
      <c r="AM43" s="45"/>
      <c r="AN43" s="45"/>
      <c r="AO43" s="45"/>
      <c r="AP43" s="45"/>
      <c r="AQ43" s="45"/>
      <c r="AR43" s="45"/>
      <c r="AS43" s="45"/>
      <c r="AT43" s="45"/>
      <c r="AU43" s="45"/>
      <c r="AV43" s="45"/>
      <c r="AW43" s="45"/>
      <c r="AX43" s="45"/>
      <c r="AY43" s="45"/>
      <c r="AZ43" s="46"/>
      <c r="BA43" s="47"/>
      <c r="BB43" s="62"/>
      <c r="BC43" s="62"/>
      <c r="BD43" s="230"/>
      <c r="BE43" s="233"/>
      <c r="BF43" s="63"/>
      <c r="BG43" s="63"/>
      <c r="BH43" s="63"/>
      <c r="BI43" s="63"/>
      <c r="BJ43" s="63"/>
      <c r="BK43" s="63"/>
      <c r="BL43" s="63"/>
      <c r="BM43" s="63"/>
      <c r="BN43" s="63"/>
      <c r="BO43" s="63"/>
      <c r="BP43" s="48">
        <f t="shared" si="0"/>
        <v>0</v>
      </c>
      <c r="BQ43" s="49">
        <f t="shared" si="3"/>
        <v>0</v>
      </c>
      <c r="BR43" s="50">
        <f t="shared" si="1"/>
        <v>0</v>
      </c>
      <c r="BS43" s="49">
        <f t="shared" si="4"/>
        <v>0</v>
      </c>
    </row>
    <row r="44" spans="1:71" s="9" customFormat="1" ht="17" x14ac:dyDescent="0.15">
      <c r="A44" s="34" t="s">
        <v>147</v>
      </c>
      <c r="B44" s="35" t="s">
        <v>131</v>
      </c>
      <c r="C44" s="35" t="s">
        <v>148</v>
      </c>
      <c r="D44" s="36" t="s">
        <v>52</v>
      </c>
      <c r="E44" s="37" t="s">
        <v>53</v>
      </c>
      <c r="F44" s="38">
        <v>78.5</v>
      </c>
      <c r="G44" s="38">
        <v>541.93121019108287</v>
      </c>
      <c r="H44" s="38">
        <v>42541.600000000006</v>
      </c>
      <c r="I44" s="39">
        <v>572.5</v>
      </c>
      <c r="J44" s="40">
        <v>44941.25</v>
      </c>
      <c r="K44" s="38"/>
      <c r="L44" s="41"/>
      <c r="M44" s="42"/>
      <c r="N44" s="42"/>
      <c r="O44" s="42"/>
      <c r="P44" s="53"/>
      <c r="Q44" s="53">
        <f>25*2*11.45</f>
        <v>572.5</v>
      </c>
      <c r="R44" s="53">
        <f t="shared" si="8"/>
        <v>44941.25</v>
      </c>
      <c r="S44" s="53"/>
      <c r="T44" s="53"/>
      <c r="U44" s="54"/>
      <c r="V44" s="53"/>
      <c r="W44" s="53"/>
      <c r="X44" s="53"/>
      <c r="Y44" s="53"/>
      <c r="Z44" s="53"/>
      <c r="AA44" s="53"/>
      <c r="AB44" s="53"/>
      <c r="AC44" s="44">
        <f t="shared" si="2"/>
        <v>572.5</v>
      </c>
      <c r="AD44" s="44">
        <f t="shared" si="2"/>
        <v>44941.25</v>
      </c>
      <c r="AE44" s="45" t="s">
        <v>149</v>
      </c>
      <c r="AF44" s="45"/>
      <c r="AG44" s="45"/>
      <c r="AH44" s="45"/>
      <c r="AI44" s="45"/>
      <c r="AJ44" s="45"/>
      <c r="AK44" s="45"/>
      <c r="AL44" s="45"/>
      <c r="AM44" s="45"/>
      <c r="AN44" s="45"/>
      <c r="AO44" s="45"/>
      <c r="AP44" s="45"/>
      <c r="AQ44" s="45"/>
      <c r="AR44" s="45"/>
      <c r="AS44" s="45"/>
      <c r="AT44" s="45"/>
      <c r="AU44" s="45"/>
      <c r="AV44" s="45"/>
      <c r="AW44" s="45"/>
      <c r="AX44" s="45"/>
      <c r="AY44" s="45"/>
      <c r="AZ44" s="46"/>
      <c r="BA44" s="47"/>
      <c r="BB44" s="47"/>
      <c r="BC44" s="47"/>
      <c r="BD44" s="47">
        <v>270.96560509554143</v>
      </c>
      <c r="BE44" s="47">
        <v>21270.800000000003</v>
      </c>
      <c r="BF44" s="47"/>
      <c r="BG44" s="47"/>
      <c r="BH44" s="47"/>
      <c r="BI44" s="47"/>
      <c r="BJ44" s="47"/>
      <c r="BK44" s="47"/>
      <c r="BL44" s="47"/>
      <c r="BM44" s="47"/>
      <c r="BN44" s="47"/>
      <c r="BO44" s="47"/>
      <c r="BP44" s="48">
        <f t="shared" si="0"/>
        <v>270.96560509554143</v>
      </c>
      <c r="BQ44" s="49">
        <f t="shared" si="3"/>
        <v>541.93121019108287</v>
      </c>
      <c r="BR44" s="50">
        <f t="shared" si="1"/>
        <v>21270.800000000003</v>
      </c>
      <c r="BS44" s="49">
        <f t="shared" si="4"/>
        <v>42541.600000000006</v>
      </c>
    </row>
    <row r="45" spans="1:71" s="9" customFormat="1" ht="17" x14ac:dyDescent="0.15">
      <c r="A45" s="34" t="s">
        <v>150</v>
      </c>
      <c r="B45" s="35" t="s">
        <v>131</v>
      </c>
      <c r="C45" s="35" t="s">
        <v>151</v>
      </c>
      <c r="D45" s="36" t="s">
        <v>52</v>
      </c>
      <c r="E45" s="37" t="s">
        <v>53</v>
      </c>
      <c r="F45" s="38">
        <v>94.199999999999989</v>
      </c>
      <c r="G45" s="225">
        <f>+H45/F45</f>
        <v>438.20594479830152</v>
      </c>
      <c r="H45" s="225">
        <v>41279</v>
      </c>
      <c r="I45" s="39">
        <v>91.6</v>
      </c>
      <c r="J45" s="40">
        <v>8628.7199999999975</v>
      </c>
      <c r="K45" s="38"/>
      <c r="L45" s="41"/>
      <c r="M45" s="42"/>
      <c r="N45" s="42"/>
      <c r="O45" s="42"/>
      <c r="P45" s="53"/>
      <c r="Q45" s="53">
        <f>4*2*11.45</f>
        <v>91.6</v>
      </c>
      <c r="R45" s="53">
        <f t="shared" si="8"/>
        <v>8628.7199999999975</v>
      </c>
      <c r="S45" s="53"/>
      <c r="T45" s="53"/>
      <c r="U45" s="54"/>
      <c r="V45" s="53"/>
      <c r="W45" s="53"/>
      <c r="X45" s="53"/>
      <c r="Y45" s="53"/>
      <c r="Z45" s="53"/>
      <c r="AA45" s="53"/>
      <c r="AB45" s="53"/>
      <c r="AC45" s="44">
        <f t="shared" si="2"/>
        <v>91.6</v>
      </c>
      <c r="AD45" s="44">
        <f t="shared" si="2"/>
        <v>8628.7199999999975</v>
      </c>
      <c r="AE45" s="45" t="s">
        <v>152</v>
      </c>
      <c r="AF45" s="45"/>
      <c r="AG45" s="45"/>
      <c r="AH45" s="45"/>
      <c r="AI45" s="45"/>
      <c r="AJ45" s="45"/>
      <c r="AK45" s="45"/>
      <c r="AL45" s="45"/>
      <c r="AM45" s="45"/>
      <c r="AN45" s="45"/>
      <c r="AO45" s="45"/>
      <c r="AP45" s="45"/>
      <c r="AQ45" s="45"/>
      <c r="AR45" s="45"/>
      <c r="AS45" s="45"/>
      <c r="AT45" s="45"/>
      <c r="AU45" s="45"/>
      <c r="AV45" s="45"/>
      <c r="AW45" s="45"/>
      <c r="AX45" s="45"/>
      <c r="AY45" s="45"/>
      <c r="AZ45" s="46"/>
      <c r="BA45" s="47"/>
      <c r="BB45" s="60"/>
      <c r="BC45" s="60"/>
      <c r="BD45" s="228">
        <v>219.10392781316349</v>
      </c>
      <c r="BE45" s="231">
        <v>20639.59</v>
      </c>
      <c r="BF45" s="61"/>
      <c r="BG45" s="61"/>
      <c r="BH45" s="61"/>
      <c r="BI45" s="61"/>
      <c r="BJ45" s="61"/>
      <c r="BK45" s="61"/>
      <c r="BL45" s="61"/>
      <c r="BM45" s="61"/>
      <c r="BN45" s="61"/>
      <c r="BO45" s="61"/>
      <c r="BP45" s="48">
        <f t="shared" si="0"/>
        <v>219.10392781316349</v>
      </c>
      <c r="BQ45" s="49">
        <f t="shared" si="3"/>
        <v>438.20785562632699</v>
      </c>
      <c r="BR45" s="50">
        <f t="shared" si="1"/>
        <v>20639.59</v>
      </c>
      <c r="BS45" s="49">
        <f t="shared" si="4"/>
        <v>41279.18</v>
      </c>
    </row>
    <row r="46" spans="1:71" s="9" customFormat="1" ht="17" x14ac:dyDescent="0.15">
      <c r="A46" s="34" t="s">
        <v>153</v>
      </c>
      <c r="B46" s="35" t="s">
        <v>131</v>
      </c>
      <c r="C46" s="35" t="s">
        <v>154</v>
      </c>
      <c r="D46" s="36" t="s">
        <v>52</v>
      </c>
      <c r="E46" s="37" t="s">
        <v>53</v>
      </c>
      <c r="F46" s="38">
        <v>94.199999999999989</v>
      </c>
      <c r="G46" s="226"/>
      <c r="H46" s="226"/>
      <c r="I46" s="39">
        <v>216.04000000000002</v>
      </c>
      <c r="J46" s="40">
        <v>20350.968000000001</v>
      </c>
      <c r="K46" s="38"/>
      <c r="L46" s="41"/>
      <c r="M46" s="42"/>
      <c r="N46" s="42"/>
      <c r="O46" s="42"/>
      <c r="P46" s="53"/>
      <c r="Q46" s="53">
        <f>11*2*9.82</f>
        <v>216.04000000000002</v>
      </c>
      <c r="R46" s="53">
        <f t="shared" si="8"/>
        <v>20350.968000000001</v>
      </c>
      <c r="S46" s="53"/>
      <c r="T46" s="53"/>
      <c r="U46" s="54"/>
      <c r="V46" s="53"/>
      <c r="W46" s="53"/>
      <c r="X46" s="53"/>
      <c r="Y46" s="53"/>
      <c r="Z46" s="53"/>
      <c r="AA46" s="53"/>
      <c r="AB46" s="53"/>
      <c r="AC46" s="44">
        <f t="shared" si="2"/>
        <v>216.04000000000002</v>
      </c>
      <c r="AD46" s="44">
        <f t="shared" si="2"/>
        <v>20350.968000000001</v>
      </c>
      <c r="AE46" s="45" t="s">
        <v>155</v>
      </c>
      <c r="AF46" s="45"/>
      <c r="AG46" s="45"/>
      <c r="AH46" s="45"/>
      <c r="AI46" s="45"/>
      <c r="AJ46" s="45"/>
      <c r="AK46" s="45"/>
      <c r="AL46" s="45"/>
      <c r="AM46" s="45"/>
      <c r="AN46" s="45"/>
      <c r="AO46" s="45"/>
      <c r="AP46" s="45"/>
      <c r="AQ46" s="45"/>
      <c r="AR46" s="45"/>
      <c r="AS46" s="45"/>
      <c r="AT46" s="45"/>
      <c r="AU46" s="45"/>
      <c r="AV46" s="45"/>
      <c r="AW46" s="45"/>
      <c r="AX46" s="45"/>
      <c r="AY46" s="45"/>
      <c r="AZ46" s="46"/>
      <c r="BA46" s="47"/>
      <c r="BB46" s="64"/>
      <c r="BC46" s="64"/>
      <c r="BD46" s="229"/>
      <c r="BE46" s="232"/>
      <c r="BF46" s="65"/>
      <c r="BG46" s="65"/>
      <c r="BH46" s="65"/>
      <c r="BI46" s="65"/>
      <c r="BJ46" s="65"/>
      <c r="BK46" s="65"/>
      <c r="BL46" s="65"/>
      <c r="BM46" s="65"/>
      <c r="BN46" s="65"/>
      <c r="BO46" s="65"/>
      <c r="BP46" s="48">
        <f t="shared" si="0"/>
        <v>0</v>
      </c>
      <c r="BQ46" s="49">
        <f t="shared" si="3"/>
        <v>0</v>
      </c>
      <c r="BR46" s="50">
        <f t="shared" si="1"/>
        <v>0</v>
      </c>
      <c r="BS46" s="49">
        <f t="shared" si="4"/>
        <v>0</v>
      </c>
    </row>
    <row r="47" spans="1:71" s="9" customFormat="1" ht="17" x14ac:dyDescent="0.15">
      <c r="A47" s="34" t="s">
        <v>156</v>
      </c>
      <c r="B47" s="35" t="s">
        <v>131</v>
      </c>
      <c r="C47" s="35" t="s">
        <v>157</v>
      </c>
      <c r="D47" s="36" t="s">
        <v>52</v>
      </c>
      <c r="E47" s="37" t="s">
        <v>53</v>
      </c>
      <c r="F47" s="38">
        <v>94.199999999999989</v>
      </c>
      <c r="G47" s="226"/>
      <c r="H47" s="226"/>
      <c r="I47" s="39">
        <v>156.4</v>
      </c>
      <c r="J47" s="40">
        <v>14732.88</v>
      </c>
      <c r="K47" s="38"/>
      <c r="L47" s="41"/>
      <c r="M47" s="42"/>
      <c r="N47" s="42"/>
      <c r="O47" s="42"/>
      <c r="P47" s="53"/>
      <c r="Q47" s="53">
        <f>10*2*7.82</f>
        <v>156.4</v>
      </c>
      <c r="R47" s="53">
        <f t="shared" si="8"/>
        <v>14732.88</v>
      </c>
      <c r="S47" s="53"/>
      <c r="T47" s="53"/>
      <c r="U47" s="54"/>
      <c r="V47" s="53"/>
      <c r="W47" s="53"/>
      <c r="X47" s="53"/>
      <c r="Y47" s="53"/>
      <c r="Z47" s="53"/>
      <c r="AA47" s="53"/>
      <c r="AB47" s="53"/>
      <c r="AC47" s="44">
        <f t="shared" si="2"/>
        <v>156.4</v>
      </c>
      <c r="AD47" s="44">
        <f t="shared" si="2"/>
        <v>14732.88</v>
      </c>
      <c r="AE47" s="45" t="s">
        <v>158</v>
      </c>
      <c r="AF47" s="45"/>
      <c r="AG47" s="45"/>
      <c r="AH47" s="45"/>
      <c r="AI47" s="45"/>
      <c r="AJ47" s="45"/>
      <c r="AK47" s="45"/>
      <c r="AL47" s="45"/>
      <c r="AM47" s="45"/>
      <c r="AN47" s="45"/>
      <c r="AO47" s="45"/>
      <c r="AP47" s="45"/>
      <c r="AQ47" s="45"/>
      <c r="AR47" s="45"/>
      <c r="AS47" s="45"/>
      <c r="AT47" s="45"/>
      <c r="AU47" s="45"/>
      <c r="AV47" s="45"/>
      <c r="AW47" s="45"/>
      <c r="AX47" s="45"/>
      <c r="AY47" s="45"/>
      <c r="AZ47" s="46"/>
      <c r="BA47" s="47"/>
      <c r="BB47" s="62"/>
      <c r="BC47" s="62"/>
      <c r="BD47" s="230"/>
      <c r="BE47" s="233"/>
      <c r="BF47" s="63"/>
      <c r="BG47" s="63"/>
      <c r="BH47" s="63"/>
      <c r="BI47" s="63"/>
      <c r="BJ47" s="63"/>
      <c r="BK47" s="63"/>
      <c r="BL47" s="63"/>
      <c r="BM47" s="63"/>
      <c r="BN47" s="63"/>
      <c r="BO47" s="63"/>
      <c r="BP47" s="48">
        <f t="shared" si="0"/>
        <v>0</v>
      </c>
      <c r="BQ47" s="49">
        <f t="shared" si="3"/>
        <v>0</v>
      </c>
      <c r="BR47" s="50">
        <f t="shared" si="1"/>
        <v>0</v>
      </c>
      <c r="BS47" s="49">
        <f t="shared" si="4"/>
        <v>0</v>
      </c>
    </row>
    <row r="48" spans="1:71" s="9" customFormat="1" ht="17" x14ac:dyDescent="0.15">
      <c r="A48" s="34" t="s">
        <v>159</v>
      </c>
      <c r="B48" s="35" t="s">
        <v>131</v>
      </c>
      <c r="C48" s="35" t="s">
        <v>160</v>
      </c>
      <c r="D48" s="36" t="s">
        <v>52</v>
      </c>
      <c r="E48" s="37" t="s">
        <v>53</v>
      </c>
      <c r="F48" s="38">
        <v>125.6</v>
      </c>
      <c r="G48" s="225">
        <v>688.59872611464971</v>
      </c>
      <c r="H48" s="225">
        <v>86488</v>
      </c>
      <c r="I48" s="39">
        <v>274.79999999999995</v>
      </c>
      <c r="J48" s="40">
        <v>34514.87999999999</v>
      </c>
      <c r="K48" s="38"/>
      <c r="L48" s="41"/>
      <c r="M48" s="42"/>
      <c r="N48" s="42"/>
      <c r="O48" s="42"/>
      <c r="P48" s="53"/>
      <c r="Q48" s="53">
        <f>12*2*11.45</f>
        <v>274.79999999999995</v>
      </c>
      <c r="R48" s="53">
        <f t="shared" si="8"/>
        <v>34514.87999999999</v>
      </c>
      <c r="S48" s="53"/>
      <c r="T48" s="53"/>
      <c r="U48" s="54"/>
      <c r="V48" s="53"/>
      <c r="W48" s="53"/>
      <c r="X48" s="53"/>
      <c r="Y48" s="53"/>
      <c r="Z48" s="53"/>
      <c r="AA48" s="53"/>
      <c r="AB48" s="53"/>
      <c r="AC48" s="44">
        <f t="shared" si="2"/>
        <v>274.79999999999995</v>
      </c>
      <c r="AD48" s="44">
        <f t="shared" si="2"/>
        <v>34514.87999999999</v>
      </c>
      <c r="AE48" s="45" t="s">
        <v>161</v>
      </c>
      <c r="AF48" s="45"/>
      <c r="AG48" s="45"/>
      <c r="AH48" s="45"/>
      <c r="AI48" s="45"/>
      <c r="AJ48" s="45"/>
      <c r="AK48" s="45"/>
      <c r="AL48" s="45"/>
      <c r="AM48" s="45"/>
      <c r="AN48" s="45"/>
      <c r="AO48" s="45"/>
      <c r="AP48" s="45"/>
      <c r="AQ48" s="45"/>
      <c r="AR48" s="45"/>
      <c r="AS48" s="45"/>
      <c r="AT48" s="45"/>
      <c r="AU48" s="45"/>
      <c r="AV48" s="45"/>
      <c r="AW48" s="45"/>
      <c r="AX48" s="45"/>
      <c r="AY48" s="45"/>
      <c r="AZ48" s="46"/>
      <c r="BA48" s="47"/>
      <c r="BB48" s="60"/>
      <c r="BC48" s="60"/>
      <c r="BD48" s="228">
        <v>344.2983280254777</v>
      </c>
      <c r="BE48" s="231">
        <v>43243.869999999995</v>
      </c>
      <c r="BF48" s="61"/>
      <c r="BG48" s="61"/>
      <c r="BH48" s="61"/>
      <c r="BI48" s="61"/>
      <c r="BJ48" s="61"/>
      <c r="BK48" s="61"/>
      <c r="BL48" s="61"/>
      <c r="BM48" s="61"/>
      <c r="BN48" s="61"/>
      <c r="BO48" s="61"/>
      <c r="BP48" s="48">
        <f t="shared" si="0"/>
        <v>344.2983280254777</v>
      </c>
      <c r="BQ48" s="49">
        <f t="shared" si="3"/>
        <v>688.5966560509554</v>
      </c>
      <c r="BR48" s="50">
        <f t="shared" si="1"/>
        <v>43243.869999999995</v>
      </c>
      <c r="BS48" s="49">
        <f t="shared" si="4"/>
        <v>86487.739999999991</v>
      </c>
    </row>
    <row r="49" spans="1:71" s="9" customFormat="1" ht="17" x14ac:dyDescent="0.15">
      <c r="A49" s="34" t="s">
        <v>162</v>
      </c>
      <c r="B49" s="35" t="s">
        <v>131</v>
      </c>
      <c r="C49" s="35" t="s">
        <v>163</v>
      </c>
      <c r="D49" s="36" t="s">
        <v>52</v>
      </c>
      <c r="E49" s="37" t="s">
        <v>53</v>
      </c>
      <c r="F49" s="38">
        <v>125.6</v>
      </c>
      <c r="G49" s="226"/>
      <c r="H49" s="226"/>
      <c r="I49" s="39">
        <v>255.32</v>
      </c>
      <c r="J49" s="40">
        <v>32068.191999999999</v>
      </c>
      <c r="K49" s="38"/>
      <c r="L49" s="41"/>
      <c r="M49" s="42"/>
      <c r="N49" s="42"/>
      <c r="O49" s="42"/>
      <c r="P49" s="53"/>
      <c r="Q49" s="53">
        <f>13*2*9.82</f>
        <v>255.32</v>
      </c>
      <c r="R49" s="53">
        <f t="shared" si="8"/>
        <v>32068.191999999999</v>
      </c>
      <c r="S49" s="53"/>
      <c r="T49" s="53"/>
      <c r="U49" s="54"/>
      <c r="V49" s="53"/>
      <c r="W49" s="53"/>
      <c r="X49" s="53"/>
      <c r="Y49" s="53"/>
      <c r="Z49" s="53"/>
      <c r="AA49" s="53"/>
      <c r="AB49" s="53"/>
      <c r="AC49" s="44">
        <f t="shared" si="2"/>
        <v>255.32</v>
      </c>
      <c r="AD49" s="44">
        <f t="shared" si="2"/>
        <v>32068.191999999999</v>
      </c>
      <c r="AE49" s="45" t="s">
        <v>164</v>
      </c>
      <c r="AF49" s="45"/>
      <c r="AG49" s="45"/>
      <c r="AH49" s="45"/>
      <c r="AI49" s="45"/>
      <c r="AJ49" s="45"/>
      <c r="AK49" s="45"/>
      <c r="AL49" s="45"/>
      <c r="AM49" s="45"/>
      <c r="AN49" s="45"/>
      <c r="AO49" s="45"/>
      <c r="AP49" s="45"/>
      <c r="AQ49" s="45"/>
      <c r="AR49" s="45"/>
      <c r="AS49" s="45"/>
      <c r="AT49" s="45"/>
      <c r="AU49" s="45"/>
      <c r="AV49" s="45"/>
      <c r="AW49" s="45"/>
      <c r="AX49" s="45"/>
      <c r="AY49" s="45"/>
      <c r="AZ49" s="46"/>
      <c r="BA49" s="47"/>
      <c r="BB49" s="64"/>
      <c r="BC49" s="64"/>
      <c r="BD49" s="229"/>
      <c r="BE49" s="232"/>
      <c r="BF49" s="65"/>
      <c r="BG49" s="65"/>
      <c r="BH49" s="65"/>
      <c r="BI49" s="65"/>
      <c r="BJ49" s="65"/>
      <c r="BK49" s="65"/>
      <c r="BL49" s="65"/>
      <c r="BM49" s="65"/>
      <c r="BN49" s="65"/>
      <c r="BO49" s="65"/>
      <c r="BP49" s="48">
        <f t="shared" si="0"/>
        <v>0</v>
      </c>
      <c r="BQ49" s="49">
        <f t="shared" si="3"/>
        <v>0</v>
      </c>
      <c r="BR49" s="50">
        <f t="shared" si="1"/>
        <v>0</v>
      </c>
      <c r="BS49" s="49">
        <f t="shared" si="4"/>
        <v>0</v>
      </c>
    </row>
    <row r="50" spans="1:71" s="9" customFormat="1" ht="17" x14ac:dyDescent="0.15">
      <c r="A50" s="34" t="s">
        <v>165</v>
      </c>
      <c r="B50" s="35" t="s">
        <v>131</v>
      </c>
      <c r="C50" s="35" t="s">
        <v>166</v>
      </c>
      <c r="D50" s="36" t="s">
        <v>52</v>
      </c>
      <c r="E50" s="37" t="s">
        <v>53</v>
      </c>
      <c r="F50" s="38">
        <v>125.6</v>
      </c>
      <c r="G50" s="227"/>
      <c r="H50" s="227"/>
      <c r="I50" s="39">
        <v>187.68</v>
      </c>
      <c r="J50" s="40">
        <v>23572.608</v>
      </c>
      <c r="K50" s="38"/>
      <c r="L50" s="41"/>
      <c r="M50" s="42"/>
      <c r="N50" s="42"/>
      <c r="O50" s="42"/>
      <c r="P50" s="53"/>
      <c r="Q50" s="53">
        <f>12*2*7.82</f>
        <v>187.68</v>
      </c>
      <c r="R50" s="53">
        <f t="shared" si="8"/>
        <v>23572.608</v>
      </c>
      <c r="S50" s="53"/>
      <c r="T50" s="53"/>
      <c r="U50" s="54"/>
      <c r="V50" s="53"/>
      <c r="W50" s="53"/>
      <c r="X50" s="53"/>
      <c r="Y50" s="53"/>
      <c r="Z50" s="53"/>
      <c r="AA50" s="53"/>
      <c r="AB50" s="53"/>
      <c r="AC50" s="44">
        <f t="shared" si="2"/>
        <v>187.68</v>
      </c>
      <c r="AD50" s="44">
        <f t="shared" si="2"/>
        <v>23572.608</v>
      </c>
      <c r="AE50" s="45" t="s">
        <v>167</v>
      </c>
      <c r="AF50" s="45"/>
      <c r="AG50" s="45"/>
      <c r="AH50" s="45"/>
      <c r="AI50" s="45"/>
      <c r="AJ50" s="45"/>
      <c r="AK50" s="45"/>
      <c r="AL50" s="45"/>
      <c r="AM50" s="45"/>
      <c r="AN50" s="45"/>
      <c r="AO50" s="45"/>
      <c r="AP50" s="45"/>
      <c r="AQ50" s="45"/>
      <c r="AR50" s="45"/>
      <c r="AS50" s="45"/>
      <c r="AT50" s="45"/>
      <c r="AU50" s="45"/>
      <c r="AV50" s="45"/>
      <c r="AW50" s="45"/>
      <c r="AX50" s="45"/>
      <c r="AY50" s="45"/>
      <c r="AZ50" s="46"/>
      <c r="BA50" s="47"/>
      <c r="BB50" s="62"/>
      <c r="BC50" s="62"/>
      <c r="BD50" s="230"/>
      <c r="BE50" s="233"/>
      <c r="BF50" s="63"/>
      <c r="BG50" s="63"/>
      <c r="BH50" s="63"/>
      <c r="BI50" s="63"/>
      <c r="BJ50" s="63"/>
      <c r="BK50" s="63"/>
      <c r="BL50" s="63"/>
      <c r="BM50" s="63"/>
      <c r="BN50" s="63"/>
      <c r="BO50" s="63"/>
      <c r="BP50" s="48">
        <f t="shared" si="0"/>
        <v>0</v>
      </c>
      <c r="BQ50" s="49">
        <f t="shared" si="3"/>
        <v>0</v>
      </c>
      <c r="BR50" s="50">
        <f t="shared" si="1"/>
        <v>0</v>
      </c>
      <c r="BS50" s="49">
        <f t="shared" si="4"/>
        <v>0</v>
      </c>
    </row>
    <row r="51" spans="1:71" s="9" customFormat="1" ht="17" x14ac:dyDescent="0.15">
      <c r="A51" s="34" t="s">
        <v>168</v>
      </c>
      <c r="B51" s="35" t="s">
        <v>169</v>
      </c>
      <c r="C51" s="35" t="s">
        <v>62</v>
      </c>
      <c r="D51" s="36" t="s">
        <v>52</v>
      </c>
      <c r="E51" s="37" t="s">
        <v>53</v>
      </c>
      <c r="F51" s="38">
        <v>196.25</v>
      </c>
      <c r="G51" s="38">
        <v>124.37069484840762</v>
      </c>
      <c r="H51" s="38">
        <v>24407.748863999994</v>
      </c>
      <c r="I51" s="39">
        <v>97.679324399999985</v>
      </c>
      <c r="J51" s="40">
        <v>19169.567413499997</v>
      </c>
      <c r="K51" s="38"/>
      <c r="L51" s="41"/>
      <c r="M51" s="42"/>
      <c r="N51" s="42"/>
      <c r="O51" s="42"/>
      <c r="P51" s="53"/>
      <c r="Q51" s="53">
        <f>+G51*1.13</f>
        <v>140.53888517870061</v>
      </c>
      <c r="R51" s="53">
        <f t="shared" si="8"/>
        <v>27580.756216319995</v>
      </c>
      <c r="S51" s="53"/>
      <c r="T51" s="53"/>
      <c r="U51" s="54"/>
      <c r="V51" s="53"/>
      <c r="W51" s="53"/>
      <c r="X51" s="53"/>
      <c r="Y51" s="53"/>
      <c r="Z51" s="53"/>
      <c r="AA51" s="53">
        <v>43</v>
      </c>
      <c r="AB51" s="53">
        <f>+AA51*F51</f>
        <v>8438.75</v>
      </c>
      <c r="AC51" s="44">
        <f t="shared" si="2"/>
        <v>140.67932439999998</v>
      </c>
      <c r="AD51" s="44">
        <f t="shared" si="2"/>
        <v>27608.317413499997</v>
      </c>
      <c r="AE51" s="45" t="s">
        <v>54</v>
      </c>
      <c r="AF51" s="45"/>
      <c r="AG51" s="45"/>
      <c r="AH51" s="45">
        <v>0.15307006369426751</v>
      </c>
      <c r="AI51" s="45">
        <v>30.04</v>
      </c>
      <c r="AJ51" s="45"/>
      <c r="AK51" s="45"/>
      <c r="AL51" s="45"/>
      <c r="AM51" s="45"/>
      <c r="AN51" s="45">
        <v>4.3159235668789819E-2</v>
      </c>
      <c r="AO51" s="45">
        <v>8.4700000000000006</v>
      </c>
      <c r="AP51" s="45"/>
      <c r="AQ51" s="45"/>
      <c r="AR51" s="45"/>
      <c r="AS51" s="45"/>
      <c r="AT51" s="45"/>
      <c r="AU51" s="45"/>
      <c r="AV51" s="45"/>
      <c r="AW51" s="45"/>
      <c r="AX51" s="45">
        <v>1.1321273885350318</v>
      </c>
      <c r="AY51" s="45">
        <v>222.18</v>
      </c>
      <c r="AZ51" s="46">
        <v>1.0827006369426753</v>
      </c>
      <c r="BA51" s="47">
        <v>212.48</v>
      </c>
      <c r="BB51" s="47">
        <v>1.0219334399999997</v>
      </c>
      <c r="BC51" s="47">
        <v>200.55443759999997</v>
      </c>
      <c r="BD51" s="47">
        <v>49.629554140127375</v>
      </c>
      <c r="BE51" s="47">
        <v>9739.7999999999975</v>
      </c>
      <c r="BF51" s="47">
        <v>8.2866751592356689</v>
      </c>
      <c r="BG51" s="47">
        <v>1626.26</v>
      </c>
      <c r="BH51" s="47">
        <v>0.83612736000000021</v>
      </c>
      <c r="BI51" s="47">
        <v>164.08999440000002</v>
      </c>
      <c r="BJ51" s="47"/>
      <c r="BK51" s="47"/>
      <c r="BL51" s="47"/>
      <c r="BM51" s="47"/>
      <c r="BN51" s="47"/>
      <c r="BO51" s="47"/>
      <c r="BP51" s="48">
        <f t="shared" si="0"/>
        <v>62.185347424203812</v>
      </c>
      <c r="BQ51" s="49">
        <f t="shared" si="3"/>
        <v>124.37069484840762</v>
      </c>
      <c r="BR51" s="50">
        <f t="shared" si="1"/>
        <v>12203.874431999997</v>
      </c>
      <c r="BS51" s="49">
        <f t="shared" si="4"/>
        <v>24407.748863999994</v>
      </c>
    </row>
    <row r="52" spans="1:71" s="9" customFormat="1" ht="17" x14ac:dyDescent="0.15">
      <c r="A52" s="34" t="s">
        <v>170</v>
      </c>
      <c r="B52" s="35" t="s">
        <v>169</v>
      </c>
      <c r="C52" s="35" t="s">
        <v>171</v>
      </c>
      <c r="D52" s="36" t="s">
        <v>52</v>
      </c>
      <c r="E52" s="37" t="s">
        <v>53</v>
      </c>
      <c r="F52" s="38">
        <v>298.3</v>
      </c>
      <c r="G52" s="38">
        <v>64.021186724773727</v>
      </c>
      <c r="H52" s="38">
        <v>19097.52</v>
      </c>
      <c r="I52" s="39">
        <v>70.747159999999994</v>
      </c>
      <c r="J52" s="40">
        <v>21103.877827999997</v>
      </c>
      <c r="K52" s="38"/>
      <c r="L52" s="41"/>
      <c r="M52" s="42"/>
      <c r="N52" s="42"/>
      <c r="O52" s="42"/>
      <c r="P52" s="53"/>
      <c r="Q52" s="53">
        <f>+G52*1.13</f>
        <v>72.343940998994299</v>
      </c>
      <c r="R52" s="53">
        <f t="shared" si="8"/>
        <v>21580.1976</v>
      </c>
      <c r="S52" s="53"/>
      <c r="T52" s="53"/>
      <c r="U52" s="54"/>
      <c r="V52" s="53"/>
      <c r="W52" s="53"/>
      <c r="X52" s="53"/>
      <c r="Y52" s="53">
        <v>2.12</v>
      </c>
      <c r="Z52" s="53">
        <f>+Y52*F52</f>
        <v>632.39600000000007</v>
      </c>
      <c r="AA52" s="53">
        <v>1.25</v>
      </c>
      <c r="AB52" s="53">
        <f>+AA52*F52</f>
        <v>372.875</v>
      </c>
      <c r="AC52" s="44">
        <f t="shared" si="2"/>
        <v>71.997159999999994</v>
      </c>
      <c r="AD52" s="44">
        <f t="shared" si="2"/>
        <v>21476.752827999997</v>
      </c>
      <c r="AE52" s="45" t="s">
        <v>54</v>
      </c>
      <c r="AF52" s="45"/>
      <c r="AG52" s="45"/>
      <c r="AH52" s="45">
        <v>0.9560844787127053</v>
      </c>
      <c r="AI52" s="45">
        <v>285.2</v>
      </c>
      <c r="AJ52" s="45"/>
      <c r="AK52" s="45"/>
      <c r="AL52" s="45"/>
      <c r="AM52" s="45"/>
      <c r="AN52" s="45"/>
      <c r="AO52" s="45"/>
      <c r="AP52" s="45"/>
      <c r="AQ52" s="45"/>
      <c r="AR52" s="45"/>
      <c r="AS52" s="45"/>
      <c r="AT52" s="45"/>
      <c r="AU52" s="45"/>
      <c r="AV52" s="45"/>
      <c r="AW52" s="45"/>
      <c r="AX52" s="45">
        <v>0.58229969829031181</v>
      </c>
      <c r="AY52" s="45">
        <v>173.7</v>
      </c>
      <c r="AZ52" s="46"/>
      <c r="BA52" s="47"/>
      <c r="BB52" s="47"/>
      <c r="BC52" s="47"/>
      <c r="BD52" s="57">
        <v>30.365504525645328</v>
      </c>
      <c r="BE52" s="57">
        <v>9058.0300000000007</v>
      </c>
      <c r="BF52" s="57">
        <v>0.10670465973851827</v>
      </c>
      <c r="BG52" s="57">
        <v>31.83</v>
      </c>
      <c r="BH52" s="57"/>
      <c r="BI52" s="57"/>
      <c r="BJ52" s="57"/>
      <c r="BK52" s="57"/>
      <c r="BL52" s="57"/>
      <c r="BM52" s="57"/>
      <c r="BN52" s="57"/>
      <c r="BO52" s="57"/>
      <c r="BP52" s="48">
        <f t="shared" si="0"/>
        <v>32.010593362386864</v>
      </c>
      <c r="BQ52" s="49">
        <f t="shared" si="3"/>
        <v>64.021186724773727</v>
      </c>
      <c r="BR52" s="50">
        <f t="shared" si="1"/>
        <v>9548.76</v>
      </c>
      <c r="BS52" s="49">
        <f t="shared" si="4"/>
        <v>19097.52</v>
      </c>
    </row>
    <row r="53" spans="1:71" s="9" customFormat="1" ht="17" x14ac:dyDescent="0.15">
      <c r="A53" s="34" t="s">
        <v>172</v>
      </c>
      <c r="B53" s="35" t="s">
        <v>173</v>
      </c>
      <c r="C53" s="35" t="s">
        <v>67</v>
      </c>
      <c r="D53" s="36" t="s">
        <v>52</v>
      </c>
      <c r="E53" s="37" t="s">
        <v>53</v>
      </c>
      <c r="F53" s="38">
        <v>431.75</v>
      </c>
      <c r="G53" s="38">
        <v>30.484910248986687</v>
      </c>
      <c r="H53" s="38">
        <v>13161.86</v>
      </c>
      <c r="I53" s="39">
        <v>42.4</v>
      </c>
      <c r="J53" s="40">
        <v>18306.2</v>
      </c>
      <c r="K53" s="38"/>
      <c r="L53" s="41"/>
      <c r="M53" s="42"/>
      <c r="N53" s="42"/>
      <c r="O53" s="42"/>
      <c r="P53" s="53"/>
      <c r="Q53" s="53">
        <f>24+9.2*2</f>
        <v>42.4</v>
      </c>
      <c r="R53" s="53">
        <f t="shared" si="8"/>
        <v>18306.2</v>
      </c>
      <c r="S53" s="53"/>
      <c r="T53" s="53"/>
      <c r="U53" s="54"/>
      <c r="V53" s="53"/>
      <c r="W53" s="53"/>
      <c r="X53" s="53"/>
      <c r="Y53" s="53"/>
      <c r="Z53" s="53"/>
      <c r="AA53" s="53"/>
      <c r="AB53" s="53"/>
      <c r="AC53" s="44">
        <f t="shared" si="2"/>
        <v>42.4</v>
      </c>
      <c r="AD53" s="44">
        <f t="shared" si="2"/>
        <v>18306.2</v>
      </c>
      <c r="AE53" s="45" t="s">
        <v>125</v>
      </c>
      <c r="AF53" s="45"/>
      <c r="AG53" s="45"/>
      <c r="AH53" s="45"/>
      <c r="AI53" s="45"/>
      <c r="AJ53" s="45"/>
      <c r="AK53" s="45"/>
      <c r="AL53" s="45"/>
      <c r="AM53" s="45"/>
      <c r="AN53" s="45"/>
      <c r="AO53" s="45"/>
      <c r="AP53" s="45"/>
      <c r="AQ53" s="45"/>
      <c r="AR53" s="45"/>
      <c r="AS53" s="45"/>
      <c r="AT53" s="45"/>
      <c r="AU53" s="45"/>
      <c r="AV53" s="45"/>
      <c r="AW53" s="45"/>
      <c r="AX53" s="45"/>
      <c r="AY53" s="45"/>
      <c r="AZ53" s="46"/>
      <c r="BA53" s="47"/>
      <c r="BB53" s="47"/>
      <c r="BC53" s="47"/>
      <c r="BD53" s="47">
        <v>15.242455124493343</v>
      </c>
      <c r="BE53" s="47">
        <v>6580.93</v>
      </c>
      <c r="BF53" s="47"/>
      <c r="BG53" s="47"/>
      <c r="BH53" s="47"/>
      <c r="BI53" s="47"/>
      <c r="BJ53" s="47"/>
      <c r="BK53" s="47"/>
      <c r="BL53" s="47"/>
      <c r="BM53" s="47"/>
      <c r="BN53" s="47"/>
      <c r="BO53" s="47"/>
      <c r="BP53" s="48">
        <f t="shared" si="0"/>
        <v>15.242455124493343</v>
      </c>
      <c r="BQ53" s="49">
        <f t="shared" si="3"/>
        <v>30.484910248986687</v>
      </c>
      <c r="BR53" s="50">
        <f t="shared" si="1"/>
        <v>6580.93</v>
      </c>
      <c r="BS53" s="49">
        <f t="shared" si="4"/>
        <v>13161.86</v>
      </c>
    </row>
    <row r="54" spans="1:71" s="9" customFormat="1" ht="17" x14ac:dyDescent="0.15">
      <c r="A54" s="34" t="s">
        <v>174</v>
      </c>
      <c r="B54" s="35" t="s">
        <v>175</v>
      </c>
      <c r="C54" s="35" t="s">
        <v>176</v>
      </c>
      <c r="D54" s="36" t="s">
        <v>52</v>
      </c>
      <c r="E54" s="37" t="s">
        <v>53</v>
      </c>
      <c r="F54" s="38">
        <v>78.5</v>
      </c>
      <c r="G54" s="38">
        <v>1430.3892993630577</v>
      </c>
      <c r="H54" s="38">
        <v>112285.56000000003</v>
      </c>
      <c r="I54" s="39">
        <v>1601.577070063694</v>
      </c>
      <c r="J54" s="40">
        <v>125723.79999999997</v>
      </c>
      <c r="K54" s="38"/>
      <c r="L54" s="41"/>
      <c r="M54" s="42"/>
      <c r="N54" s="42"/>
      <c r="O54" s="42"/>
      <c r="P54" s="53"/>
      <c r="Q54" s="53">
        <f>+G54*1.13</f>
        <v>1616.339908280255</v>
      </c>
      <c r="R54" s="53">
        <f t="shared" si="8"/>
        <v>126882.68280000002</v>
      </c>
      <c r="S54" s="53"/>
      <c r="T54" s="53"/>
      <c r="U54" s="54"/>
      <c r="V54" s="53"/>
      <c r="W54" s="53"/>
      <c r="X54" s="53"/>
      <c r="Y54" s="53"/>
      <c r="Z54" s="53"/>
      <c r="AA54" s="53"/>
      <c r="AB54" s="53"/>
      <c r="AC54" s="44">
        <f t="shared" si="2"/>
        <v>1601.577070063694</v>
      </c>
      <c r="AD54" s="44">
        <f t="shared" si="2"/>
        <v>125723.79999999997</v>
      </c>
      <c r="AE54" s="45" t="s">
        <v>177</v>
      </c>
      <c r="AF54" s="45">
        <v>715.19464968152886</v>
      </c>
      <c r="AG54" s="45">
        <v>56142.780000000013</v>
      </c>
      <c r="AH54" s="45"/>
      <c r="AI54" s="45"/>
      <c r="AJ54" s="45"/>
      <c r="AK54" s="45"/>
      <c r="AL54" s="45"/>
      <c r="AM54" s="45"/>
      <c r="AN54" s="45"/>
      <c r="AO54" s="45"/>
      <c r="AP54" s="45"/>
      <c r="AQ54" s="45"/>
      <c r="AR54" s="45"/>
      <c r="AS54" s="45"/>
      <c r="AT54" s="45"/>
      <c r="AU54" s="45"/>
      <c r="AV54" s="45"/>
      <c r="AW54" s="45"/>
      <c r="AX54" s="45"/>
      <c r="AY54" s="45"/>
      <c r="AZ54" s="46"/>
      <c r="BA54" s="47"/>
      <c r="BB54" s="47"/>
      <c r="BC54" s="47"/>
      <c r="BD54" s="47"/>
      <c r="BE54" s="47"/>
      <c r="BF54" s="47"/>
      <c r="BG54" s="47"/>
      <c r="BH54" s="47"/>
      <c r="BI54" s="47"/>
      <c r="BJ54" s="47"/>
      <c r="BK54" s="47"/>
      <c r="BL54" s="47"/>
      <c r="BM54" s="47"/>
      <c r="BN54" s="47"/>
      <c r="BO54" s="47"/>
      <c r="BP54" s="48">
        <f t="shared" si="0"/>
        <v>715.19464968152886</v>
      </c>
      <c r="BQ54" s="49">
        <f t="shared" si="3"/>
        <v>1430.3892993630577</v>
      </c>
      <c r="BR54" s="50">
        <f t="shared" si="1"/>
        <v>56142.780000000013</v>
      </c>
      <c r="BS54" s="49">
        <f t="shared" si="4"/>
        <v>112285.56000000003</v>
      </c>
    </row>
    <row r="55" spans="1:71" s="9" customFormat="1" ht="17" x14ac:dyDescent="0.15">
      <c r="A55" s="34" t="s">
        <v>178</v>
      </c>
      <c r="B55" s="35" t="s">
        <v>114</v>
      </c>
      <c r="C55" s="35" t="s">
        <v>179</v>
      </c>
      <c r="D55" s="36" t="s">
        <v>52</v>
      </c>
      <c r="E55" s="37" t="s">
        <v>98</v>
      </c>
      <c r="F55" s="66">
        <v>4.4304686951022418</v>
      </c>
      <c r="G55" s="38">
        <v>244.49600000000004</v>
      </c>
      <c r="H55" s="38">
        <v>1083.24</v>
      </c>
      <c r="I55" s="39">
        <v>150</v>
      </c>
      <c r="J55" s="40">
        <v>664.57030426533629</v>
      </c>
      <c r="K55" s="38"/>
      <c r="L55" s="41"/>
      <c r="M55" s="42"/>
      <c r="N55" s="42"/>
      <c r="O55" s="42"/>
      <c r="P55" s="53"/>
      <c r="Q55" s="53"/>
      <c r="R55" s="53"/>
      <c r="S55" s="53">
        <v>150</v>
      </c>
      <c r="T55" s="42">
        <f t="shared" ref="T55:T71" si="9">+S55*F55</f>
        <v>664.57030426533629</v>
      </c>
      <c r="U55" s="43"/>
      <c r="V55" s="42"/>
      <c r="W55" s="42"/>
      <c r="X55" s="42"/>
      <c r="Y55" s="42"/>
      <c r="Z55" s="42"/>
      <c r="AA55" s="42">
        <v>109</v>
      </c>
      <c r="AB55" s="42">
        <f t="shared" ref="AB55:AB60" si="10">+AA55*F55</f>
        <v>482.92108776614435</v>
      </c>
      <c r="AC55" s="44">
        <f t="shared" si="2"/>
        <v>259</v>
      </c>
      <c r="AD55" s="44">
        <f t="shared" si="2"/>
        <v>1147.4913920314807</v>
      </c>
      <c r="AE55" s="45" t="s">
        <v>54</v>
      </c>
      <c r="AF55" s="45"/>
      <c r="AG55" s="45"/>
      <c r="AH55" s="45"/>
      <c r="AI55" s="45"/>
      <c r="AJ55" s="45"/>
      <c r="AK55" s="45"/>
      <c r="AL55" s="45"/>
      <c r="AM55" s="45"/>
      <c r="AN55" s="45"/>
      <c r="AO55" s="45"/>
      <c r="AP55" s="45"/>
      <c r="AQ55" s="45"/>
      <c r="AR55" s="45"/>
      <c r="AS55" s="45"/>
      <c r="AT55" s="45"/>
      <c r="AU55" s="45"/>
      <c r="AV55" s="45"/>
      <c r="AW55" s="45"/>
      <c r="AX55" s="45">
        <v>56.923999999999999</v>
      </c>
      <c r="AY55" s="45">
        <v>252.2</v>
      </c>
      <c r="AZ55" s="46">
        <v>56.924000000000007</v>
      </c>
      <c r="BA55" s="47">
        <v>252.20000000000002</v>
      </c>
      <c r="BB55" s="47"/>
      <c r="BC55" s="47"/>
      <c r="BD55" s="47"/>
      <c r="BE55" s="47"/>
      <c r="BF55" s="47">
        <v>8.4</v>
      </c>
      <c r="BG55" s="47">
        <v>37.22</v>
      </c>
      <c r="BH55" s="47"/>
      <c r="BI55" s="47"/>
      <c r="BJ55" s="47"/>
      <c r="BK55" s="47"/>
      <c r="BL55" s="47"/>
      <c r="BM55" s="47"/>
      <c r="BN55" s="47"/>
      <c r="BO55" s="47"/>
      <c r="BP55" s="48">
        <f t="shared" si="0"/>
        <v>122.24800000000002</v>
      </c>
      <c r="BQ55" s="49">
        <f t="shared" si="3"/>
        <v>244.49600000000004</v>
      </c>
      <c r="BR55" s="50">
        <f t="shared" si="1"/>
        <v>541.62</v>
      </c>
      <c r="BS55" s="49">
        <f t="shared" si="4"/>
        <v>1083.24</v>
      </c>
    </row>
    <row r="56" spans="1:71" s="9" customFormat="1" ht="17" x14ac:dyDescent="0.15">
      <c r="A56" s="34" t="s">
        <v>180</v>
      </c>
      <c r="B56" s="35" t="s">
        <v>114</v>
      </c>
      <c r="C56" s="35" t="s">
        <v>181</v>
      </c>
      <c r="D56" s="36" t="s">
        <v>52</v>
      </c>
      <c r="E56" s="37" t="s">
        <v>98</v>
      </c>
      <c r="F56" s="66">
        <v>14.83</v>
      </c>
      <c r="G56" s="38">
        <v>940.70799999999986</v>
      </c>
      <c r="H56" s="38">
        <v>13437.12</v>
      </c>
      <c r="I56" s="39">
        <v>963.74997280000002</v>
      </c>
      <c r="J56" s="40">
        <v>14292.412096624001</v>
      </c>
      <c r="K56" s="38"/>
      <c r="L56" s="41"/>
      <c r="M56" s="42"/>
      <c r="N56" s="42"/>
      <c r="O56" s="42"/>
      <c r="P56" s="53"/>
      <c r="Q56" s="53"/>
      <c r="R56" s="53"/>
      <c r="S56" s="53">
        <f>+G56*1.07</f>
        <v>1006.5575599999999</v>
      </c>
      <c r="T56" s="42">
        <f t="shared" si="9"/>
        <v>14927.248614799997</v>
      </c>
      <c r="U56" s="43">
        <v>400</v>
      </c>
      <c r="V56" s="42">
        <f>+U56*F56</f>
        <v>5932</v>
      </c>
      <c r="W56" s="42"/>
      <c r="X56" s="42"/>
      <c r="Y56" s="42">
        <v>297</v>
      </c>
      <c r="Z56" s="42">
        <f>+Y56*F56</f>
        <v>4404.51</v>
      </c>
      <c r="AA56" s="42">
        <v>33</v>
      </c>
      <c r="AB56" s="42">
        <f t="shared" si="10"/>
        <v>489.39</v>
      </c>
      <c r="AC56" s="44">
        <f t="shared" si="2"/>
        <v>996.74997280000002</v>
      </c>
      <c r="AD56" s="44">
        <f t="shared" si="2"/>
        <v>14781.802096624</v>
      </c>
      <c r="AE56" s="45" t="s">
        <v>54</v>
      </c>
      <c r="AF56" s="45">
        <v>282.62599999999998</v>
      </c>
      <c r="AG56" s="45">
        <v>4177.8599999999997</v>
      </c>
      <c r="AH56" s="45">
        <v>122.872</v>
      </c>
      <c r="AI56" s="45">
        <v>1755.9499999999998</v>
      </c>
      <c r="AJ56" s="45">
        <v>15.624000000000002</v>
      </c>
      <c r="AK56" s="45">
        <v>207.47</v>
      </c>
      <c r="AL56" s="45"/>
      <c r="AM56" s="45"/>
      <c r="AN56" s="45">
        <v>7.032</v>
      </c>
      <c r="AO56" s="45">
        <v>80.959999999999994</v>
      </c>
      <c r="AP56" s="45"/>
      <c r="AQ56" s="45"/>
      <c r="AR56" s="45">
        <v>7.04</v>
      </c>
      <c r="AS56" s="45">
        <v>91.52</v>
      </c>
      <c r="AT56" s="45">
        <v>7.032</v>
      </c>
      <c r="AU56" s="45">
        <v>80.959999999999994</v>
      </c>
      <c r="AV56" s="45">
        <v>7.032</v>
      </c>
      <c r="AW56" s="45">
        <v>80.959999999999994</v>
      </c>
      <c r="AX56" s="45">
        <v>7.032</v>
      </c>
      <c r="AY56" s="45">
        <v>80.959999999999994</v>
      </c>
      <c r="AZ56" s="46">
        <v>7.032</v>
      </c>
      <c r="BA56" s="47">
        <v>80.959999999999994</v>
      </c>
      <c r="BB56" s="47">
        <v>7.032</v>
      </c>
      <c r="BC56" s="47">
        <v>80.959999999999994</v>
      </c>
      <c r="BD56" s="47"/>
      <c r="BE56" s="47"/>
      <c r="BF56" s="47"/>
      <c r="BG56" s="47"/>
      <c r="BH56" s="47"/>
      <c r="BI56" s="47"/>
      <c r="BJ56" s="47"/>
      <c r="BK56" s="47"/>
      <c r="BL56" s="47"/>
      <c r="BM56" s="47"/>
      <c r="BN56" s="47"/>
      <c r="BO56" s="47"/>
      <c r="BP56" s="48">
        <f t="shared" si="0"/>
        <v>470.35399999999993</v>
      </c>
      <c r="BQ56" s="49">
        <f t="shared" si="3"/>
        <v>940.70799999999986</v>
      </c>
      <c r="BR56" s="50">
        <f t="shared" si="1"/>
        <v>6718.56</v>
      </c>
      <c r="BS56" s="49">
        <f t="shared" si="4"/>
        <v>13437.12</v>
      </c>
    </row>
    <row r="57" spans="1:71" s="9" customFormat="1" ht="17" x14ac:dyDescent="0.15">
      <c r="A57" s="34" t="s">
        <v>182</v>
      </c>
      <c r="B57" s="35" t="s">
        <v>50</v>
      </c>
      <c r="C57" s="35" t="s">
        <v>183</v>
      </c>
      <c r="D57" s="36" t="s">
        <v>52</v>
      </c>
      <c r="E57" s="37" t="s">
        <v>53</v>
      </c>
      <c r="F57" s="38">
        <v>39.25</v>
      </c>
      <c r="G57" s="38">
        <v>63.83157322191083</v>
      </c>
      <c r="H57" s="38">
        <v>2505.3892489599998</v>
      </c>
      <c r="I57" s="39">
        <v>9</v>
      </c>
      <c r="J57" s="40">
        <v>353.25</v>
      </c>
      <c r="K57" s="38"/>
      <c r="L57" s="41"/>
      <c r="M57" s="42"/>
      <c r="N57" s="42"/>
      <c r="O57" s="42"/>
      <c r="P57" s="53"/>
      <c r="Q57" s="53"/>
      <c r="R57" s="53"/>
      <c r="S57" s="53">
        <v>9</v>
      </c>
      <c r="T57" s="42">
        <f t="shared" si="9"/>
        <v>353.25</v>
      </c>
      <c r="U57" s="43"/>
      <c r="V57" s="42"/>
      <c r="W57" s="42"/>
      <c r="X57" s="42"/>
      <c r="Y57" s="42"/>
      <c r="Z57" s="42"/>
      <c r="AA57" s="42">
        <v>63</v>
      </c>
      <c r="AB57" s="42">
        <f t="shared" si="10"/>
        <v>2472.75</v>
      </c>
      <c r="AC57" s="44">
        <f t="shared" si="2"/>
        <v>72</v>
      </c>
      <c r="AD57" s="44">
        <f t="shared" si="2"/>
        <v>2826</v>
      </c>
      <c r="AE57" s="45" t="s">
        <v>54</v>
      </c>
      <c r="AF57" s="45"/>
      <c r="AG57" s="45"/>
      <c r="AH57" s="45">
        <v>0.20611464968152865</v>
      </c>
      <c r="AI57" s="45">
        <v>8.09</v>
      </c>
      <c r="AJ57" s="45"/>
      <c r="AK57" s="45"/>
      <c r="AL57" s="45"/>
      <c r="AM57" s="45"/>
      <c r="AN57" s="45"/>
      <c r="AO57" s="45"/>
      <c r="AP57" s="45"/>
      <c r="AQ57" s="45"/>
      <c r="AR57" s="45"/>
      <c r="AS57" s="45"/>
      <c r="AT57" s="45"/>
      <c r="AU57" s="45"/>
      <c r="AV57" s="59">
        <v>7.1847133757961798E-2</v>
      </c>
      <c r="AW57" s="59">
        <v>2.8200000000000003</v>
      </c>
      <c r="AX57" s="59">
        <v>7.1847133757961798E-2</v>
      </c>
      <c r="AY57" s="59">
        <v>2.8200000000000003</v>
      </c>
      <c r="AZ57" s="46">
        <v>7.1847133757961798E-2</v>
      </c>
      <c r="BA57" s="47">
        <v>2.8200000000000003</v>
      </c>
      <c r="BB57" s="47"/>
      <c r="BC57" s="47"/>
      <c r="BD57" s="47"/>
      <c r="BE57" s="47"/>
      <c r="BF57" s="47"/>
      <c r="BG57" s="47"/>
      <c r="BH57" s="47">
        <v>31.494130560000002</v>
      </c>
      <c r="BI57" s="47">
        <v>1236.1446244799999</v>
      </c>
      <c r="BJ57" s="47"/>
      <c r="BK57" s="47"/>
      <c r="BL57" s="47"/>
      <c r="BM57" s="47"/>
      <c r="BN57" s="47"/>
      <c r="BO57" s="47"/>
      <c r="BP57" s="48">
        <f t="shared" si="0"/>
        <v>31.915786610955415</v>
      </c>
      <c r="BQ57" s="49">
        <f t="shared" si="3"/>
        <v>63.83157322191083</v>
      </c>
      <c r="BR57" s="50">
        <f t="shared" si="1"/>
        <v>1252.6946244799999</v>
      </c>
      <c r="BS57" s="49">
        <f t="shared" si="4"/>
        <v>2505.3892489599998</v>
      </c>
    </row>
    <row r="58" spans="1:71" s="9" customFormat="1" ht="17" x14ac:dyDescent="0.15">
      <c r="A58" s="34" t="s">
        <v>184</v>
      </c>
      <c r="B58" s="35" t="s">
        <v>50</v>
      </c>
      <c r="C58" s="35" t="s">
        <v>185</v>
      </c>
      <c r="D58" s="36" t="s">
        <v>186</v>
      </c>
      <c r="E58" s="37" t="s">
        <v>53</v>
      </c>
      <c r="F58" s="38">
        <v>94.199999999999989</v>
      </c>
      <c r="G58" s="38">
        <v>2.310615711252654</v>
      </c>
      <c r="H58" s="38">
        <v>217.66000000000005</v>
      </c>
      <c r="I58" s="39">
        <v>2</v>
      </c>
      <c r="J58" s="40">
        <v>188.39999999999998</v>
      </c>
      <c r="K58" s="38"/>
      <c r="L58" s="41"/>
      <c r="M58" s="42"/>
      <c r="N58" s="42"/>
      <c r="O58" s="42"/>
      <c r="P58" s="53"/>
      <c r="Q58" s="53"/>
      <c r="R58" s="53"/>
      <c r="S58" s="53">
        <v>2</v>
      </c>
      <c r="T58" s="42">
        <f t="shared" si="9"/>
        <v>188.39999999999998</v>
      </c>
      <c r="U58" s="43"/>
      <c r="V58" s="42"/>
      <c r="W58" s="42"/>
      <c r="X58" s="42"/>
      <c r="Y58" s="42"/>
      <c r="Z58" s="42"/>
      <c r="AA58" s="42">
        <v>2</v>
      </c>
      <c r="AB58" s="42">
        <f t="shared" si="10"/>
        <v>188.39999999999998</v>
      </c>
      <c r="AC58" s="44">
        <f t="shared" si="2"/>
        <v>4</v>
      </c>
      <c r="AD58" s="44">
        <f t="shared" si="2"/>
        <v>376.79999999999995</v>
      </c>
      <c r="AE58" s="45" t="s">
        <v>54</v>
      </c>
      <c r="AF58" s="45">
        <v>0.687791932059448</v>
      </c>
      <c r="AG58" s="45">
        <v>64.790000000000006</v>
      </c>
      <c r="AH58" s="45"/>
      <c r="AI58" s="45"/>
      <c r="AJ58" s="59">
        <v>0.22929936305732485</v>
      </c>
      <c r="AK58" s="59">
        <v>21.6</v>
      </c>
      <c r="AL58" s="59"/>
      <c r="AM58" s="59"/>
      <c r="AN58" s="59"/>
      <c r="AO58" s="59"/>
      <c r="AP58" s="59"/>
      <c r="AQ58" s="59"/>
      <c r="AR58" s="59"/>
      <c r="AS58" s="59"/>
      <c r="AT58" s="59"/>
      <c r="AU58" s="59"/>
      <c r="AV58" s="59">
        <v>7.940552016985139E-2</v>
      </c>
      <c r="AW58" s="59">
        <v>7.48</v>
      </c>
      <c r="AX58" s="59">
        <v>7.940552016985139E-2</v>
      </c>
      <c r="AY58" s="59">
        <v>7.48</v>
      </c>
      <c r="AZ58" s="46">
        <v>7.940552016985139E-2</v>
      </c>
      <c r="BA58" s="47">
        <v>7.48</v>
      </c>
      <c r="BB58" s="47"/>
      <c r="BC58" s="47"/>
      <c r="BD58" s="47"/>
      <c r="BE58" s="47"/>
      <c r="BF58" s="47"/>
      <c r="BG58" s="47"/>
      <c r="BH58" s="47"/>
      <c r="BI58" s="47"/>
      <c r="BJ58" s="47"/>
      <c r="BK58" s="47"/>
      <c r="BL58" s="47"/>
      <c r="BM58" s="47"/>
      <c r="BN58" s="47"/>
      <c r="BO58" s="47"/>
      <c r="BP58" s="48">
        <f t="shared" si="0"/>
        <v>1.155307855626327</v>
      </c>
      <c r="BQ58" s="49">
        <f t="shared" si="3"/>
        <v>2.310615711252654</v>
      </c>
      <c r="BR58" s="50">
        <f t="shared" si="1"/>
        <v>108.83000000000003</v>
      </c>
      <c r="BS58" s="49">
        <f t="shared" si="4"/>
        <v>217.66000000000005</v>
      </c>
    </row>
    <row r="59" spans="1:71" s="9" customFormat="1" ht="17" x14ac:dyDescent="0.15">
      <c r="A59" s="34" t="s">
        <v>187</v>
      </c>
      <c r="B59" s="35" t="s">
        <v>50</v>
      </c>
      <c r="C59" s="35" t="s">
        <v>188</v>
      </c>
      <c r="D59" s="36" t="s">
        <v>186</v>
      </c>
      <c r="E59" s="37" t="s">
        <v>53</v>
      </c>
      <c r="F59" s="38">
        <v>196.25</v>
      </c>
      <c r="G59" s="38">
        <v>3.8756687898089175</v>
      </c>
      <c r="H59" s="38">
        <v>760.6</v>
      </c>
      <c r="I59" s="39">
        <v>4</v>
      </c>
      <c r="J59" s="40">
        <v>785</v>
      </c>
      <c r="K59" s="38"/>
      <c r="L59" s="41"/>
      <c r="M59" s="42"/>
      <c r="N59" s="42"/>
      <c r="O59" s="42"/>
      <c r="P59" s="53"/>
      <c r="Q59" s="53"/>
      <c r="R59" s="53"/>
      <c r="S59" s="53">
        <v>4</v>
      </c>
      <c r="T59" s="42">
        <f t="shared" si="9"/>
        <v>785</v>
      </c>
      <c r="U59" s="43"/>
      <c r="V59" s="42"/>
      <c r="W59" s="42"/>
      <c r="X59" s="42"/>
      <c r="Y59" s="42"/>
      <c r="Z59" s="42"/>
      <c r="AA59" s="42">
        <v>2</v>
      </c>
      <c r="AB59" s="42">
        <f t="shared" si="10"/>
        <v>392.5</v>
      </c>
      <c r="AC59" s="44">
        <f t="shared" si="2"/>
        <v>6</v>
      </c>
      <c r="AD59" s="44">
        <f t="shared" si="2"/>
        <v>1177.5</v>
      </c>
      <c r="AE59" s="45" t="s">
        <v>54</v>
      </c>
      <c r="AF59" s="45">
        <v>1.638675159235669</v>
      </c>
      <c r="AG59" s="45">
        <v>321.59000000000003</v>
      </c>
      <c r="AH59" s="45"/>
      <c r="AI59" s="45"/>
      <c r="AJ59" s="55">
        <v>0.29915923566878982</v>
      </c>
      <c r="AK59" s="55">
        <v>58.709999999999994</v>
      </c>
      <c r="AL59" s="55"/>
      <c r="AM59" s="55"/>
      <c r="AN59" s="55"/>
      <c r="AO59" s="55"/>
      <c r="AP59" s="55"/>
      <c r="AQ59" s="55"/>
      <c r="AR59" s="55"/>
      <c r="AS59" s="55"/>
      <c r="AT59" s="55"/>
      <c r="AU59" s="55"/>
      <c r="AV59" s="55"/>
      <c r="AW59" s="55"/>
      <c r="AX59" s="55"/>
      <c r="AY59" s="55"/>
      <c r="AZ59" s="46"/>
      <c r="BA59" s="47"/>
      <c r="BB59" s="47"/>
      <c r="BC59" s="47"/>
      <c r="BD59" s="47"/>
      <c r="BE59" s="47"/>
      <c r="BF59" s="47"/>
      <c r="BG59" s="47"/>
      <c r="BH59" s="47"/>
      <c r="BI59" s="47"/>
      <c r="BJ59" s="47"/>
      <c r="BK59" s="47"/>
      <c r="BL59" s="47"/>
      <c r="BM59" s="47"/>
      <c r="BN59" s="47"/>
      <c r="BO59" s="47"/>
      <c r="BP59" s="48">
        <f t="shared" si="0"/>
        <v>1.9378343949044587</v>
      </c>
      <c r="BQ59" s="49">
        <f t="shared" si="3"/>
        <v>3.8756687898089175</v>
      </c>
      <c r="BR59" s="50">
        <f t="shared" si="1"/>
        <v>380.3</v>
      </c>
      <c r="BS59" s="49">
        <f t="shared" si="4"/>
        <v>760.6</v>
      </c>
    </row>
    <row r="60" spans="1:71" s="9" customFormat="1" ht="17" x14ac:dyDescent="0.15">
      <c r="A60" s="34" t="s">
        <v>189</v>
      </c>
      <c r="B60" s="35" t="s">
        <v>50</v>
      </c>
      <c r="C60" s="35" t="s">
        <v>190</v>
      </c>
      <c r="D60" s="36" t="s">
        <v>186</v>
      </c>
      <c r="E60" s="37" t="s">
        <v>53</v>
      </c>
      <c r="F60" s="38">
        <v>298.3</v>
      </c>
      <c r="G60" s="38">
        <v>5.1938844183171318</v>
      </c>
      <c r="H60" s="38">
        <v>1549.335721984</v>
      </c>
      <c r="I60" s="39">
        <v>6</v>
      </c>
      <c r="J60" s="40">
        <v>1789.8000000000002</v>
      </c>
      <c r="K60" s="38"/>
      <c r="L60" s="41"/>
      <c r="M60" s="42"/>
      <c r="N60" s="42"/>
      <c r="O60" s="42"/>
      <c r="P60" s="53"/>
      <c r="Q60" s="53"/>
      <c r="R60" s="53"/>
      <c r="S60" s="53">
        <v>6</v>
      </c>
      <c r="T60" s="42">
        <f t="shared" si="9"/>
        <v>1789.8000000000002</v>
      </c>
      <c r="U60" s="43"/>
      <c r="V60" s="42"/>
      <c r="W60" s="42"/>
      <c r="X60" s="42"/>
      <c r="Y60" s="42"/>
      <c r="Z60" s="42"/>
      <c r="AA60" s="42">
        <v>1</v>
      </c>
      <c r="AB60" s="42">
        <f t="shared" si="10"/>
        <v>298.3</v>
      </c>
      <c r="AC60" s="44">
        <f t="shared" si="2"/>
        <v>7</v>
      </c>
      <c r="AD60" s="44">
        <f t="shared" si="2"/>
        <v>2088.1000000000004</v>
      </c>
      <c r="AE60" s="45" t="s">
        <v>54</v>
      </c>
      <c r="AF60" s="45"/>
      <c r="AG60" s="45"/>
      <c r="AH60" s="45"/>
      <c r="AI60" s="45"/>
      <c r="AJ60" s="45"/>
      <c r="AK60" s="45"/>
      <c r="AL60" s="45"/>
      <c r="AM60" s="45"/>
      <c r="AN60" s="45"/>
      <c r="AO60" s="45"/>
      <c r="AP60" s="45"/>
      <c r="AQ60" s="45"/>
      <c r="AR60" s="45">
        <v>0.45000000000000007</v>
      </c>
      <c r="AS60" s="45">
        <v>134.23500000000001</v>
      </c>
      <c r="AT60" s="45">
        <v>0.45000000000000007</v>
      </c>
      <c r="AU60" s="45">
        <v>134.23500000000001</v>
      </c>
      <c r="AV60" s="45">
        <v>0.58229969829031181</v>
      </c>
      <c r="AW60" s="45">
        <v>173.7</v>
      </c>
      <c r="AX60" s="45"/>
      <c r="AY60" s="45"/>
      <c r="AZ60" s="46">
        <v>0.55722427086825355</v>
      </c>
      <c r="BA60" s="47">
        <v>166.22</v>
      </c>
      <c r="BB60" s="47">
        <v>0.55741824000000006</v>
      </c>
      <c r="BC60" s="47">
        <v>166.277860992</v>
      </c>
      <c r="BD60" s="47"/>
      <c r="BE60" s="47"/>
      <c r="BF60" s="47"/>
      <c r="BG60" s="47"/>
      <c r="BH60" s="47"/>
      <c r="BI60" s="47"/>
      <c r="BJ60" s="47"/>
      <c r="BK60" s="47"/>
      <c r="BL60" s="47"/>
      <c r="BM60" s="47"/>
      <c r="BN60" s="47"/>
      <c r="BO60" s="47"/>
      <c r="BP60" s="48">
        <f t="shared" si="0"/>
        <v>2.5969422091585659</v>
      </c>
      <c r="BQ60" s="49">
        <f t="shared" si="3"/>
        <v>5.1938844183171318</v>
      </c>
      <c r="BR60" s="50">
        <f t="shared" si="1"/>
        <v>774.66786099199999</v>
      </c>
      <c r="BS60" s="49">
        <f t="shared" si="4"/>
        <v>1549.335721984</v>
      </c>
    </row>
    <row r="61" spans="1:71" s="9" customFormat="1" ht="17" x14ac:dyDescent="0.15">
      <c r="A61" s="34" t="s">
        <v>191</v>
      </c>
      <c r="B61" s="35" t="s">
        <v>50</v>
      </c>
      <c r="C61" s="35" t="s">
        <v>192</v>
      </c>
      <c r="D61" s="36" t="s">
        <v>57</v>
      </c>
      <c r="E61" s="37" t="s">
        <v>53</v>
      </c>
      <c r="F61" s="38">
        <v>109.89999999999999</v>
      </c>
      <c r="G61" s="38">
        <v>62.550500454959057</v>
      </c>
      <c r="H61" s="38">
        <v>6874.3000000000011</v>
      </c>
      <c r="I61" s="39">
        <v>72</v>
      </c>
      <c r="J61" s="40">
        <v>7912.7999999999993</v>
      </c>
      <c r="K61" s="38"/>
      <c r="L61" s="41"/>
      <c r="M61" s="42"/>
      <c r="N61" s="42"/>
      <c r="O61" s="42"/>
      <c r="P61" s="53"/>
      <c r="Q61" s="53"/>
      <c r="R61" s="53"/>
      <c r="S61" s="53">
        <v>30</v>
      </c>
      <c r="T61" s="42">
        <f t="shared" si="9"/>
        <v>3296.9999999999995</v>
      </c>
      <c r="U61" s="43"/>
      <c r="V61" s="42"/>
      <c r="W61" s="42"/>
      <c r="X61" s="42"/>
      <c r="Y61" s="42">
        <v>42</v>
      </c>
      <c r="Z61" s="42">
        <f>+Y61*F61</f>
        <v>4615.7999999999993</v>
      </c>
      <c r="AA61" s="42"/>
      <c r="AB61" s="42"/>
      <c r="AC61" s="44">
        <f t="shared" si="2"/>
        <v>72</v>
      </c>
      <c r="AD61" s="44">
        <f t="shared" si="2"/>
        <v>7912.7999999999993</v>
      </c>
      <c r="AE61" s="45" t="s">
        <v>116</v>
      </c>
      <c r="AF61" s="45">
        <v>12.441947224749773</v>
      </c>
      <c r="AG61" s="45">
        <v>1367.3700000000001</v>
      </c>
      <c r="AH61" s="45">
        <v>12.569608735213832</v>
      </c>
      <c r="AI61" s="45">
        <v>1381.4</v>
      </c>
      <c r="AJ61" s="45">
        <v>6.2636942675159242</v>
      </c>
      <c r="AK61" s="45">
        <v>688.38</v>
      </c>
      <c r="AL61" s="45"/>
      <c r="AM61" s="45"/>
      <c r="AN61" s="45"/>
      <c r="AO61" s="45"/>
      <c r="AP61" s="45"/>
      <c r="AQ61" s="45"/>
      <c r="AR61" s="45"/>
      <c r="AS61" s="45"/>
      <c r="AT61" s="45"/>
      <c r="AU61" s="45"/>
      <c r="AV61" s="45"/>
      <c r="AW61" s="45"/>
      <c r="AX61" s="45"/>
      <c r="AY61" s="45"/>
      <c r="AZ61" s="46"/>
      <c r="BA61" s="47"/>
      <c r="BB61" s="47"/>
      <c r="BC61" s="47"/>
      <c r="BD61" s="47"/>
      <c r="BE61" s="47"/>
      <c r="BF61" s="47"/>
      <c r="BG61" s="47"/>
      <c r="BH61" s="47"/>
      <c r="BI61" s="47"/>
      <c r="BJ61" s="47"/>
      <c r="BK61" s="47"/>
      <c r="BL61" s="47"/>
      <c r="BM61" s="47"/>
      <c r="BN61" s="47"/>
      <c r="BO61" s="47"/>
      <c r="BP61" s="48">
        <f t="shared" si="0"/>
        <v>31.275250227479528</v>
      </c>
      <c r="BQ61" s="49">
        <f t="shared" si="3"/>
        <v>62.550500454959057</v>
      </c>
      <c r="BR61" s="50">
        <f t="shared" si="1"/>
        <v>3437.1500000000005</v>
      </c>
      <c r="BS61" s="49">
        <f t="shared" si="4"/>
        <v>6874.3000000000011</v>
      </c>
    </row>
    <row r="62" spans="1:71" s="9" customFormat="1" ht="17" x14ac:dyDescent="0.15">
      <c r="A62" s="34" t="s">
        <v>193</v>
      </c>
      <c r="B62" s="35" t="s">
        <v>50</v>
      </c>
      <c r="C62" s="35" t="s">
        <v>194</v>
      </c>
      <c r="D62" s="36" t="s">
        <v>57</v>
      </c>
      <c r="E62" s="37" t="s">
        <v>53</v>
      </c>
      <c r="F62" s="38">
        <v>329.7</v>
      </c>
      <c r="G62" s="38">
        <v>7.0000000000000009</v>
      </c>
      <c r="H62" s="38">
        <v>2307.9</v>
      </c>
      <c r="I62" s="39">
        <v>9</v>
      </c>
      <c r="J62" s="40">
        <v>2967.2999999999997</v>
      </c>
      <c r="K62" s="38"/>
      <c r="L62" s="41"/>
      <c r="M62" s="42"/>
      <c r="N62" s="42"/>
      <c r="O62" s="42"/>
      <c r="P62" s="53"/>
      <c r="Q62" s="53"/>
      <c r="R62" s="53"/>
      <c r="S62" s="53">
        <v>9</v>
      </c>
      <c r="T62" s="42">
        <f t="shared" si="9"/>
        <v>2967.2999999999997</v>
      </c>
      <c r="U62" s="43"/>
      <c r="V62" s="42"/>
      <c r="W62" s="42"/>
      <c r="X62" s="42"/>
      <c r="Y62" s="42"/>
      <c r="Z62" s="42"/>
      <c r="AA62" s="42"/>
      <c r="AB62" s="42"/>
      <c r="AC62" s="44">
        <f t="shared" si="2"/>
        <v>9</v>
      </c>
      <c r="AD62" s="44">
        <f t="shared" si="2"/>
        <v>2967.2999999999997</v>
      </c>
      <c r="AE62" s="45" t="s">
        <v>112</v>
      </c>
      <c r="AF62" s="45">
        <v>3.5000000000000004</v>
      </c>
      <c r="AG62" s="45">
        <v>1153.95</v>
      </c>
      <c r="AH62" s="45"/>
      <c r="AI62" s="45"/>
      <c r="AJ62" s="45"/>
      <c r="AK62" s="45"/>
      <c r="AL62" s="45"/>
      <c r="AM62" s="45"/>
      <c r="AN62" s="45"/>
      <c r="AO62" s="45"/>
      <c r="AP62" s="45"/>
      <c r="AQ62" s="45"/>
      <c r="AR62" s="45"/>
      <c r="AS62" s="45"/>
      <c r="AT62" s="45"/>
      <c r="AU62" s="45"/>
      <c r="AV62" s="45"/>
      <c r="AW62" s="45"/>
      <c r="AX62" s="45"/>
      <c r="AY62" s="45"/>
      <c r="AZ62" s="46"/>
      <c r="BA62" s="47"/>
      <c r="BB62" s="47"/>
      <c r="BC62" s="47"/>
      <c r="BD62" s="47"/>
      <c r="BE62" s="47"/>
      <c r="BF62" s="47"/>
      <c r="BG62" s="47"/>
      <c r="BH62" s="47"/>
      <c r="BI62" s="47"/>
      <c r="BJ62" s="47"/>
      <c r="BK62" s="47"/>
      <c r="BL62" s="47"/>
      <c r="BM62" s="47"/>
      <c r="BN62" s="47"/>
      <c r="BO62" s="47"/>
      <c r="BP62" s="48">
        <f t="shared" si="0"/>
        <v>3.5000000000000004</v>
      </c>
      <c r="BQ62" s="49">
        <f t="shared" si="3"/>
        <v>7.0000000000000009</v>
      </c>
      <c r="BR62" s="50">
        <f t="shared" si="1"/>
        <v>1153.95</v>
      </c>
      <c r="BS62" s="49">
        <f t="shared" si="4"/>
        <v>2307.9</v>
      </c>
    </row>
    <row r="63" spans="1:71" s="9" customFormat="1" ht="17" x14ac:dyDescent="0.2">
      <c r="A63" s="34" t="s">
        <v>195</v>
      </c>
      <c r="B63" s="35" t="s">
        <v>50</v>
      </c>
      <c r="C63" s="35" t="s">
        <v>196</v>
      </c>
      <c r="D63" s="36" t="s">
        <v>57</v>
      </c>
      <c r="E63" s="37" t="s">
        <v>53</v>
      </c>
      <c r="F63" s="38">
        <v>235.5</v>
      </c>
      <c r="G63" s="67">
        <v>22.498428874734607</v>
      </c>
      <c r="H63" s="67">
        <v>5298.38</v>
      </c>
      <c r="I63" s="39">
        <v>26</v>
      </c>
      <c r="J63" s="40">
        <v>6123</v>
      </c>
      <c r="K63" s="38"/>
      <c r="L63" s="41"/>
      <c r="M63" s="42"/>
      <c r="N63" s="42"/>
      <c r="O63" s="42"/>
      <c r="P63" s="53"/>
      <c r="Q63" s="53"/>
      <c r="R63" s="53"/>
      <c r="S63" s="53">
        <v>12</v>
      </c>
      <c r="T63" s="42">
        <f t="shared" si="9"/>
        <v>2826</v>
      </c>
      <c r="U63" s="43"/>
      <c r="V63" s="42"/>
      <c r="W63" s="42"/>
      <c r="X63" s="42"/>
      <c r="Y63" s="42">
        <v>14</v>
      </c>
      <c r="Z63" s="42">
        <f>+Y63*F63</f>
        <v>3297</v>
      </c>
      <c r="AA63" s="42"/>
      <c r="AB63" s="42"/>
      <c r="AC63" s="44">
        <f t="shared" si="2"/>
        <v>26</v>
      </c>
      <c r="AD63" s="44">
        <f t="shared" si="2"/>
        <v>6123</v>
      </c>
      <c r="AE63" s="45" t="s">
        <v>116</v>
      </c>
      <c r="AF63" s="45">
        <v>5.2492144373673035</v>
      </c>
      <c r="AG63" s="45">
        <v>1236.19</v>
      </c>
      <c r="AH63" s="45">
        <v>4</v>
      </c>
      <c r="AI63" s="45">
        <v>942</v>
      </c>
      <c r="AJ63" s="45">
        <v>2</v>
      </c>
      <c r="AK63" s="45">
        <v>471</v>
      </c>
      <c r="AL63" s="45"/>
      <c r="AM63" s="45"/>
      <c r="AN63" s="45"/>
      <c r="AO63" s="45"/>
      <c r="AP63" s="45"/>
      <c r="AQ63" s="45"/>
      <c r="AR63" s="45"/>
      <c r="AS63" s="45"/>
      <c r="AT63" s="45"/>
      <c r="AU63" s="45"/>
      <c r="AV63" s="45"/>
      <c r="AW63" s="45"/>
      <c r="AX63" s="45"/>
      <c r="AY63" s="45"/>
      <c r="AZ63" s="46"/>
      <c r="BA63" s="47"/>
      <c r="BB63" s="47"/>
      <c r="BC63" s="47"/>
      <c r="BD63" s="47"/>
      <c r="BE63" s="47"/>
      <c r="BF63" s="47"/>
      <c r="BG63" s="47"/>
      <c r="BH63" s="47"/>
      <c r="BI63" s="47"/>
      <c r="BJ63" s="47"/>
      <c r="BK63" s="47"/>
      <c r="BL63" s="47"/>
      <c r="BM63" s="47"/>
      <c r="BN63" s="47"/>
      <c r="BO63" s="47"/>
      <c r="BP63" s="48">
        <f t="shared" si="0"/>
        <v>11.249214437367304</v>
      </c>
      <c r="BQ63" s="49">
        <f t="shared" si="3"/>
        <v>22.498428874734607</v>
      </c>
      <c r="BR63" s="50">
        <f t="shared" si="1"/>
        <v>2649.19</v>
      </c>
      <c r="BS63" s="49">
        <f t="shared" si="4"/>
        <v>5298.38</v>
      </c>
    </row>
    <row r="64" spans="1:71" s="9" customFormat="1" ht="17" x14ac:dyDescent="0.15">
      <c r="A64" s="34" t="s">
        <v>197</v>
      </c>
      <c r="B64" s="35" t="s">
        <v>50</v>
      </c>
      <c r="C64" s="35" t="s">
        <v>198</v>
      </c>
      <c r="D64" s="36" t="s">
        <v>186</v>
      </c>
      <c r="E64" s="37" t="s">
        <v>53</v>
      </c>
      <c r="F64" s="38">
        <v>47.099999999999994</v>
      </c>
      <c r="G64" s="38">
        <v>0.99278131634819533</v>
      </c>
      <c r="H64" s="38">
        <v>46.76</v>
      </c>
      <c r="I64" s="39">
        <v>3</v>
      </c>
      <c r="J64" s="40">
        <v>141.29999999999998</v>
      </c>
      <c r="K64" s="38"/>
      <c r="L64" s="41"/>
      <c r="M64" s="42"/>
      <c r="N64" s="42"/>
      <c r="O64" s="42"/>
      <c r="P64" s="53"/>
      <c r="Q64" s="53"/>
      <c r="R64" s="53"/>
      <c r="S64" s="53">
        <v>3</v>
      </c>
      <c r="T64" s="42">
        <f t="shared" si="9"/>
        <v>141.29999999999998</v>
      </c>
      <c r="U64" s="43"/>
      <c r="V64" s="42"/>
      <c r="W64" s="42"/>
      <c r="X64" s="42"/>
      <c r="Y64" s="42"/>
      <c r="Z64" s="42"/>
      <c r="AA64" s="42"/>
      <c r="AB64" s="42"/>
      <c r="AC64" s="44">
        <f t="shared" si="2"/>
        <v>3</v>
      </c>
      <c r="AD64" s="44">
        <f t="shared" si="2"/>
        <v>141.29999999999998</v>
      </c>
      <c r="AE64" s="45" t="s">
        <v>112</v>
      </c>
      <c r="AF64" s="55">
        <v>0.49639065817409767</v>
      </c>
      <c r="AG64" s="45">
        <v>23.38</v>
      </c>
      <c r="AH64" s="45"/>
      <c r="AI64" s="45"/>
      <c r="AJ64" s="45"/>
      <c r="AK64" s="45"/>
      <c r="AL64" s="45"/>
      <c r="AM64" s="45"/>
      <c r="AN64" s="45"/>
      <c r="AO64" s="45"/>
      <c r="AP64" s="45"/>
      <c r="AQ64" s="45"/>
      <c r="AR64" s="45"/>
      <c r="AS64" s="45"/>
      <c r="AT64" s="45"/>
      <c r="AU64" s="45"/>
      <c r="AV64" s="45"/>
      <c r="AW64" s="45"/>
      <c r="AX64" s="45"/>
      <c r="AY64" s="45"/>
      <c r="AZ64" s="46"/>
      <c r="BA64" s="47"/>
      <c r="BB64" s="47"/>
      <c r="BC64" s="47"/>
      <c r="BD64" s="47"/>
      <c r="BE64" s="47"/>
      <c r="BF64" s="47"/>
      <c r="BG64" s="47"/>
      <c r="BH64" s="47"/>
      <c r="BI64" s="47"/>
      <c r="BJ64" s="47"/>
      <c r="BK64" s="47"/>
      <c r="BL64" s="47"/>
      <c r="BM64" s="47"/>
      <c r="BN64" s="47"/>
      <c r="BO64" s="47"/>
      <c r="BP64" s="48">
        <f t="shared" si="0"/>
        <v>0.49639065817409767</v>
      </c>
      <c r="BQ64" s="49">
        <f t="shared" si="3"/>
        <v>0.99278131634819533</v>
      </c>
      <c r="BR64" s="50">
        <f t="shared" si="1"/>
        <v>23.38</v>
      </c>
      <c r="BS64" s="49">
        <f t="shared" si="4"/>
        <v>46.76</v>
      </c>
    </row>
    <row r="65" spans="1:71" s="9" customFormat="1" ht="17" x14ac:dyDescent="0.15">
      <c r="A65" s="34" t="s">
        <v>199</v>
      </c>
      <c r="B65" s="35" t="s">
        <v>114</v>
      </c>
      <c r="C65" s="35" t="s">
        <v>200</v>
      </c>
      <c r="D65" s="36" t="s">
        <v>52</v>
      </c>
      <c r="E65" s="37" t="s">
        <v>98</v>
      </c>
      <c r="F65" s="38">
        <v>6.85</v>
      </c>
      <c r="G65" s="38">
        <v>754.22399999999993</v>
      </c>
      <c r="H65" s="38">
        <v>5166.5400000000009</v>
      </c>
      <c r="I65" s="39">
        <v>302</v>
      </c>
      <c r="J65" s="40">
        <v>2068.6999999999998</v>
      </c>
      <c r="K65" s="38"/>
      <c r="L65" s="41"/>
      <c r="M65" s="42"/>
      <c r="N65" s="42"/>
      <c r="O65" s="42"/>
      <c r="P65" s="53"/>
      <c r="Q65" s="53"/>
      <c r="R65" s="53"/>
      <c r="S65" s="53">
        <v>100</v>
      </c>
      <c r="T65" s="42">
        <f t="shared" si="9"/>
        <v>685</v>
      </c>
      <c r="U65" s="43">
        <v>115</v>
      </c>
      <c r="V65" s="42">
        <f>+U65*F65</f>
        <v>787.75</v>
      </c>
      <c r="W65" s="42"/>
      <c r="X65" s="42"/>
      <c r="Y65" s="42">
        <v>87</v>
      </c>
      <c r="Z65" s="42">
        <f>+Y65*F65</f>
        <v>595.94999999999993</v>
      </c>
      <c r="AA65" s="42">
        <v>495</v>
      </c>
      <c r="AB65" s="42">
        <f>+AA65*F65</f>
        <v>3390.75</v>
      </c>
      <c r="AC65" s="44">
        <f t="shared" si="2"/>
        <v>797</v>
      </c>
      <c r="AD65" s="44">
        <f t="shared" si="2"/>
        <v>5459.45</v>
      </c>
      <c r="AE65" s="45" t="s">
        <v>54</v>
      </c>
      <c r="AF65" s="45">
        <v>16.68</v>
      </c>
      <c r="AG65" s="45">
        <v>114.27000000000001</v>
      </c>
      <c r="AH65" s="45">
        <v>40.631</v>
      </c>
      <c r="AI65" s="45">
        <v>278.33</v>
      </c>
      <c r="AJ65" s="45"/>
      <c r="AK65" s="45"/>
      <c r="AL65" s="45"/>
      <c r="AM65" s="45"/>
      <c r="AN65" s="45"/>
      <c r="AO65" s="45"/>
      <c r="AP65" s="45"/>
      <c r="AQ65" s="45"/>
      <c r="AR65" s="45"/>
      <c r="AS65" s="45"/>
      <c r="AT65" s="45"/>
      <c r="AU65" s="45"/>
      <c r="AV65" s="45"/>
      <c r="AW65" s="45"/>
      <c r="AX65" s="45"/>
      <c r="AY65" s="45"/>
      <c r="AZ65" s="46"/>
      <c r="BA65" s="47"/>
      <c r="BB65" s="47"/>
      <c r="BC65" s="47"/>
      <c r="BD65" s="47">
        <v>259.35500000000002</v>
      </c>
      <c r="BE65" s="47">
        <v>1776.6200000000001</v>
      </c>
      <c r="BF65" s="47">
        <v>60.445999999999998</v>
      </c>
      <c r="BG65" s="47">
        <v>414.05</v>
      </c>
      <c r="BH65" s="47"/>
      <c r="BI65" s="47"/>
      <c r="BJ65" s="47"/>
      <c r="BK65" s="47"/>
      <c r="BL65" s="47"/>
      <c r="BM65" s="47"/>
      <c r="BN65" s="47"/>
      <c r="BO65" s="47"/>
      <c r="BP65" s="48">
        <f t="shared" si="0"/>
        <v>377.11199999999997</v>
      </c>
      <c r="BQ65" s="49">
        <f t="shared" si="3"/>
        <v>754.22399999999993</v>
      </c>
      <c r="BR65" s="50">
        <f t="shared" si="1"/>
        <v>2583.2700000000004</v>
      </c>
      <c r="BS65" s="49">
        <f t="shared" si="4"/>
        <v>5166.5400000000009</v>
      </c>
    </row>
    <row r="66" spans="1:71" s="9" customFormat="1" ht="17" x14ac:dyDescent="0.15">
      <c r="A66" s="34" t="s">
        <v>201</v>
      </c>
      <c r="B66" s="35" t="s">
        <v>114</v>
      </c>
      <c r="C66" s="35" t="s">
        <v>202</v>
      </c>
      <c r="D66" s="36" t="s">
        <v>52</v>
      </c>
      <c r="E66" s="37" t="s">
        <v>98</v>
      </c>
      <c r="F66" s="38">
        <v>13.35</v>
      </c>
      <c r="G66" s="38">
        <v>512.30400000000009</v>
      </c>
      <c r="H66" s="38">
        <v>6838.2800000000007</v>
      </c>
      <c r="I66" s="39">
        <v>548.62501999999995</v>
      </c>
      <c r="J66" s="40">
        <v>7324.1440169999996</v>
      </c>
      <c r="K66" s="38"/>
      <c r="L66" s="41"/>
      <c r="M66" s="42"/>
      <c r="N66" s="42"/>
      <c r="O66" s="42"/>
      <c r="P66" s="53"/>
      <c r="Q66" s="53"/>
      <c r="R66" s="53"/>
      <c r="S66" s="53">
        <f>+G66*1.07</f>
        <v>548.16528000000017</v>
      </c>
      <c r="T66" s="42">
        <f t="shared" si="9"/>
        <v>7318.0064880000018</v>
      </c>
      <c r="U66" s="43"/>
      <c r="V66" s="42"/>
      <c r="W66" s="42"/>
      <c r="X66" s="42"/>
      <c r="Y66" s="42">
        <v>386</v>
      </c>
      <c r="Z66" s="42">
        <f>+Y66*F66</f>
        <v>5153.0999999999995</v>
      </c>
      <c r="AA66" s="42"/>
      <c r="AB66" s="42"/>
      <c r="AC66" s="44">
        <f t="shared" si="2"/>
        <v>548.62501999999995</v>
      </c>
      <c r="AD66" s="44">
        <f t="shared" si="2"/>
        <v>7324.1440169999996</v>
      </c>
      <c r="AE66" s="45" t="s">
        <v>116</v>
      </c>
      <c r="AF66" s="45">
        <v>76.02000000000001</v>
      </c>
      <c r="AG66" s="45">
        <v>1014.76</v>
      </c>
      <c r="AH66" s="45">
        <v>36.04</v>
      </c>
      <c r="AI66" s="45">
        <v>481.06000000000006</v>
      </c>
      <c r="AJ66" s="45">
        <v>144.09200000000001</v>
      </c>
      <c r="AK66" s="45">
        <v>1923.3200000000002</v>
      </c>
      <c r="AL66" s="45"/>
      <c r="AM66" s="45"/>
      <c r="AN66" s="45"/>
      <c r="AO66" s="45"/>
      <c r="AP66" s="45"/>
      <c r="AQ66" s="45"/>
      <c r="AR66" s="45"/>
      <c r="AS66" s="45"/>
      <c r="AT66" s="45"/>
      <c r="AU66" s="45"/>
      <c r="AV66" s="45"/>
      <c r="AW66" s="45"/>
      <c r="AX66" s="45"/>
      <c r="AY66" s="45"/>
      <c r="AZ66" s="46"/>
      <c r="BA66" s="47"/>
      <c r="BB66" s="47"/>
      <c r="BC66" s="47"/>
      <c r="BD66" s="47"/>
      <c r="BE66" s="47"/>
      <c r="BF66" s="47"/>
      <c r="BG66" s="47"/>
      <c r="BH66" s="47"/>
      <c r="BI66" s="47"/>
      <c r="BJ66" s="47"/>
      <c r="BK66" s="47"/>
      <c r="BL66" s="47"/>
      <c r="BM66" s="47"/>
      <c r="BN66" s="47"/>
      <c r="BO66" s="47"/>
      <c r="BP66" s="48">
        <f t="shared" si="0"/>
        <v>256.15200000000004</v>
      </c>
      <c r="BQ66" s="49">
        <f t="shared" si="3"/>
        <v>512.30400000000009</v>
      </c>
      <c r="BR66" s="50">
        <f t="shared" si="1"/>
        <v>3419.1400000000003</v>
      </c>
      <c r="BS66" s="49">
        <f t="shared" si="4"/>
        <v>6838.2800000000007</v>
      </c>
    </row>
    <row r="67" spans="1:71" s="9" customFormat="1" ht="17" x14ac:dyDescent="0.15">
      <c r="A67" s="34" t="s">
        <v>203</v>
      </c>
      <c r="B67" s="35" t="s">
        <v>102</v>
      </c>
      <c r="C67" s="35" t="s">
        <v>204</v>
      </c>
      <c r="D67" s="36" t="s">
        <v>52</v>
      </c>
      <c r="E67" s="37" t="s">
        <v>98</v>
      </c>
      <c r="F67" s="38">
        <v>29.6</v>
      </c>
      <c r="G67" s="38">
        <v>110.15599999999999</v>
      </c>
      <c r="H67" s="38">
        <v>3256.52</v>
      </c>
      <c r="I67" s="39">
        <v>118.54744000000001</v>
      </c>
      <c r="J67" s="40">
        <v>3509.0042240000002</v>
      </c>
      <c r="K67" s="38"/>
      <c r="L67" s="41"/>
      <c r="M67" s="42"/>
      <c r="N67" s="42"/>
      <c r="O67" s="42"/>
      <c r="P67" s="53"/>
      <c r="Q67" s="53"/>
      <c r="R67" s="53"/>
      <c r="S67" s="53">
        <f>+G67*1.07</f>
        <v>117.86691999999999</v>
      </c>
      <c r="T67" s="42">
        <f t="shared" si="9"/>
        <v>3488.8608319999998</v>
      </c>
      <c r="U67" s="43"/>
      <c r="V67" s="42"/>
      <c r="W67" s="42"/>
      <c r="X67" s="42"/>
      <c r="Y67" s="42"/>
      <c r="Z67" s="42"/>
      <c r="AA67" s="42"/>
      <c r="AB67" s="42"/>
      <c r="AC67" s="44">
        <f t="shared" si="2"/>
        <v>118.54744000000001</v>
      </c>
      <c r="AD67" s="44">
        <f t="shared" si="2"/>
        <v>3509.0042240000002</v>
      </c>
      <c r="AE67" s="45" t="s">
        <v>112</v>
      </c>
      <c r="AF67" s="45">
        <v>55.077999999999996</v>
      </c>
      <c r="AG67" s="45">
        <v>1628.26</v>
      </c>
      <c r="AH67" s="45"/>
      <c r="AI67" s="45"/>
      <c r="AJ67" s="45"/>
      <c r="AK67" s="45"/>
      <c r="AL67" s="45"/>
      <c r="AM67" s="45"/>
      <c r="AN67" s="45"/>
      <c r="AO67" s="45"/>
      <c r="AP67" s="45"/>
      <c r="AQ67" s="45"/>
      <c r="AR67" s="45"/>
      <c r="AS67" s="45"/>
      <c r="AT67" s="45"/>
      <c r="AU67" s="45"/>
      <c r="AV67" s="45"/>
      <c r="AW67" s="45"/>
      <c r="AX67" s="45"/>
      <c r="AY67" s="45"/>
      <c r="AZ67" s="46"/>
      <c r="BA67" s="47"/>
      <c r="BB67" s="47"/>
      <c r="BC67" s="47"/>
      <c r="BD67" s="47"/>
      <c r="BE67" s="47"/>
      <c r="BF67" s="47"/>
      <c r="BG67" s="47"/>
      <c r="BH67" s="47"/>
      <c r="BI67" s="47"/>
      <c r="BJ67" s="47"/>
      <c r="BK67" s="47"/>
      <c r="BL67" s="47"/>
      <c r="BM67" s="47"/>
      <c r="BN67" s="47"/>
      <c r="BO67" s="47"/>
      <c r="BP67" s="48">
        <f t="shared" si="0"/>
        <v>55.077999999999996</v>
      </c>
      <c r="BQ67" s="49">
        <f t="shared" si="3"/>
        <v>110.15599999999999</v>
      </c>
      <c r="BR67" s="50">
        <f t="shared" si="1"/>
        <v>1628.26</v>
      </c>
      <c r="BS67" s="49">
        <f t="shared" si="4"/>
        <v>3256.52</v>
      </c>
    </row>
    <row r="68" spans="1:71" s="9" customFormat="1" ht="17" x14ac:dyDescent="0.15">
      <c r="A68" s="34" t="s">
        <v>205</v>
      </c>
      <c r="B68" s="35" t="s">
        <v>102</v>
      </c>
      <c r="C68" s="35" t="s">
        <v>206</v>
      </c>
      <c r="D68" s="36" t="s">
        <v>52</v>
      </c>
      <c r="E68" s="37" t="s">
        <v>98</v>
      </c>
      <c r="F68" s="38">
        <v>66</v>
      </c>
      <c r="G68" s="38">
        <v>146.82799999999997</v>
      </c>
      <c r="H68" s="38">
        <v>9361.9</v>
      </c>
      <c r="I68" s="39">
        <v>157.94846000000001</v>
      </c>
      <c r="J68" s="40">
        <v>10424.59836</v>
      </c>
      <c r="K68" s="38"/>
      <c r="L68" s="41"/>
      <c r="M68" s="42"/>
      <c r="N68" s="42"/>
      <c r="O68" s="42"/>
      <c r="P68" s="53"/>
      <c r="Q68" s="53"/>
      <c r="R68" s="53"/>
      <c r="S68" s="53">
        <f t="shared" ref="S68:S69" si="11">+G68*1.07</f>
        <v>157.10595999999998</v>
      </c>
      <c r="T68" s="42">
        <f t="shared" si="9"/>
        <v>10368.993359999999</v>
      </c>
      <c r="U68" s="43"/>
      <c r="V68" s="42"/>
      <c r="W68" s="42"/>
      <c r="X68" s="42"/>
      <c r="Y68" s="42">
        <v>30</v>
      </c>
      <c r="Z68" s="42">
        <f>+Y68*F68</f>
        <v>1980</v>
      </c>
      <c r="AA68" s="42"/>
      <c r="AB68" s="42"/>
      <c r="AC68" s="44">
        <f t="shared" si="2"/>
        <v>157.94846000000001</v>
      </c>
      <c r="AD68" s="44">
        <f t="shared" si="2"/>
        <v>10424.59836</v>
      </c>
      <c r="AE68" s="45" t="s">
        <v>116</v>
      </c>
      <c r="AF68" s="45">
        <v>59.669999999999995</v>
      </c>
      <c r="AG68" s="45">
        <v>3818.02</v>
      </c>
      <c r="AH68" s="45">
        <v>13.744</v>
      </c>
      <c r="AI68" s="45">
        <v>862.93</v>
      </c>
      <c r="AJ68" s="45"/>
      <c r="AK68" s="45"/>
      <c r="AL68" s="45"/>
      <c r="AM68" s="45"/>
      <c r="AN68" s="45"/>
      <c r="AO68" s="45"/>
      <c r="AP68" s="45"/>
      <c r="AQ68" s="45"/>
      <c r="AR68" s="45"/>
      <c r="AS68" s="45"/>
      <c r="AT68" s="45"/>
      <c r="AU68" s="45"/>
      <c r="AV68" s="45"/>
      <c r="AW68" s="45"/>
      <c r="AX68" s="45"/>
      <c r="AY68" s="45"/>
      <c r="AZ68" s="46"/>
      <c r="BA68" s="47"/>
      <c r="BB68" s="47"/>
      <c r="BC68" s="47"/>
      <c r="BD68" s="47"/>
      <c r="BE68" s="47"/>
      <c r="BF68" s="47"/>
      <c r="BG68" s="47"/>
      <c r="BH68" s="47"/>
      <c r="BI68" s="47"/>
      <c r="BJ68" s="47"/>
      <c r="BK68" s="47"/>
      <c r="BL68" s="47"/>
      <c r="BM68" s="47"/>
      <c r="BN68" s="47"/>
      <c r="BO68" s="47"/>
      <c r="BP68" s="48">
        <f t="shared" si="0"/>
        <v>73.413999999999987</v>
      </c>
      <c r="BQ68" s="49">
        <f t="shared" si="3"/>
        <v>146.82799999999997</v>
      </c>
      <c r="BR68" s="50">
        <f t="shared" si="1"/>
        <v>4680.95</v>
      </c>
      <c r="BS68" s="49">
        <f t="shared" si="4"/>
        <v>9361.9</v>
      </c>
    </row>
    <row r="69" spans="1:71" s="9" customFormat="1" ht="17" x14ac:dyDescent="0.15">
      <c r="A69" s="34" t="s">
        <v>207</v>
      </c>
      <c r="B69" s="35" t="s">
        <v>102</v>
      </c>
      <c r="C69" s="35" t="s">
        <v>208</v>
      </c>
      <c r="D69" s="36" t="s">
        <v>52</v>
      </c>
      <c r="E69" s="37" t="s">
        <v>98</v>
      </c>
      <c r="F69" s="38">
        <v>89.6</v>
      </c>
      <c r="G69" s="38">
        <v>167.77600000000001</v>
      </c>
      <c r="H69" s="38">
        <v>15040.62</v>
      </c>
      <c r="I69" s="39">
        <v>192.03026</v>
      </c>
      <c r="J69" s="40">
        <v>17205.911295999998</v>
      </c>
      <c r="K69" s="38"/>
      <c r="L69" s="41"/>
      <c r="M69" s="42"/>
      <c r="N69" s="42"/>
      <c r="O69" s="42"/>
      <c r="P69" s="53"/>
      <c r="Q69" s="53"/>
      <c r="R69" s="53"/>
      <c r="S69" s="53">
        <f t="shared" si="11"/>
        <v>179.52032000000003</v>
      </c>
      <c r="T69" s="42">
        <f t="shared" si="9"/>
        <v>16085.020672000001</v>
      </c>
      <c r="U69" s="43"/>
      <c r="V69" s="42"/>
      <c r="W69" s="42">
        <v>13</v>
      </c>
      <c r="X69" s="42">
        <f>+W69*F69</f>
        <v>1164.8</v>
      </c>
      <c r="Y69" s="42"/>
      <c r="Z69" s="42"/>
      <c r="AA69" s="42"/>
      <c r="AB69" s="42"/>
      <c r="AC69" s="44">
        <f t="shared" si="2"/>
        <v>192.03026</v>
      </c>
      <c r="AD69" s="44">
        <f t="shared" si="2"/>
        <v>17205.911295999998</v>
      </c>
      <c r="AE69" s="45" t="s">
        <v>209</v>
      </c>
      <c r="AF69" s="45">
        <v>83.888000000000005</v>
      </c>
      <c r="AG69" s="45">
        <v>7520.31</v>
      </c>
      <c r="AH69" s="45"/>
      <c r="AI69" s="45"/>
      <c r="AJ69" s="45"/>
      <c r="AK69" s="45"/>
      <c r="AL69" s="45"/>
      <c r="AM69" s="45"/>
      <c r="AN69" s="45"/>
      <c r="AO69" s="45"/>
      <c r="AP69" s="45"/>
      <c r="AQ69" s="45"/>
      <c r="AR69" s="45"/>
      <c r="AS69" s="45"/>
      <c r="AT69" s="45"/>
      <c r="AU69" s="45"/>
      <c r="AV69" s="45"/>
      <c r="AW69" s="45"/>
      <c r="AX69" s="45"/>
      <c r="AY69" s="45"/>
      <c r="AZ69" s="46"/>
      <c r="BA69" s="47"/>
      <c r="BB69" s="47"/>
      <c r="BC69" s="47"/>
      <c r="BD69" s="47"/>
      <c r="BE69" s="47"/>
      <c r="BF69" s="47"/>
      <c r="BG69" s="47"/>
      <c r="BH69" s="47"/>
      <c r="BI69" s="47"/>
      <c r="BJ69" s="47"/>
      <c r="BK69" s="47"/>
      <c r="BL69" s="47"/>
      <c r="BM69" s="47"/>
      <c r="BN69" s="47"/>
      <c r="BO69" s="47"/>
      <c r="BP69" s="48">
        <f t="shared" ref="BP69:BP133" si="12">+AF69+AH69+AJ69+AL69+AN69+AP69+AR69+AT69+AV69+AX69+AZ69+BB69+BD69+BF69+BH69+BJ69+BL69+BN69</f>
        <v>83.888000000000005</v>
      </c>
      <c r="BQ69" s="49">
        <f t="shared" si="3"/>
        <v>167.77600000000001</v>
      </c>
      <c r="BR69" s="50">
        <f t="shared" ref="BR69:BR133" si="13">+AG69+AI69+AK69+AM69+AO69+AQ69+AS69+AU69+AW69+AY69+BA69+BC69+BE69+BG69+BI69+BK69+BM69+BO69</f>
        <v>7520.31</v>
      </c>
      <c r="BS69" s="49">
        <f t="shared" si="4"/>
        <v>15040.62</v>
      </c>
    </row>
    <row r="70" spans="1:71" s="9" customFormat="1" ht="17" x14ac:dyDescent="0.15">
      <c r="A70" s="34" t="s">
        <v>210</v>
      </c>
      <c r="B70" s="35" t="s">
        <v>96</v>
      </c>
      <c r="C70" s="35" t="s">
        <v>211</v>
      </c>
      <c r="D70" s="36" t="s">
        <v>52</v>
      </c>
      <c r="E70" s="37" t="s">
        <v>98</v>
      </c>
      <c r="F70" s="38">
        <v>38.1</v>
      </c>
      <c r="G70" s="38">
        <v>354.57400000000001</v>
      </c>
      <c r="H70" s="38">
        <v>13519.02</v>
      </c>
      <c r="I70" s="39">
        <v>255.40000000000003</v>
      </c>
      <c r="J70" s="40">
        <v>9730.7400000000016</v>
      </c>
      <c r="K70" s="38"/>
      <c r="L70" s="41"/>
      <c r="M70" s="42"/>
      <c r="N70" s="42"/>
      <c r="O70" s="42"/>
      <c r="P70" s="53"/>
      <c r="Q70" s="53"/>
      <c r="R70" s="53"/>
      <c r="S70" s="53">
        <f>+G70*1.1</f>
        <v>390.03140000000002</v>
      </c>
      <c r="T70" s="42">
        <f t="shared" si="9"/>
        <v>14860.19634</v>
      </c>
      <c r="U70" s="43"/>
      <c r="V70" s="42"/>
      <c r="W70" s="42"/>
      <c r="X70" s="42"/>
      <c r="Y70" s="42">
        <v>121.2</v>
      </c>
      <c r="Z70" s="42">
        <f>+Y70*F70</f>
        <v>4617.72</v>
      </c>
      <c r="AA70" s="42">
        <v>132</v>
      </c>
      <c r="AB70" s="42">
        <f>+AA70*F70</f>
        <v>5029.2</v>
      </c>
      <c r="AC70" s="44">
        <f t="shared" ref="AC70:AD105" si="14">+I70+AA70</f>
        <v>387.40000000000003</v>
      </c>
      <c r="AD70" s="44">
        <f t="shared" si="14"/>
        <v>14759.940000000002</v>
      </c>
      <c r="AE70" s="45" t="s">
        <v>54</v>
      </c>
      <c r="AF70" s="45"/>
      <c r="AG70" s="45"/>
      <c r="AH70" s="45">
        <v>33.128999999999998</v>
      </c>
      <c r="AI70" s="45">
        <v>1263.1199999999999</v>
      </c>
      <c r="AJ70" s="68">
        <v>23.495999999999999</v>
      </c>
      <c r="AK70" s="68">
        <v>895.84</v>
      </c>
      <c r="AL70" s="68"/>
      <c r="AM70" s="68"/>
      <c r="AN70" s="68">
        <v>59.67</v>
      </c>
      <c r="AO70" s="68">
        <v>2275.08</v>
      </c>
      <c r="AP70" s="68"/>
      <c r="AQ70" s="68"/>
      <c r="AR70" s="68"/>
      <c r="AS70" s="68"/>
      <c r="AT70" s="68"/>
      <c r="AU70" s="68"/>
      <c r="AV70" s="68"/>
      <c r="AW70" s="68"/>
      <c r="AX70" s="68"/>
      <c r="AY70" s="68"/>
      <c r="AZ70" s="46"/>
      <c r="BA70" s="47"/>
      <c r="BB70" s="47"/>
      <c r="BC70" s="47"/>
      <c r="BD70" s="47"/>
      <c r="BE70" s="47"/>
      <c r="BF70" s="47">
        <v>60.991999999999997</v>
      </c>
      <c r="BG70" s="47">
        <v>2325.4699999999998</v>
      </c>
      <c r="BH70" s="47"/>
      <c r="BI70" s="47"/>
      <c r="BJ70" s="47"/>
      <c r="BK70" s="47"/>
      <c r="BL70" s="47"/>
      <c r="BM70" s="47"/>
      <c r="BN70" s="47"/>
      <c r="BO70" s="47"/>
      <c r="BP70" s="48">
        <f t="shared" si="12"/>
        <v>177.28700000000001</v>
      </c>
      <c r="BQ70" s="49">
        <f t="shared" ref="BQ70:BQ135" si="15">+BP70*2</f>
        <v>354.57400000000001</v>
      </c>
      <c r="BR70" s="50">
        <f t="shared" si="13"/>
        <v>6759.51</v>
      </c>
      <c r="BS70" s="49">
        <f t="shared" ref="BS70:BS135" si="16">+BR70*2</f>
        <v>13519.02</v>
      </c>
    </row>
    <row r="71" spans="1:71" s="9" customFormat="1" ht="17" x14ac:dyDescent="0.15">
      <c r="A71" s="34" t="s">
        <v>212</v>
      </c>
      <c r="B71" s="35" t="s">
        <v>213</v>
      </c>
      <c r="C71" s="35" t="s">
        <v>214</v>
      </c>
      <c r="D71" s="36" t="s">
        <v>215</v>
      </c>
      <c r="E71" s="37" t="s">
        <v>98</v>
      </c>
      <c r="F71" s="38">
        <v>11.29</v>
      </c>
      <c r="G71" s="38">
        <v>64.360799999999983</v>
      </c>
      <c r="H71" s="38">
        <v>711.54729200000008</v>
      </c>
      <c r="I71" s="39">
        <v>48</v>
      </c>
      <c r="J71" s="40">
        <v>541.91999999999996</v>
      </c>
      <c r="K71" s="38"/>
      <c r="L71" s="41"/>
      <c r="M71" s="42"/>
      <c r="N71" s="42"/>
      <c r="O71" s="42"/>
      <c r="P71" s="53"/>
      <c r="Q71" s="53"/>
      <c r="R71" s="53"/>
      <c r="S71" s="53">
        <v>48</v>
      </c>
      <c r="T71" s="42">
        <f t="shared" si="9"/>
        <v>541.91999999999996</v>
      </c>
      <c r="U71" s="43"/>
      <c r="V71" s="42"/>
      <c r="W71" s="42"/>
      <c r="X71" s="42"/>
      <c r="Y71" s="42"/>
      <c r="Z71" s="42"/>
      <c r="AA71" s="42">
        <v>21</v>
      </c>
      <c r="AB71" s="42">
        <f>+AA71*F71</f>
        <v>237.08999999999997</v>
      </c>
      <c r="AC71" s="44">
        <f t="shared" si="14"/>
        <v>69</v>
      </c>
      <c r="AD71" s="44">
        <f t="shared" si="14"/>
        <v>779.01</v>
      </c>
      <c r="AE71" s="45" t="s">
        <v>54</v>
      </c>
      <c r="AF71" s="45">
        <v>2.9250000000000003</v>
      </c>
      <c r="AG71" s="45">
        <v>32.22</v>
      </c>
      <c r="AH71" s="45"/>
      <c r="AI71" s="45"/>
      <c r="AJ71" s="45"/>
      <c r="AK71" s="45"/>
      <c r="AL71" s="45"/>
      <c r="AM71" s="45"/>
      <c r="AN71" s="45">
        <v>20.607999999999997</v>
      </c>
      <c r="AO71" s="45">
        <v>226.19</v>
      </c>
      <c r="AP71" s="45"/>
      <c r="AQ71" s="45"/>
      <c r="AR71" s="59">
        <v>0.22900000000000001</v>
      </c>
      <c r="AS71" s="45">
        <v>2.58541</v>
      </c>
      <c r="AT71" s="59">
        <v>0.22900000000000001</v>
      </c>
      <c r="AU71" s="59">
        <v>2.58541</v>
      </c>
      <c r="AV71" s="59">
        <v>0.22900000000000001</v>
      </c>
      <c r="AW71" s="59">
        <v>2.52</v>
      </c>
      <c r="AX71" s="59">
        <v>0.22900000000000001</v>
      </c>
      <c r="AY71" s="59">
        <v>2.52</v>
      </c>
      <c r="AZ71" s="46">
        <v>0.22900000000000001</v>
      </c>
      <c r="BA71" s="47">
        <v>2.58541</v>
      </c>
      <c r="BB71" s="47"/>
      <c r="BC71" s="47"/>
      <c r="BD71" s="47">
        <v>0.49199999999999999</v>
      </c>
      <c r="BE71" s="47">
        <v>5.42</v>
      </c>
      <c r="BF71" s="47"/>
      <c r="BG71" s="47"/>
      <c r="BH71" s="47">
        <v>7.0104000000000006</v>
      </c>
      <c r="BI71" s="47">
        <v>79.147416000000007</v>
      </c>
      <c r="BJ71" s="47"/>
      <c r="BK71" s="47"/>
      <c r="BL71" s="47"/>
      <c r="BM71" s="47"/>
      <c r="BN71" s="47"/>
      <c r="BO71" s="47"/>
      <c r="BP71" s="48">
        <f t="shared" si="12"/>
        <v>32.180399999999992</v>
      </c>
      <c r="BQ71" s="49">
        <f t="shared" si="15"/>
        <v>64.360799999999983</v>
      </c>
      <c r="BR71" s="50">
        <f t="shared" si="13"/>
        <v>355.77364600000004</v>
      </c>
      <c r="BS71" s="49">
        <f t="shared" si="16"/>
        <v>711.54729200000008</v>
      </c>
    </row>
    <row r="72" spans="1:71" s="9" customFormat="1" ht="17" x14ac:dyDescent="0.15">
      <c r="A72" s="34" t="s">
        <v>216</v>
      </c>
      <c r="B72" s="35" t="s">
        <v>213</v>
      </c>
      <c r="C72" s="35" t="s">
        <v>217</v>
      </c>
      <c r="D72" s="36" t="s">
        <v>215</v>
      </c>
      <c r="E72" s="37" t="s">
        <v>98</v>
      </c>
      <c r="F72" s="38">
        <v>15.978154014199893</v>
      </c>
      <c r="G72" s="38">
        <v>81.942399999999992</v>
      </c>
      <c r="H72" s="38">
        <v>1312.0886720000001</v>
      </c>
      <c r="I72" s="39">
        <v>39.183399999999999</v>
      </c>
      <c r="J72" s="40">
        <v>626.0784000000001</v>
      </c>
      <c r="K72" s="38"/>
      <c r="L72" s="41"/>
      <c r="M72" s="42"/>
      <c r="N72" s="42"/>
      <c r="O72" s="42"/>
      <c r="P72" s="53"/>
      <c r="Q72" s="53"/>
      <c r="R72" s="53"/>
      <c r="S72" s="53"/>
      <c r="T72" s="42"/>
      <c r="U72" s="43">
        <f>+G72*1.07</f>
        <v>87.678367999999992</v>
      </c>
      <c r="V72" s="42">
        <f>+U72*F72</f>
        <v>1400.9384676176953</v>
      </c>
      <c r="W72" s="42"/>
      <c r="X72" s="42"/>
      <c r="Y72" s="42"/>
      <c r="Z72" s="42"/>
      <c r="AA72" s="42">
        <v>48</v>
      </c>
      <c r="AB72" s="42">
        <f>+AA72*F72</f>
        <v>766.95139268159483</v>
      </c>
      <c r="AC72" s="44">
        <f t="shared" si="14"/>
        <v>87.183400000000006</v>
      </c>
      <c r="AD72" s="44">
        <f t="shared" si="14"/>
        <v>1393.0297926815949</v>
      </c>
      <c r="AE72" s="45" t="s">
        <v>54</v>
      </c>
      <c r="AF72" s="45"/>
      <c r="AG72" s="45"/>
      <c r="AH72" s="45"/>
      <c r="AI72" s="45"/>
      <c r="AJ72" s="45"/>
      <c r="AK72" s="45"/>
      <c r="AL72" s="45"/>
      <c r="AM72" s="45"/>
      <c r="AN72" s="45"/>
      <c r="AO72" s="45"/>
      <c r="AP72" s="45"/>
      <c r="AQ72" s="45"/>
      <c r="AR72" s="45"/>
      <c r="AS72" s="45"/>
      <c r="AT72" s="45"/>
      <c r="AU72" s="45"/>
      <c r="AV72" s="45"/>
      <c r="AW72" s="45"/>
      <c r="AX72" s="45">
        <v>1.3280000000000001</v>
      </c>
      <c r="AY72" s="45">
        <v>20.94</v>
      </c>
      <c r="AZ72" s="46">
        <v>1.3280000000000001</v>
      </c>
      <c r="BA72" s="47">
        <v>20.94</v>
      </c>
      <c r="BB72" s="47"/>
      <c r="BC72" s="47"/>
      <c r="BD72" s="47">
        <v>29.475999999999999</v>
      </c>
      <c r="BE72" s="47">
        <v>472.03000000000003</v>
      </c>
      <c r="BF72" s="47"/>
      <c r="BG72" s="47"/>
      <c r="BH72" s="47">
        <v>8.8391999999999999</v>
      </c>
      <c r="BI72" s="47">
        <v>142.13433599999999</v>
      </c>
      <c r="BJ72" s="47"/>
      <c r="BK72" s="47"/>
      <c r="BL72" s="47"/>
      <c r="BM72" s="47"/>
      <c r="BN72" s="47"/>
      <c r="BO72" s="47"/>
      <c r="BP72" s="48">
        <f t="shared" si="12"/>
        <v>40.971199999999996</v>
      </c>
      <c r="BQ72" s="49">
        <f t="shared" si="15"/>
        <v>81.942399999999992</v>
      </c>
      <c r="BR72" s="50">
        <f t="shared" si="13"/>
        <v>656.04433600000004</v>
      </c>
      <c r="BS72" s="49">
        <f t="shared" si="16"/>
        <v>1312.0886720000001</v>
      </c>
    </row>
    <row r="73" spans="1:71" s="9" customFormat="1" ht="17" x14ac:dyDescent="0.15">
      <c r="A73" s="34" t="s">
        <v>218</v>
      </c>
      <c r="B73" s="35" t="s">
        <v>213</v>
      </c>
      <c r="C73" s="35" t="s">
        <v>219</v>
      </c>
      <c r="D73" s="36" t="s">
        <v>215</v>
      </c>
      <c r="E73" s="37" t="s">
        <v>98</v>
      </c>
      <c r="F73" s="38">
        <v>22.32</v>
      </c>
      <c r="G73" s="38">
        <v>32.04</v>
      </c>
      <c r="H73" s="38">
        <v>566.55999999999995</v>
      </c>
      <c r="I73" s="39">
        <v>68.565600000000003</v>
      </c>
      <c r="J73" s="40">
        <v>606.19780000000003</v>
      </c>
      <c r="K73" s="38"/>
      <c r="L73" s="41"/>
      <c r="M73" s="42"/>
      <c r="N73" s="42"/>
      <c r="O73" s="42"/>
      <c r="P73" s="53"/>
      <c r="Q73" s="53"/>
      <c r="R73" s="53"/>
      <c r="S73" s="53"/>
      <c r="T73" s="42"/>
      <c r="U73" s="43">
        <f t="shared" ref="U73:U85" si="17">+G73*1.07</f>
        <v>34.282800000000002</v>
      </c>
      <c r="V73" s="42">
        <f t="shared" ref="V73:V85" si="18">+U73*F73</f>
        <v>765.19209599999999</v>
      </c>
      <c r="W73" s="42"/>
      <c r="X73" s="42"/>
      <c r="Y73" s="42"/>
      <c r="Z73" s="42"/>
      <c r="AA73" s="42">
        <v>-33</v>
      </c>
      <c r="AB73" s="42">
        <f>+AA73*F73</f>
        <v>-736.56000000000006</v>
      </c>
      <c r="AC73" s="44">
        <f t="shared" si="14"/>
        <v>35.565600000000003</v>
      </c>
      <c r="AD73" s="44">
        <f t="shared" si="14"/>
        <v>-130.36220000000003</v>
      </c>
      <c r="AE73" s="45" t="s">
        <v>54</v>
      </c>
      <c r="AF73" s="45"/>
      <c r="AG73" s="45"/>
      <c r="AH73" s="45"/>
      <c r="AI73" s="45"/>
      <c r="AJ73" s="45"/>
      <c r="AK73" s="45"/>
      <c r="AL73" s="45"/>
      <c r="AM73" s="45"/>
      <c r="AN73" s="45"/>
      <c r="AO73" s="45"/>
      <c r="AP73" s="45"/>
      <c r="AQ73" s="45"/>
      <c r="AR73" s="45"/>
      <c r="AS73" s="45"/>
      <c r="AT73" s="45"/>
      <c r="AU73" s="45"/>
      <c r="AV73" s="45"/>
      <c r="AW73" s="45"/>
      <c r="AX73" s="45"/>
      <c r="AY73" s="45"/>
      <c r="AZ73" s="46">
        <v>16.02</v>
      </c>
      <c r="BA73" s="47">
        <v>283.27999999999997</v>
      </c>
      <c r="BB73" s="47"/>
      <c r="BC73" s="47"/>
      <c r="BD73" s="47"/>
      <c r="BE73" s="47"/>
      <c r="BF73" s="47"/>
      <c r="BG73" s="47"/>
      <c r="BH73" s="47"/>
      <c r="BI73" s="47"/>
      <c r="BJ73" s="47"/>
      <c r="BK73" s="47"/>
      <c r="BL73" s="47"/>
      <c r="BM73" s="47"/>
      <c r="BN73" s="47"/>
      <c r="BO73" s="47"/>
      <c r="BP73" s="48">
        <f t="shared" si="12"/>
        <v>16.02</v>
      </c>
      <c r="BQ73" s="49">
        <f t="shared" si="15"/>
        <v>32.04</v>
      </c>
      <c r="BR73" s="50">
        <f t="shared" si="13"/>
        <v>283.27999999999997</v>
      </c>
      <c r="BS73" s="49">
        <f t="shared" si="16"/>
        <v>566.55999999999995</v>
      </c>
    </row>
    <row r="74" spans="1:71" s="9" customFormat="1" ht="17" x14ac:dyDescent="0.15">
      <c r="A74" s="34" t="s">
        <v>220</v>
      </c>
      <c r="B74" s="35" t="s">
        <v>213</v>
      </c>
      <c r="C74" s="35" t="s">
        <v>221</v>
      </c>
      <c r="D74" s="36" t="s">
        <v>215</v>
      </c>
      <c r="E74" s="37" t="s">
        <v>98</v>
      </c>
      <c r="F74" s="38">
        <v>27.906836055656385</v>
      </c>
      <c r="G74" s="38">
        <v>4.1400000000000006</v>
      </c>
      <c r="H74" s="38">
        <v>115.52000000000001</v>
      </c>
      <c r="I74" s="39">
        <v>6</v>
      </c>
      <c r="J74" s="40">
        <v>167.44101633393831</v>
      </c>
      <c r="K74" s="38"/>
      <c r="L74" s="41"/>
      <c r="M74" s="42"/>
      <c r="N74" s="42"/>
      <c r="O74" s="42"/>
      <c r="P74" s="53"/>
      <c r="Q74" s="53"/>
      <c r="R74" s="53"/>
      <c r="S74" s="53"/>
      <c r="T74" s="42"/>
      <c r="U74" s="43">
        <v>6</v>
      </c>
      <c r="V74" s="42">
        <f t="shared" si="18"/>
        <v>167.44101633393831</v>
      </c>
      <c r="W74" s="42"/>
      <c r="X74" s="42"/>
      <c r="Y74" s="42"/>
      <c r="Z74" s="42"/>
      <c r="AA74" s="42"/>
      <c r="AB74" s="42"/>
      <c r="AC74" s="44">
        <f t="shared" si="14"/>
        <v>6</v>
      </c>
      <c r="AD74" s="44">
        <f t="shared" si="14"/>
        <v>167.44101633393831</v>
      </c>
      <c r="AE74" s="45" t="s">
        <v>222</v>
      </c>
      <c r="AF74" s="45">
        <v>1.0860000000000001</v>
      </c>
      <c r="AG74" s="45">
        <v>30.3</v>
      </c>
      <c r="AH74" s="45"/>
      <c r="AI74" s="45"/>
      <c r="AJ74" s="45"/>
      <c r="AK74" s="45"/>
      <c r="AL74" s="45"/>
      <c r="AM74" s="45"/>
      <c r="AN74" s="45"/>
      <c r="AO74" s="45"/>
      <c r="AP74" s="45"/>
      <c r="AQ74" s="45"/>
      <c r="AR74" s="45"/>
      <c r="AS74" s="45"/>
      <c r="AT74" s="45"/>
      <c r="AU74" s="45"/>
      <c r="AV74" s="45"/>
      <c r="AW74" s="45"/>
      <c r="AX74" s="45"/>
      <c r="AY74" s="45"/>
      <c r="AZ74" s="46"/>
      <c r="BA74" s="47"/>
      <c r="BB74" s="47"/>
      <c r="BC74" s="47"/>
      <c r="BD74" s="47">
        <v>0.98399999999999999</v>
      </c>
      <c r="BE74" s="47">
        <v>27.46</v>
      </c>
      <c r="BF74" s="47"/>
      <c r="BG74" s="47"/>
      <c r="BH74" s="47"/>
      <c r="BI74" s="47"/>
      <c r="BJ74" s="47"/>
      <c r="BK74" s="47"/>
      <c r="BL74" s="47"/>
      <c r="BM74" s="47"/>
      <c r="BN74" s="47"/>
      <c r="BO74" s="47"/>
      <c r="BP74" s="48">
        <f t="shared" si="12"/>
        <v>2.0700000000000003</v>
      </c>
      <c r="BQ74" s="49">
        <f t="shared" si="15"/>
        <v>4.1400000000000006</v>
      </c>
      <c r="BR74" s="50">
        <f t="shared" si="13"/>
        <v>57.760000000000005</v>
      </c>
      <c r="BS74" s="49">
        <f t="shared" si="16"/>
        <v>115.52000000000001</v>
      </c>
    </row>
    <row r="75" spans="1:71" s="9" customFormat="1" ht="17" x14ac:dyDescent="0.15">
      <c r="A75" s="34" t="s">
        <v>223</v>
      </c>
      <c r="B75" s="69" t="s">
        <v>102</v>
      </c>
      <c r="C75" s="35" t="s">
        <v>224</v>
      </c>
      <c r="D75" s="36" t="s">
        <v>186</v>
      </c>
      <c r="E75" s="37" t="s">
        <v>98</v>
      </c>
      <c r="F75" s="38">
        <v>27.294936708860757</v>
      </c>
      <c r="G75" s="38">
        <v>15.8</v>
      </c>
      <c r="H75" s="38">
        <v>431.26</v>
      </c>
      <c r="I75" s="39">
        <v>16.906000000000002</v>
      </c>
      <c r="J75" s="40">
        <v>461.44820000000004</v>
      </c>
      <c r="K75" s="38"/>
      <c r="L75" s="41"/>
      <c r="M75" s="42"/>
      <c r="N75" s="42"/>
      <c r="O75" s="42"/>
      <c r="P75" s="53"/>
      <c r="Q75" s="53"/>
      <c r="R75" s="53"/>
      <c r="S75" s="53"/>
      <c r="T75" s="42"/>
      <c r="U75" s="43">
        <f t="shared" si="17"/>
        <v>16.906000000000002</v>
      </c>
      <c r="V75" s="42">
        <f t="shared" si="18"/>
        <v>461.44820000000004</v>
      </c>
      <c r="W75" s="42"/>
      <c r="X75" s="42"/>
      <c r="Y75" s="42"/>
      <c r="Z75" s="42"/>
      <c r="AA75" s="42"/>
      <c r="AB75" s="42"/>
      <c r="AC75" s="44">
        <f t="shared" si="14"/>
        <v>16.906000000000002</v>
      </c>
      <c r="AD75" s="44">
        <f t="shared" si="14"/>
        <v>461.44820000000004</v>
      </c>
      <c r="AE75" s="45" t="s">
        <v>222</v>
      </c>
      <c r="AF75" s="45">
        <v>7.9</v>
      </c>
      <c r="AG75" s="45">
        <v>215.63</v>
      </c>
      <c r="AH75" s="45"/>
      <c r="AI75" s="45"/>
      <c r="AJ75" s="45"/>
      <c r="AK75" s="45"/>
      <c r="AL75" s="45"/>
      <c r="AM75" s="45"/>
      <c r="AN75" s="45"/>
      <c r="AO75" s="45"/>
      <c r="AP75" s="45"/>
      <c r="AQ75" s="45"/>
      <c r="AR75" s="45"/>
      <c r="AS75" s="45"/>
      <c r="AT75" s="45"/>
      <c r="AU75" s="45"/>
      <c r="AV75" s="45"/>
      <c r="AW75" s="45"/>
      <c r="AX75" s="45"/>
      <c r="AY75" s="45"/>
      <c r="AZ75" s="46"/>
      <c r="BA75" s="47"/>
      <c r="BB75" s="47"/>
      <c r="BC75" s="47"/>
      <c r="BD75" s="47"/>
      <c r="BE75" s="47"/>
      <c r="BF75" s="47"/>
      <c r="BG75" s="47"/>
      <c r="BH75" s="47"/>
      <c r="BI75" s="47"/>
      <c r="BJ75" s="47"/>
      <c r="BK75" s="47"/>
      <c r="BL75" s="47"/>
      <c r="BM75" s="47"/>
      <c r="BN75" s="47"/>
      <c r="BO75" s="47"/>
      <c r="BP75" s="48">
        <f t="shared" si="12"/>
        <v>7.9</v>
      </c>
      <c r="BQ75" s="49">
        <f t="shared" si="15"/>
        <v>15.8</v>
      </c>
      <c r="BR75" s="50">
        <f t="shared" si="13"/>
        <v>215.63</v>
      </c>
      <c r="BS75" s="49">
        <f t="shared" si="16"/>
        <v>431.26</v>
      </c>
    </row>
    <row r="76" spans="1:71" s="9" customFormat="1" ht="17" x14ac:dyDescent="0.15">
      <c r="A76" s="34" t="s">
        <v>225</v>
      </c>
      <c r="B76" s="69" t="s">
        <v>102</v>
      </c>
      <c r="C76" s="35" t="s">
        <v>224</v>
      </c>
      <c r="D76" s="36" t="s">
        <v>52</v>
      </c>
      <c r="E76" s="37" t="s">
        <v>98</v>
      </c>
      <c r="F76" s="38">
        <v>31.5</v>
      </c>
      <c r="G76" s="38">
        <v>8.5500000000000007</v>
      </c>
      <c r="H76" s="38">
        <v>226.32</v>
      </c>
      <c r="I76" s="39">
        <v>12</v>
      </c>
      <c r="J76" s="40">
        <v>334.44320140982853</v>
      </c>
      <c r="K76" s="38"/>
      <c r="L76" s="41"/>
      <c r="M76" s="42"/>
      <c r="N76" s="42"/>
      <c r="O76" s="42"/>
      <c r="P76" s="53"/>
      <c r="Q76" s="53"/>
      <c r="R76" s="53"/>
      <c r="S76" s="53"/>
      <c r="T76" s="42"/>
      <c r="U76" s="43">
        <v>6</v>
      </c>
      <c r="V76" s="42">
        <f t="shared" si="18"/>
        <v>189</v>
      </c>
      <c r="W76" s="42"/>
      <c r="X76" s="42"/>
      <c r="Y76" s="42">
        <v>6</v>
      </c>
      <c r="Z76" s="42">
        <f>+Y76*F76</f>
        <v>189</v>
      </c>
      <c r="AA76" s="42"/>
      <c r="AB76" s="42"/>
      <c r="AC76" s="44">
        <f t="shared" si="14"/>
        <v>12</v>
      </c>
      <c r="AD76" s="44">
        <f t="shared" si="14"/>
        <v>334.44320140982853</v>
      </c>
      <c r="AE76" s="45" t="s">
        <v>116</v>
      </c>
      <c r="AF76" s="45"/>
      <c r="AG76" s="45"/>
      <c r="AH76" s="45">
        <v>2.9159999999999999</v>
      </c>
      <c r="AI76" s="45">
        <v>73.39</v>
      </c>
      <c r="AJ76" s="45"/>
      <c r="AK76" s="45"/>
      <c r="AL76" s="45"/>
      <c r="AM76" s="45"/>
      <c r="AN76" s="45"/>
      <c r="AO76" s="45"/>
      <c r="AP76" s="45"/>
      <c r="AQ76" s="45"/>
      <c r="AR76" s="45"/>
      <c r="AS76" s="45"/>
      <c r="AT76" s="45"/>
      <c r="AU76" s="45"/>
      <c r="AV76" s="45"/>
      <c r="AW76" s="45"/>
      <c r="AX76" s="45"/>
      <c r="AY76" s="45"/>
      <c r="AZ76" s="46"/>
      <c r="BA76" s="47"/>
      <c r="BB76" s="47"/>
      <c r="BC76" s="47"/>
      <c r="BD76" s="47">
        <v>1.359</v>
      </c>
      <c r="BE76" s="47">
        <v>39.770000000000003</v>
      </c>
      <c r="BF76" s="47"/>
      <c r="BG76" s="47"/>
      <c r="BH76" s="47"/>
      <c r="BI76" s="47"/>
      <c r="BJ76" s="47"/>
      <c r="BK76" s="47"/>
      <c r="BL76" s="47"/>
      <c r="BM76" s="47"/>
      <c r="BN76" s="47"/>
      <c r="BO76" s="47"/>
      <c r="BP76" s="48">
        <f t="shared" si="12"/>
        <v>4.2750000000000004</v>
      </c>
      <c r="BQ76" s="49">
        <f t="shared" si="15"/>
        <v>8.5500000000000007</v>
      </c>
      <c r="BR76" s="50">
        <f t="shared" si="13"/>
        <v>113.16</v>
      </c>
      <c r="BS76" s="49">
        <f t="shared" si="16"/>
        <v>226.32</v>
      </c>
    </row>
    <row r="77" spans="1:71" s="9" customFormat="1" ht="17" x14ac:dyDescent="0.15">
      <c r="A77" s="34" t="s">
        <v>226</v>
      </c>
      <c r="B77" s="69" t="s">
        <v>102</v>
      </c>
      <c r="C77" s="35" t="s">
        <v>227</v>
      </c>
      <c r="D77" s="36" t="s">
        <v>186</v>
      </c>
      <c r="E77" s="37" t="s">
        <v>98</v>
      </c>
      <c r="F77" s="38">
        <v>49.842350203606756</v>
      </c>
      <c r="G77" s="38">
        <v>43.879999999999995</v>
      </c>
      <c r="H77" s="38">
        <v>2187.8296</v>
      </c>
      <c r="I77" s="39">
        <v>38.835599999999999</v>
      </c>
      <c r="J77" s="40">
        <v>1935.8222024432814</v>
      </c>
      <c r="K77" s="38"/>
      <c r="L77" s="41"/>
      <c r="M77" s="42"/>
      <c r="N77" s="42"/>
      <c r="O77" s="42"/>
      <c r="P77" s="53"/>
      <c r="Q77" s="53"/>
      <c r="R77" s="53"/>
      <c r="S77" s="53"/>
      <c r="T77" s="42"/>
      <c r="U77" s="43">
        <f t="shared" si="17"/>
        <v>46.951599999999999</v>
      </c>
      <c r="V77" s="42">
        <f t="shared" si="18"/>
        <v>2340.178089819663</v>
      </c>
      <c r="W77" s="42"/>
      <c r="X77" s="42"/>
      <c r="Y77" s="42">
        <v>12</v>
      </c>
      <c r="Z77" s="42">
        <f>+Y77*F77</f>
        <v>598.10820244328102</v>
      </c>
      <c r="AA77" s="42">
        <v>8</v>
      </c>
      <c r="AB77" s="42">
        <f>+AA77*F77</f>
        <v>398.73880162885405</v>
      </c>
      <c r="AC77" s="44">
        <f t="shared" si="14"/>
        <v>46.835599999999999</v>
      </c>
      <c r="AD77" s="44">
        <f t="shared" si="14"/>
        <v>2334.5610040721353</v>
      </c>
      <c r="AE77" s="45" t="s">
        <v>54</v>
      </c>
      <c r="AF77" s="45">
        <v>10.591999999999999</v>
      </c>
      <c r="AG77" s="45">
        <v>528.00000000000011</v>
      </c>
      <c r="AH77" s="45"/>
      <c r="AI77" s="45"/>
      <c r="AJ77" s="45">
        <v>4.6479999999999997</v>
      </c>
      <c r="AK77" s="45">
        <v>231.69</v>
      </c>
      <c r="AL77" s="45"/>
      <c r="AM77" s="45"/>
      <c r="AN77" s="45"/>
      <c r="AO77" s="45"/>
      <c r="AP77" s="45"/>
      <c r="AQ77" s="45"/>
      <c r="AR77" s="45">
        <v>1.6879999999999999</v>
      </c>
      <c r="AS77" s="45">
        <v>84.231200000000001</v>
      </c>
      <c r="AT77" s="45">
        <v>2.3319999999999999</v>
      </c>
      <c r="AU77" s="45">
        <v>116.3668</v>
      </c>
      <c r="AV77" s="45">
        <v>1.036</v>
      </c>
      <c r="AW77" s="45">
        <v>51.64</v>
      </c>
      <c r="AX77" s="45">
        <v>0.91200000000000003</v>
      </c>
      <c r="AY77" s="45">
        <v>45.46</v>
      </c>
      <c r="AZ77" s="46">
        <v>0.73199999999999998</v>
      </c>
      <c r="BA77" s="47">
        <v>36.526799999999994</v>
      </c>
      <c r="BB77" s="47"/>
      <c r="BC77" s="47"/>
      <c r="BD77" s="47"/>
      <c r="BE77" s="47"/>
      <c r="BF77" s="47"/>
      <c r="BG77" s="47"/>
      <c r="BH77" s="47"/>
      <c r="BI77" s="47"/>
      <c r="BJ77" s="47"/>
      <c r="BK77" s="47"/>
      <c r="BL77" s="47"/>
      <c r="BM77" s="47"/>
      <c r="BN77" s="47"/>
      <c r="BO77" s="47"/>
      <c r="BP77" s="48">
        <f t="shared" si="12"/>
        <v>21.939999999999998</v>
      </c>
      <c r="BQ77" s="49">
        <f t="shared" si="15"/>
        <v>43.879999999999995</v>
      </c>
      <c r="BR77" s="50">
        <f t="shared" si="13"/>
        <v>1093.9148</v>
      </c>
      <c r="BS77" s="49">
        <f t="shared" si="16"/>
        <v>2187.8296</v>
      </c>
    </row>
    <row r="78" spans="1:71" s="9" customFormat="1" ht="17" x14ac:dyDescent="0.15">
      <c r="A78" s="34" t="s">
        <v>228</v>
      </c>
      <c r="B78" s="69" t="s">
        <v>114</v>
      </c>
      <c r="C78" s="35" t="s">
        <v>229</v>
      </c>
      <c r="D78" s="36" t="s">
        <v>52</v>
      </c>
      <c r="E78" s="37" t="s">
        <v>98</v>
      </c>
      <c r="F78" s="38">
        <v>7.0394736842105265</v>
      </c>
      <c r="G78" s="38">
        <v>0.30399999999999999</v>
      </c>
      <c r="H78" s="38">
        <v>2.14</v>
      </c>
      <c r="I78" s="39">
        <v>3</v>
      </c>
      <c r="J78" s="40">
        <v>21.118421052631579</v>
      </c>
      <c r="K78" s="38"/>
      <c r="L78" s="41"/>
      <c r="M78" s="42"/>
      <c r="N78" s="42"/>
      <c r="O78" s="42"/>
      <c r="P78" s="53"/>
      <c r="Q78" s="53"/>
      <c r="R78" s="53"/>
      <c r="S78" s="53"/>
      <c r="T78" s="42"/>
      <c r="U78" s="43">
        <v>3</v>
      </c>
      <c r="V78" s="42">
        <f t="shared" si="18"/>
        <v>21.118421052631579</v>
      </c>
      <c r="W78" s="42"/>
      <c r="X78" s="42"/>
      <c r="Y78" s="42"/>
      <c r="Z78" s="42"/>
      <c r="AA78" s="42"/>
      <c r="AB78" s="42"/>
      <c r="AC78" s="44">
        <f t="shared" si="14"/>
        <v>3</v>
      </c>
      <c r="AD78" s="44">
        <f t="shared" si="14"/>
        <v>21.118421052631579</v>
      </c>
      <c r="AE78" s="45" t="s">
        <v>222</v>
      </c>
      <c r="AF78" s="45"/>
      <c r="AG78" s="45"/>
      <c r="AH78" s="45"/>
      <c r="AI78" s="45"/>
      <c r="AJ78" s="45"/>
      <c r="AK78" s="45"/>
      <c r="AL78" s="45"/>
      <c r="AM78" s="45"/>
      <c r="AN78" s="45"/>
      <c r="AO78" s="45"/>
      <c r="AP78" s="45"/>
      <c r="AQ78" s="45"/>
      <c r="AR78" s="45"/>
      <c r="AS78" s="45"/>
      <c r="AT78" s="45"/>
      <c r="AU78" s="45"/>
      <c r="AV78" s="45"/>
      <c r="AW78" s="45"/>
      <c r="AX78" s="45"/>
      <c r="AY78" s="45"/>
      <c r="AZ78" s="46"/>
      <c r="BA78" s="47"/>
      <c r="BB78" s="47"/>
      <c r="BC78" s="47"/>
      <c r="BD78" s="47">
        <v>0.152</v>
      </c>
      <c r="BE78" s="47">
        <v>1.07</v>
      </c>
      <c r="BF78" s="47"/>
      <c r="BG78" s="47"/>
      <c r="BH78" s="47"/>
      <c r="BI78" s="47"/>
      <c r="BJ78" s="47"/>
      <c r="BK78" s="47"/>
      <c r="BL78" s="47"/>
      <c r="BM78" s="47"/>
      <c r="BN78" s="47"/>
      <c r="BO78" s="47"/>
      <c r="BP78" s="48">
        <f t="shared" si="12"/>
        <v>0.152</v>
      </c>
      <c r="BQ78" s="49">
        <f t="shared" si="15"/>
        <v>0.30399999999999999</v>
      </c>
      <c r="BR78" s="50">
        <f t="shared" si="13"/>
        <v>1.07</v>
      </c>
      <c r="BS78" s="49">
        <f t="shared" si="16"/>
        <v>2.14</v>
      </c>
    </row>
    <row r="79" spans="1:71" s="9" customFormat="1" ht="17" x14ac:dyDescent="0.15">
      <c r="A79" s="34" t="s">
        <v>230</v>
      </c>
      <c r="B79" s="69" t="s">
        <v>114</v>
      </c>
      <c r="C79" s="35" t="s">
        <v>231</v>
      </c>
      <c r="D79" s="36" t="s">
        <v>52</v>
      </c>
      <c r="E79" s="37" t="s">
        <v>98</v>
      </c>
      <c r="F79" s="38">
        <v>7.6616616616616611</v>
      </c>
      <c r="G79" s="38">
        <v>39.960000000000008</v>
      </c>
      <c r="H79" s="38">
        <v>306.16000000000003</v>
      </c>
      <c r="I79" s="39">
        <v>42.757200000000005</v>
      </c>
      <c r="J79" s="40">
        <v>327.59120000000001</v>
      </c>
      <c r="K79" s="38"/>
      <c r="L79" s="41"/>
      <c r="M79" s="42"/>
      <c r="N79" s="42"/>
      <c r="O79" s="42"/>
      <c r="P79" s="53"/>
      <c r="Q79" s="53"/>
      <c r="R79" s="53"/>
      <c r="S79" s="53"/>
      <c r="T79" s="42"/>
      <c r="U79" s="43">
        <f t="shared" si="17"/>
        <v>42.757200000000012</v>
      </c>
      <c r="V79" s="42">
        <f t="shared" si="18"/>
        <v>327.59120000000007</v>
      </c>
      <c r="W79" s="42"/>
      <c r="X79" s="42"/>
      <c r="Y79" s="42"/>
      <c r="Z79" s="42"/>
      <c r="AA79" s="42"/>
      <c r="AB79" s="42"/>
      <c r="AC79" s="44">
        <f t="shared" si="14"/>
        <v>42.757200000000005</v>
      </c>
      <c r="AD79" s="44">
        <f t="shared" si="14"/>
        <v>327.59120000000001</v>
      </c>
      <c r="AE79" s="45" t="s">
        <v>222</v>
      </c>
      <c r="AF79" s="45"/>
      <c r="AG79" s="45"/>
      <c r="AH79" s="45"/>
      <c r="AI79" s="45"/>
      <c r="AJ79" s="45"/>
      <c r="AK79" s="45"/>
      <c r="AL79" s="45"/>
      <c r="AM79" s="45"/>
      <c r="AN79" s="45">
        <v>19.980000000000004</v>
      </c>
      <c r="AO79" s="45">
        <v>153.08000000000001</v>
      </c>
      <c r="AP79" s="45"/>
      <c r="AQ79" s="45"/>
      <c r="AR79" s="45"/>
      <c r="AS79" s="45"/>
      <c r="AT79" s="45"/>
      <c r="AU79" s="45"/>
      <c r="AV79" s="45"/>
      <c r="AW79" s="45"/>
      <c r="AX79" s="45"/>
      <c r="AY79" s="45"/>
      <c r="AZ79" s="46"/>
      <c r="BA79" s="47"/>
      <c r="BB79" s="47"/>
      <c r="BC79" s="47"/>
      <c r="BD79" s="47"/>
      <c r="BE79" s="47"/>
      <c r="BF79" s="47"/>
      <c r="BG79" s="47"/>
      <c r="BH79" s="47"/>
      <c r="BI79" s="47"/>
      <c r="BJ79" s="47"/>
      <c r="BK79" s="47"/>
      <c r="BL79" s="47"/>
      <c r="BM79" s="47"/>
      <c r="BN79" s="47"/>
      <c r="BO79" s="47"/>
      <c r="BP79" s="48">
        <f t="shared" si="12"/>
        <v>19.980000000000004</v>
      </c>
      <c r="BQ79" s="49">
        <f t="shared" si="15"/>
        <v>39.960000000000008</v>
      </c>
      <c r="BR79" s="50">
        <f t="shared" si="13"/>
        <v>153.08000000000001</v>
      </c>
      <c r="BS79" s="49">
        <f t="shared" si="16"/>
        <v>306.16000000000003</v>
      </c>
    </row>
    <row r="80" spans="1:71" s="9" customFormat="1" ht="17" x14ac:dyDescent="0.15">
      <c r="A80" s="34" t="s">
        <v>232</v>
      </c>
      <c r="B80" s="69" t="s">
        <v>233</v>
      </c>
      <c r="C80" s="35" t="s">
        <v>60</v>
      </c>
      <c r="D80" s="36" t="s">
        <v>52</v>
      </c>
      <c r="E80" s="37" t="s">
        <v>53</v>
      </c>
      <c r="F80" s="38">
        <v>23.549999999999997</v>
      </c>
      <c r="G80" s="38">
        <v>47.427600849256898</v>
      </c>
      <c r="H80" s="38">
        <v>1116.9199999999998</v>
      </c>
      <c r="I80" s="39">
        <v>3</v>
      </c>
      <c r="J80" s="40">
        <v>70.650000000000006</v>
      </c>
      <c r="K80" s="38"/>
      <c r="L80" s="41"/>
      <c r="M80" s="42"/>
      <c r="N80" s="42"/>
      <c r="O80" s="42"/>
      <c r="P80" s="53"/>
      <c r="Q80" s="53"/>
      <c r="R80" s="53"/>
      <c r="S80" s="53"/>
      <c r="T80" s="42"/>
      <c r="U80" s="43">
        <v>3</v>
      </c>
      <c r="V80" s="42">
        <f t="shared" si="18"/>
        <v>70.649999999999991</v>
      </c>
      <c r="W80" s="42"/>
      <c r="X80" s="42"/>
      <c r="Y80" s="42"/>
      <c r="Z80" s="42"/>
      <c r="AA80" s="42">
        <v>51</v>
      </c>
      <c r="AB80" s="42">
        <f>+AA80*F80</f>
        <v>1201.05</v>
      </c>
      <c r="AC80" s="44">
        <f t="shared" si="14"/>
        <v>54</v>
      </c>
      <c r="AD80" s="44">
        <f t="shared" si="14"/>
        <v>1271.7</v>
      </c>
      <c r="AE80" s="45" t="s">
        <v>54</v>
      </c>
      <c r="AF80" s="45"/>
      <c r="AG80" s="45"/>
      <c r="AH80" s="45"/>
      <c r="AI80" s="45"/>
      <c r="AJ80" s="45"/>
      <c r="AK80" s="45"/>
      <c r="AL80" s="45"/>
      <c r="AM80" s="45"/>
      <c r="AN80" s="45"/>
      <c r="AO80" s="45"/>
      <c r="AP80" s="45"/>
      <c r="AQ80" s="45"/>
      <c r="AR80" s="45"/>
      <c r="AS80" s="45"/>
      <c r="AT80" s="45"/>
      <c r="AU80" s="45"/>
      <c r="AV80" s="45"/>
      <c r="AW80" s="45"/>
      <c r="AX80" s="45"/>
      <c r="AY80" s="45"/>
      <c r="AZ80" s="46"/>
      <c r="BA80" s="47"/>
      <c r="BB80" s="47"/>
      <c r="BC80" s="47"/>
      <c r="BD80" s="47">
        <v>0.66581740976645432</v>
      </c>
      <c r="BE80" s="47">
        <v>15.68</v>
      </c>
      <c r="BF80" s="47">
        <v>23.047983014861995</v>
      </c>
      <c r="BG80" s="47">
        <v>542.78</v>
      </c>
      <c r="BH80" s="47"/>
      <c r="BI80" s="47"/>
      <c r="BJ80" s="47"/>
      <c r="BK80" s="47"/>
      <c r="BL80" s="47"/>
      <c r="BM80" s="47"/>
      <c r="BN80" s="47"/>
      <c r="BO80" s="47"/>
      <c r="BP80" s="48">
        <f t="shared" si="12"/>
        <v>23.713800424628449</v>
      </c>
      <c r="BQ80" s="49">
        <f t="shared" si="15"/>
        <v>47.427600849256898</v>
      </c>
      <c r="BR80" s="50">
        <f t="shared" si="13"/>
        <v>558.45999999999992</v>
      </c>
      <c r="BS80" s="49">
        <f t="shared" si="16"/>
        <v>1116.9199999999998</v>
      </c>
    </row>
    <row r="81" spans="1:71" s="9" customFormat="1" ht="17" x14ac:dyDescent="0.15">
      <c r="A81" s="34" t="s">
        <v>234</v>
      </c>
      <c r="B81" s="69" t="s">
        <v>233</v>
      </c>
      <c r="C81" s="35" t="s">
        <v>235</v>
      </c>
      <c r="D81" s="36" t="s">
        <v>186</v>
      </c>
      <c r="E81" s="37" t="s">
        <v>53</v>
      </c>
      <c r="F81" s="38">
        <v>62.8</v>
      </c>
      <c r="G81" s="38">
        <v>0.49872611464968153</v>
      </c>
      <c r="H81" s="38">
        <v>31.32</v>
      </c>
      <c r="I81" s="39">
        <v>3</v>
      </c>
      <c r="J81" s="40">
        <v>188.39999999999998</v>
      </c>
      <c r="K81" s="38"/>
      <c r="L81" s="41"/>
      <c r="M81" s="42"/>
      <c r="N81" s="42"/>
      <c r="O81" s="42"/>
      <c r="P81" s="53"/>
      <c r="Q81" s="53"/>
      <c r="R81" s="53"/>
      <c r="S81" s="53"/>
      <c r="T81" s="42"/>
      <c r="U81" s="43">
        <v>3</v>
      </c>
      <c r="V81" s="42">
        <f t="shared" si="18"/>
        <v>188.39999999999998</v>
      </c>
      <c r="W81" s="42"/>
      <c r="X81" s="42"/>
      <c r="Y81" s="42"/>
      <c r="Z81" s="42"/>
      <c r="AA81" s="42"/>
      <c r="AB81" s="42"/>
      <c r="AC81" s="44">
        <f t="shared" si="14"/>
        <v>3</v>
      </c>
      <c r="AD81" s="44">
        <f t="shared" si="14"/>
        <v>188.39999999999998</v>
      </c>
      <c r="AE81" s="45" t="s">
        <v>222</v>
      </c>
      <c r="AF81" s="55">
        <v>0.24936305732484076</v>
      </c>
      <c r="AG81" s="45">
        <v>15.66</v>
      </c>
      <c r="AH81" s="45"/>
      <c r="AI81" s="45"/>
      <c r="AJ81" s="45"/>
      <c r="AK81" s="45"/>
      <c r="AL81" s="45"/>
      <c r="AM81" s="45"/>
      <c r="AN81" s="45"/>
      <c r="AO81" s="45"/>
      <c r="AP81" s="45"/>
      <c r="AQ81" s="45"/>
      <c r="AR81" s="45"/>
      <c r="AS81" s="45"/>
      <c r="AT81" s="45"/>
      <c r="AU81" s="45"/>
      <c r="AV81" s="45"/>
      <c r="AW81" s="45"/>
      <c r="AX81" s="45"/>
      <c r="AY81" s="45"/>
      <c r="AZ81" s="46"/>
      <c r="BA81" s="47"/>
      <c r="BB81" s="47"/>
      <c r="BC81" s="47"/>
      <c r="BD81" s="47"/>
      <c r="BE81" s="47"/>
      <c r="BF81" s="47"/>
      <c r="BG81" s="47"/>
      <c r="BH81" s="47"/>
      <c r="BI81" s="47"/>
      <c r="BJ81" s="47"/>
      <c r="BK81" s="47"/>
      <c r="BL81" s="47"/>
      <c r="BM81" s="47"/>
      <c r="BN81" s="47"/>
      <c r="BO81" s="47"/>
      <c r="BP81" s="48">
        <f t="shared" si="12"/>
        <v>0.24936305732484076</v>
      </c>
      <c r="BQ81" s="49">
        <f t="shared" si="15"/>
        <v>0.49872611464968153</v>
      </c>
      <c r="BR81" s="50">
        <f t="shared" si="13"/>
        <v>15.66</v>
      </c>
      <c r="BS81" s="49">
        <f t="shared" si="16"/>
        <v>31.32</v>
      </c>
    </row>
    <row r="82" spans="1:71" s="9" customFormat="1" ht="17" x14ac:dyDescent="0.15">
      <c r="A82" s="34" t="s">
        <v>236</v>
      </c>
      <c r="B82" s="69" t="s">
        <v>237</v>
      </c>
      <c r="C82" s="35" t="s">
        <v>238</v>
      </c>
      <c r="D82" s="36" t="s">
        <v>52</v>
      </c>
      <c r="E82" s="37" t="s">
        <v>98</v>
      </c>
      <c r="F82" s="38">
        <v>0.88800000000000001</v>
      </c>
      <c r="G82" s="38">
        <v>0.54200000000000004</v>
      </c>
      <c r="H82" s="38">
        <v>0.42</v>
      </c>
      <c r="I82" s="39">
        <v>2</v>
      </c>
      <c r="J82" s="40">
        <v>1.776</v>
      </c>
      <c r="K82" s="38"/>
      <c r="L82" s="41"/>
      <c r="M82" s="42"/>
      <c r="N82" s="42"/>
      <c r="O82" s="42"/>
      <c r="P82" s="53"/>
      <c r="Q82" s="53"/>
      <c r="R82" s="53"/>
      <c r="S82" s="53"/>
      <c r="T82" s="42"/>
      <c r="U82" s="43">
        <v>2</v>
      </c>
      <c r="V82" s="42">
        <f t="shared" si="18"/>
        <v>1.776</v>
      </c>
      <c r="W82" s="42"/>
      <c r="X82" s="42"/>
      <c r="Y82" s="42"/>
      <c r="Z82" s="42"/>
      <c r="AA82" s="42"/>
      <c r="AB82" s="42"/>
      <c r="AC82" s="44">
        <f t="shared" si="14"/>
        <v>2</v>
      </c>
      <c r="AD82" s="44">
        <f t="shared" si="14"/>
        <v>1.776</v>
      </c>
      <c r="AE82" s="45" t="s">
        <v>222</v>
      </c>
      <c r="AF82" s="45"/>
      <c r="AG82" s="45"/>
      <c r="AH82" s="45"/>
      <c r="AI82" s="45"/>
      <c r="AJ82" s="45"/>
      <c r="AK82" s="45"/>
      <c r="AL82" s="45"/>
      <c r="AM82" s="45"/>
      <c r="AN82" s="45"/>
      <c r="AO82" s="45"/>
      <c r="AP82" s="45"/>
      <c r="AQ82" s="45"/>
      <c r="AR82" s="45"/>
      <c r="AS82" s="45"/>
      <c r="AT82" s="45"/>
      <c r="AU82" s="45"/>
      <c r="AV82" s="45"/>
      <c r="AW82" s="45"/>
      <c r="AX82" s="45"/>
      <c r="AY82" s="45"/>
      <c r="AZ82" s="46"/>
      <c r="BA82" s="47"/>
      <c r="BB82" s="47"/>
      <c r="BC82" s="47"/>
      <c r="BD82" s="57">
        <v>0.27100000000000002</v>
      </c>
      <c r="BE82" s="57">
        <v>0.21</v>
      </c>
      <c r="BF82" s="57"/>
      <c r="BG82" s="57"/>
      <c r="BH82" s="57"/>
      <c r="BI82" s="57"/>
      <c r="BJ82" s="57"/>
      <c r="BK82" s="57"/>
      <c r="BL82" s="57"/>
      <c r="BM82" s="57"/>
      <c r="BN82" s="57"/>
      <c r="BO82" s="57"/>
      <c r="BP82" s="48">
        <f t="shared" si="12"/>
        <v>0.27100000000000002</v>
      </c>
      <c r="BQ82" s="49">
        <f t="shared" si="15"/>
        <v>0.54200000000000004</v>
      </c>
      <c r="BR82" s="50">
        <f t="shared" si="13"/>
        <v>0.21</v>
      </c>
      <c r="BS82" s="49">
        <f t="shared" si="16"/>
        <v>0.42</v>
      </c>
    </row>
    <row r="83" spans="1:71" s="9" customFormat="1" ht="17" x14ac:dyDescent="0.15">
      <c r="A83" s="34" t="s">
        <v>239</v>
      </c>
      <c r="B83" s="69" t="s">
        <v>237</v>
      </c>
      <c r="C83" s="35" t="s">
        <v>240</v>
      </c>
      <c r="D83" s="36" t="s">
        <v>52</v>
      </c>
      <c r="E83" s="37" t="s">
        <v>98</v>
      </c>
      <c r="F83" s="38">
        <v>1</v>
      </c>
      <c r="G83" s="38">
        <v>42.483999999999995</v>
      </c>
      <c r="H83" s="38">
        <v>40.09713580246914</v>
      </c>
      <c r="I83" s="39">
        <v>34.939000000000007</v>
      </c>
      <c r="J83" s="40">
        <v>34.939000000000007</v>
      </c>
      <c r="K83" s="38"/>
      <c r="L83" s="41"/>
      <c r="M83" s="42"/>
      <c r="N83" s="42"/>
      <c r="O83" s="42"/>
      <c r="P83" s="53"/>
      <c r="Q83" s="53"/>
      <c r="R83" s="53"/>
      <c r="S83" s="53"/>
      <c r="T83" s="42"/>
      <c r="U83" s="43">
        <f t="shared" si="17"/>
        <v>45.457879999999996</v>
      </c>
      <c r="V83" s="42">
        <f t="shared" si="18"/>
        <v>45.457879999999996</v>
      </c>
      <c r="W83" s="42"/>
      <c r="X83" s="42"/>
      <c r="Y83" s="42">
        <v>16</v>
      </c>
      <c r="Z83" s="42">
        <f>+Y83*F83</f>
        <v>16</v>
      </c>
      <c r="AA83" s="42">
        <v>12</v>
      </c>
      <c r="AB83" s="42">
        <f>+AA83*F83</f>
        <v>12</v>
      </c>
      <c r="AC83" s="44">
        <f t="shared" si="14"/>
        <v>46.939000000000007</v>
      </c>
      <c r="AD83" s="44">
        <f t="shared" si="14"/>
        <v>46.939000000000007</v>
      </c>
      <c r="AE83" s="45" t="s">
        <v>54</v>
      </c>
      <c r="AF83" s="45">
        <v>1.77</v>
      </c>
      <c r="AG83" s="45">
        <v>1.65</v>
      </c>
      <c r="AH83" s="45">
        <v>5.3100000000000005</v>
      </c>
      <c r="AI83" s="45">
        <v>4.9400000000000004</v>
      </c>
      <c r="AJ83" s="45">
        <v>1.77</v>
      </c>
      <c r="AK83" s="45">
        <v>1.65</v>
      </c>
      <c r="AL83" s="45"/>
      <c r="AM83" s="45"/>
      <c r="AN83" s="45">
        <v>1.77</v>
      </c>
      <c r="AO83" s="45">
        <v>1.6600000000000001</v>
      </c>
      <c r="AP83" s="45"/>
      <c r="AQ83" s="45"/>
      <c r="AR83" s="45">
        <v>1.7720000000000002</v>
      </c>
      <c r="AS83" s="45">
        <v>1.8485679012345677</v>
      </c>
      <c r="AT83" s="45">
        <v>1.77</v>
      </c>
      <c r="AU83" s="45">
        <v>1.6600000000000001</v>
      </c>
      <c r="AV83" s="45">
        <v>1.77</v>
      </c>
      <c r="AW83" s="45">
        <v>1.6600000000000001</v>
      </c>
      <c r="AX83" s="45">
        <v>1.77</v>
      </c>
      <c r="AY83" s="45">
        <v>1.6600000000000001</v>
      </c>
      <c r="AZ83" s="46">
        <v>1.77</v>
      </c>
      <c r="BA83" s="47">
        <v>1.6600000000000001</v>
      </c>
      <c r="BB83" s="47">
        <v>1.77</v>
      </c>
      <c r="BC83" s="47">
        <v>1.6600000000000001</v>
      </c>
      <c r="BD83" s="47"/>
      <c r="BE83" s="47"/>
      <c r="BF83" s="47"/>
      <c r="BG83" s="47"/>
      <c r="BH83" s="47"/>
      <c r="BI83" s="47"/>
      <c r="BJ83" s="47"/>
      <c r="BK83" s="47"/>
      <c r="BL83" s="47"/>
      <c r="BM83" s="47"/>
      <c r="BN83" s="47"/>
      <c r="BO83" s="47"/>
      <c r="BP83" s="48">
        <f t="shared" si="12"/>
        <v>21.241999999999997</v>
      </c>
      <c r="BQ83" s="49">
        <f t="shared" si="15"/>
        <v>42.483999999999995</v>
      </c>
      <c r="BR83" s="50">
        <f t="shared" si="13"/>
        <v>20.04856790123457</v>
      </c>
      <c r="BS83" s="49">
        <f t="shared" si="16"/>
        <v>40.09713580246914</v>
      </c>
    </row>
    <row r="84" spans="1:71" s="9" customFormat="1" ht="17" x14ac:dyDescent="0.15">
      <c r="A84" s="34" t="s">
        <v>241</v>
      </c>
      <c r="B84" s="69" t="s">
        <v>237</v>
      </c>
      <c r="C84" s="35" t="s">
        <v>242</v>
      </c>
      <c r="D84" s="36" t="s">
        <v>52</v>
      </c>
      <c r="E84" s="37" t="s">
        <v>98</v>
      </c>
      <c r="F84" s="38">
        <v>2.2000000000000002</v>
      </c>
      <c r="G84" s="38">
        <v>40.294800000000002</v>
      </c>
      <c r="H84" s="38">
        <v>86.231581432098778</v>
      </c>
      <c r="I84" s="39">
        <v>25.345939999999999</v>
      </c>
      <c r="J84" s="40">
        <v>55.761068000000002</v>
      </c>
      <c r="K84" s="38"/>
      <c r="L84" s="41"/>
      <c r="M84" s="42"/>
      <c r="N84" s="42"/>
      <c r="O84" s="42"/>
      <c r="P84" s="53"/>
      <c r="Q84" s="53"/>
      <c r="R84" s="53"/>
      <c r="S84" s="53"/>
      <c r="T84" s="42"/>
      <c r="U84" s="43">
        <f t="shared" si="17"/>
        <v>43.115436000000003</v>
      </c>
      <c r="V84" s="42">
        <f t="shared" si="18"/>
        <v>94.85395920000002</v>
      </c>
      <c r="W84" s="42"/>
      <c r="X84" s="42"/>
      <c r="Y84" s="42">
        <v>10</v>
      </c>
      <c r="Z84" s="42">
        <f>+Y84*F84</f>
        <v>22</v>
      </c>
      <c r="AA84" s="42">
        <v>18</v>
      </c>
      <c r="AB84" s="42">
        <f t="shared" ref="AB84:AB85" si="19">+AA84*F84</f>
        <v>39.6</v>
      </c>
      <c r="AC84" s="44">
        <f t="shared" si="14"/>
        <v>43.345939999999999</v>
      </c>
      <c r="AD84" s="44">
        <f t="shared" si="14"/>
        <v>95.361068000000003</v>
      </c>
      <c r="AE84" s="45" t="s">
        <v>54</v>
      </c>
      <c r="AF84" s="45">
        <v>1.07</v>
      </c>
      <c r="AG84" s="45">
        <v>2.14</v>
      </c>
      <c r="AH84" s="45">
        <v>3.21</v>
      </c>
      <c r="AI84" s="45">
        <v>6.41</v>
      </c>
      <c r="AJ84" s="68">
        <v>1.07</v>
      </c>
      <c r="AK84" s="68">
        <v>2.14</v>
      </c>
      <c r="AL84" s="68"/>
      <c r="AM84" s="68"/>
      <c r="AN84" s="68">
        <v>1.07</v>
      </c>
      <c r="AO84" s="68">
        <v>2.14</v>
      </c>
      <c r="AP84" s="68"/>
      <c r="AQ84" s="68"/>
      <c r="AR84" s="68">
        <v>1.07</v>
      </c>
      <c r="AS84" s="68">
        <v>2.3843827160493829</v>
      </c>
      <c r="AT84" s="68">
        <v>1.07</v>
      </c>
      <c r="AU84" s="68">
        <v>2.14</v>
      </c>
      <c r="AV84" s="68">
        <v>1.07</v>
      </c>
      <c r="AW84" s="68">
        <v>2.14</v>
      </c>
      <c r="AX84" s="68">
        <v>1.07</v>
      </c>
      <c r="AY84" s="68">
        <v>2.14</v>
      </c>
      <c r="AZ84" s="46">
        <v>1.07</v>
      </c>
      <c r="BA84" s="47">
        <v>2.14</v>
      </c>
      <c r="BB84" s="47">
        <v>1.07</v>
      </c>
      <c r="BC84" s="47">
        <v>2.14</v>
      </c>
      <c r="BD84" s="58">
        <v>1.821</v>
      </c>
      <c r="BE84" s="58">
        <v>3.6500000000000004</v>
      </c>
      <c r="BF84" s="58"/>
      <c r="BG84" s="58"/>
      <c r="BH84" s="58">
        <v>5.4864000000000006</v>
      </c>
      <c r="BI84" s="58">
        <v>13.551408000000002</v>
      </c>
      <c r="BJ84" s="58"/>
      <c r="BK84" s="58"/>
      <c r="BL84" s="58"/>
      <c r="BM84" s="58"/>
      <c r="BN84" s="58"/>
      <c r="BO84" s="58"/>
      <c r="BP84" s="48">
        <f t="shared" si="12"/>
        <v>20.147400000000001</v>
      </c>
      <c r="BQ84" s="49">
        <f t="shared" si="15"/>
        <v>40.294800000000002</v>
      </c>
      <c r="BR84" s="50">
        <f t="shared" si="13"/>
        <v>43.115790716049389</v>
      </c>
      <c r="BS84" s="49">
        <f t="shared" si="16"/>
        <v>86.231581432098778</v>
      </c>
    </row>
    <row r="85" spans="1:71" s="9" customFormat="1" ht="17" x14ac:dyDescent="0.15">
      <c r="A85" s="34" t="s">
        <v>243</v>
      </c>
      <c r="B85" s="69" t="s">
        <v>237</v>
      </c>
      <c r="C85" s="35" t="s">
        <v>244</v>
      </c>
      <c r="D85" s="36" t="s">
        <v>52</v>
      </c>
      <c r="E85" s="37" t="s">
        <v>98</v>
      </c>
      <c r="F85" s="38">
        <v>8.9</v>
      </c>
      <c r="G85" s="38">
        <v>52.359999999999985</v>
      </c>
      <c r="H85" s="38">
        <v>440.00864197530859</v>
      </c>
      <c r="I85" s="39">
        <v>40.746000000000002</v>
      </c>
      <c r="J85" s="40">
        <v>362.63940000000002</v>
      </c>
      <c r="K85" s="38"/>
      <c r="L85" s="41"/>
      <c r="M85" s="42"/>
      <c r="N85" s="42"/>
      <c r="O85" s="42"/>
      <c r="P85" s="53"/>
      <c r="Q85" s="53"/>
      <c r="R85" s="53"/>
      <c r="S85" s="53"/>
      <c r="T85" s="42"/>
      <c r="U85" s="43">
        <f t="shared" si="17"/>
        <v>56.025199999999984</v>
      </c>
      <c r="V85" s="42">
        <f t="shared" si="18"/>
        <v>498.62427999999989</v>
      </c>
      <c r="W85" s="42"/>
      <c r="X85" s="42"/>
      <c r="Y85" s="42">
        <v>15.28</v>
      </c>
      <c r="Z85" s="42">
        <f>+Y85*F85</f>
        <v>135.99199999999999</v>
      </c>
      <c r="AA85" s="42">
        <v>18</v>
      </c>
      <c r="AB85" s="42">
        <f t="shared" si="19"/>
        <v>160.20000000000002</v>
      </c>
      <c r="AC85" s="44">
        <f t="shared" si="14"/>
        <v>58.746000000000002</v>
      </c>
      <c r="AD85" s="44">
        <f t="shared" si="14"/>
        <v>522.83940000000007</v>
      </c>
      <c r="AE85" s="45" t="s">
        <v>54</v>
      </c>
      <c r="AF85" s="45">
        <v>2.38</v>
      </c>
      <c r="AG85" s="45">
        <v>19.88</v>
      </c>
      <c r="AH85" s="45">
        <v>4.76</v>
      </c>
      <c r="AI85" s="45">
        <v>39.75</v>
      </c>
      <c r="AJ85" s="68">
        <v>2.38</v>
      </c>
      <c r="AK85" s="68">
        <v>19.88</v>
      </c>
      <c r="AL85" s="68"/>
      <c r="AM85" s="68"/>
      <c r="AN85" s="68">
        <v>2.38</v>
      </c>
      <c r="AO85" s="68">
        <v>19.88</v>
      </c>
      <c r="AP85" s="68"/>
      <c r="AQ85" s="68"/>
      <c r="AR85" s="68">
        <v>2.38</v>
      </c>
      <c r="AS85" s="68">
        <v>21.214320987654322</v>
      </c>
      <c r="AT85" s="68">
        <v>2.38</v>
      </c>
      <c r="AU85" s="68">
        <v>19.88</v>
      </c>
      <c r="AV85" s="68">
        <v>2.38</v>
      </c>
      <c r="AW85" s="68">
        <v>19.88</v>
      </c>
      <c r="AX85" s="68">
        <v>2.38</v>
      </c>
      <c r="AY85" s="68">
        <v>19.88</v>
      </c>
      <c r="AZ85" s="46">
        <v>2.38</v>
      </c>
      <c r="BA85" s="47">
        <v>19.88</v>
      </c>
      <c r="BB85" s="47">
        <v>2.38</v>
      </c>
      <c r="BC85" s="47">
        <v>19.88</v>
      </c>
      <c r="BD85" s="47"/>
      <c r="BE85" s="47"/>
      <c r="BF85" s="47"/>
      <c r="BG85" s="47"/>
      <c r="BH85" s="47"/>
      <c r="BI85" s="47"/>
      <c r="BJ85" s="47"/>
      <c r="BK85" s="47"/>
      <c r="BL85" s="47"/>
      <c r="BM85" s="47"/>
      <c r="BN85" s="47"/>
      <c r="BO85" s="47"/>
      <c r="BP85" s="48">
        <f t="shared" si="12"/>
        <v>26.179999999999993</v>
      </c>
      <c r="BQ85" s="49">
        <f t="shared" si="15"/>
        <v>52.359999999999985</v>
      </c>
      <c r="BR85" s="50">
        <f t="shared" si="13"/>
        <v>220.0043209876543</v>
      </c>
      <c r="BS85" s="49">
        <f t="shared" si="16"/>
        <v>440.00864197530859</v>
      </c>
    </row>
    <row r="86" spans="1:71" s="9" customFormat="1" ht="17" x14ac:dyDescent="0.15">
      <c r="A86" s="34" t="s">
        <v>245</v>
      </c>
      <c r="B86" s="35" t="s">
        <v>233</v>
      </c>
      <c r="C86" s="35" t="s">
        <v>246</v>
      </c>
      <c r="D86" s="36" t="s">
        <v>186</v>
      </c>
      <c r="E86" s="37" t="s">
        <v>53</v>
      </c>
      <c r="F86" s="38">
        <v>78.5</v>
      </c>
      <c r="G86" s="38">
        <v>1.7792729681528661</v>
      </c>
      <c r="H86" s="38">
        <v>139.67292799999998</v>
      </c>
      <c r="I86" s="39">
        <v>3</v>
      </c>
      <c r="J86" s="40">
        <v>235.5</v>
      </c>
      <c r="K86" s="38"/>
      <c r="L86" s="41"/>
      <c r="M86" s="42"/>
      <c r="N86" s="42"/>
      <c r="O86" s="42"/>
      <c r="P86" s="53"/>
      <c r="Q86" s="53"/>
      <c r="R86" s="53"/>
      <c r="S86" s="53"/>
      <c r="T86" s="42"/>
      <c r="U86" s="43"/>
      <c r="V86" s="42"/>
      <c r="W86" s="42">
        <v>3</v>
      </c>
      <c r="X86" s="42">
        <f>+W86*F86</f>
        <v>235.5</v>
      </c>
      <c r="Y86" s="42"/>
      <c r="Z86" s="42"/>
      <c r="AA86" s="42"/>
      <c r="AB86" s="42"/>
      <c r="AC86" s="44">
        <f t="shared" si="14"/>
        <v>3</v>
      </c>
      <c r="AD86" s="44">
        <f t="shared" si="14"/>
        <v>235.5</v>
      </c>
      <c r="AE86" s="45" t="s">
        <v>209</v>
      </c>
      <c r="AF86" s="45"/>
      <c r="AG86" s="45"/>
      <c r="AH86" s="45"/>
      <c r="AI86" s="45"/>
      <c r="AJ86" s="45">
        <v>0.21643312101910828</v>
      </c>
      <c r="AK86" s="45">
        <v>16.989999999999998</v>
      </c>
      <c r="AL86" s="45"/>
      <c r="AM86" s="45"/>
      <c r="AN86" s="45"/>
      <c r="AO86" s="45"/>
      <c r="AP86" s="45"/>
      <c r="AQ86" s="45"/>
      <c r="AR86" s="59">
        <v>0.14796799999999999</v>
      </c>
      <c r="AS86" s="45">
        <v>11.615487999999999</v>
      </c>
      <c r="AT86" s="45">
        <v>0.14796799999999999</v>
      </c>
      <c r="AU86" s="45">
        <v>11.615487999999999</v>
      </c>
      <c r="AV86" s="45">
        <v>0.11464968152866242</v>
      </c>
      <c r="AW86" s="45">
        <v>9</v>
      </c>
      <c r="AX86" s="45">
        <v>0.11464968152866242</v>
      </c>
      <c r="AY86" s="45">
        <v>9</v>
      </c>
      <c r="AZ86" s="46">
        <v>0.14796799999999999</v>
      </c>
      <c r="BA86" s="47">
        <v>11.615487999999999</v>
      </c>
      <c r="BB86" s="47"/>
      <c r="BC86" s="47"/>
      <c r="BD86" s="47"/>
      <c r="BE86" s="47"/>
      <c r="BF86" s="47"/>
      <c r="BG86" s="47"/>
      <c r="BH86" s="47"/>
      <c r="BI86" s="47"/>
      <c r="BJ86" s="47"/>
      <c r="BK86" s="47"/>
      <c r="BL86" s="47"/>
      <c r="BM86" s="47"/>
      <c r="BN86" s="47"/>
      <c r="BO86" s="47"/>
      <c r="BP86" s="48">
        <f t="shared" si="12"/>
        <v>0.88963648407643303</v>
      </c>
      <c r="BQ86" s="49">
        <f t="shared" si="15"/>
        <v>1.7792729681528661</v>
      </c>
      <c r="BR86" s="50">
        <f t="shared" si="13"/>
        <v>69.836463999999992</v>
      </c>
      <c r="BS86" s="49">
        <f t="shared" si="16"/>
        <v>139.67292799999998</v>
      </c>
    </row>
    <row r="87" spans="1:71" s="9" customFormat="1" ht="17" x14ac:dyDescent="0.15">
      <c r="A87" s="34" t="s">
        <v>247</v>
      </c>
      <c r="B87" s="69" t="s">
        <v>96</v>
      </c>
      <c r="C87" s="35" t="s">
        <v>248</v>
      </c>
      <c r="D87" s="36" t="s">
        <v>52</v>
      </c>
      <c r="E87" s="37" t="s">
        <v>98</v>
      </c>
      <c r="F87" s="38">
        <v>34.6</v>
      </c>
      <c r="G87" s="38">
        <v>660.67600000000004</v>
      </c>
      <c r="H87" s="38">
        <v>22855.120000000003</v>
      </c>
      <c r="I87" s="39">
        <v>333.11026000000004</v>
      </c>
      <c r="J87" s="40">
        <v>11525.614996000002</v>
      </c>
      <c r="K87" s="38"/>
      <c r="L87" s="41"/>
      <c r="M87" s="42"/>
      <c r="N87" s="42"/>
      <c r="O87" s="42"/>
      <c r="P87" s="53"/>
      <c r="Q87" s="53"/>
      <c r="R87" s="53"/>
      <c r="S87" s="53"/>
      <c r="T87" s="42"/>
      <c r="U87" s="43"/>
      <c r="V87" s="42"/>
      <c r="W87" s="42"/>
      <c r="X87" s="42"/>
      <c r="Y87" s="42">
        <v>333.11026000000004</v>
      </c>
      <c r="Z87" s="42">
        <f t="shared" ref="Z87:Z105" si="20">+Y87*F87</f>
        <v>11525.614996000002</v>
      </c>
      <c r="AA87" s="42">
        <v>372</v>
      </c>
      <c r="AB87" s="42">
        <f>+AA87*F87</f>
        <v>12871.2</v>
      </c>
      <c r="AC87" s="44">
        <f t="shared" si="14"/>
        <v>705.11026000000004</v>
      </c>
      <c r="AD87" s="44">
        <f t="shared" si="14"/>
        <v>24396.814996000001</v>
      </c>
      <c r="AE87" s="45" t="s">
        <v>54</v>
      </c>
      <c r="AF87" s="45"/>
      <c r="AG87" s="45"/>
      <c r="AH87" s="45">
        <v>132.16300000000001</v>
      </c>
      <c r="AI87" s="45">
        <v>4572.17</v>
      </c>
      <c r="AJ87" s="68">
        <v>23.495999999999999</v>
      </c>
      <c r="AK87" s="68">
        <v>812.84</v>
      </c>
      <c r="AL87" s="68"/>
      <c r="AM87" s="68"/>
      <c r="AN87" s="68"/>
      <c r="AO87" s="68"/>
      <c r="AP87" s="68"/>
      <c r="AQ87" s="68"/>
      <c r="AR87" s="68"/>
      <c r="AS87" s="68"/>
      <c r="AT87" s="68"/>
      <c r="AU87" s="68"/>
      <c r="AV87" s="68"/>
      <c r="AW87" s="68"/>
      <c r="AX87" s="68"/>
      <c r="AY87" s="68"/>
      <c r="AZ87" s="46"/>
      <c r="BA87" s="47"/>
      <c r="BB87" s="47"/>
      <c r="BC87" s="47"/>
      <c r="BD87" s="47"/>
      <c r="BE87" s="47"/>
      <c r="BF87" s="47">
        <v>174.679</v>
      </c>
      <c r="BG87" s="47">
        <v>6042.55</v>
      </c>
      <c r="BH87" s="47"/>
      <c r="BI87" s="47"/>
      <c r="BJ87" s="47"/>
      <c r="BK87" s="47"/>
      <c r="BL87" s="47"/>
      <c r="BM87" s="47"/>
      <c r="BN87" s="47"/>
      <c r="BO87" s="47"/>
      <c r="BP87" s="48">
        <f t="shared" si="12"/>
        <v>330.33800000000002</v>
      </c>
      <c r="BQ87" s="49">
        <f t="shared" si="15"/>
        <v>660.67600000000004</v>
      </c>
      <c r="BR87" s="50">
        <f t="shared" si="13"/>
        <v>11427.560000000001</v>
      </c>
      <c r="BS87" s="49">
        <f t="shared" si="16"/>
        <v>22855.120000000003</v>
      </c>
    </row>
    <row r="88" spans="1:71" s="9" customFormat="1" ht="17" x14ac:dyDescent="0.15">
      <c r="A88" s="34" t="s">
        <v>249</v>
      </c>
      <c r="B88" s="69" t="s">
        <v>102</v>
      </c>
      <c r="C88" s="35" t="s">
        <v>250</v>
      </c>
      <c r="D88" s="36" t="s">
        <v>52</v>
      </c>
      <c r="E88" s="37" t="s">
        <v>98</v>
      </c>
      <c r="F88" s="38">
        <v>30.6</v>
      </c>
      <c r="G88" s="38">
        <v>103.902</v>
      </c>
      <c r="H88" s="38">
        <v>3092.34</v>
      </c>
      <c r="I88" s="39">
        <v>21.055460000000004</v>
      </c>
      <c r="J88" s="40">
        <v>644.29707600000017</v>
      </c>
      <c r="K88" s="38"/>
      <c r="L88" s="41"/>
      <c r="M88" s="42"/>
      <c r="N88" s="42"/>
      <c r="O88" s="42"/>
      <c r="P88" s="53"/>
      <c r="Q88" s="53"/>
      <c r="R88" s="53"/>
      <c r="S88" s="53"/>
      <c r="T88" s="42"/>
      <c r="U88" s="43"/>
      <c r="V88" s="42"/>
      <c r="W88" s="42"/>
      <c r="X88" s="42"/>
      <c r="Y88" s="42">
        <v>21.055460000000004</v>
      </c>
      <c r="Z88" s="42">
        <f t="shared" si="20"/>
        <v>644.29707600000017</v>
      </c>
      <c r="AA88" s="42">
        <v>90</v>
      </c>
      <c r="AB88" s="42">
        <f>+AA88*F88</f>
        <v>2754</v>
      </c>
      <c r="AC88" s="44">
        <f t="shared" si="14"/>
        <v>111.05546000000001</v>
      </c>
      <c r="AD88" s="44">
        <f t="shared" si="14"/>
        <v>3398.2970760000003</v>
      </c>
      <c r="AE88" s="45" t="s">
        <v>54</v>
      </c>
      <c r="AF88" s="45"/>
      <c r="AG88" s="45"/>
      <c r="AH88" s="45">
        <v>8.0860000000000003</v>
      </c>
      <c r="AI88" s="45">
        <v>247.62</v>
      </c>
      <c r="AJ88" s="68">
        <v>1.7529999999999999</v>
      </c>
      <c r="AK88" s="68">
        <v>53.67</v>
      </c>
      <c r="AL88" s="68"/>
      <c r="AM88" s="68"/>
      <c r="AN88" s="68"/>
      <c r="AO88" s="68"/>
      <c r="AP88" s="68"/>
      <c r="AQ88" s="68"/>
      <c r="AR88" s="68"/>
      <c r="AS88" s="68"/>
      <c r="AT88" s="68"/>
      <c r="AU88" s="68"/>
      <c r="AV88" s="68"/>
      <c r="AW88" s="68"/>
      <c r="AX88" s="68"/>
      <c r="AY88" s="68"/>
      <c r="AZ88" s="46"/>
      <c r="BA88" s="47"/>
      <c r="BB88" s="47"/>
      <c r="BC88" s="47"/>
      <c r="BD88" s="47"/>
      <c r="BE88" s="47"/>
      <c r="BF88" s="47">
        <v>42.112000000000002</v>
      </c>
      <c r="BG88" s="47">
        <v>1244.8800000000001</v>
      </c>
      <c r="BH88" s="47"/>
      <c r="BI88" s="47"/>
      <c r="BJ88" s="47"/>
      <c r="BK88" s="47"/>
      <c r="BL88" s="47"/>
      <c r="BM88" s="47"/>
      <c r="BN88" s="47"/>
      <c r="BO88" s="47"/>
      <c r="BP88" s="48">
        <f t="shared" si="12"/>
        <v>51.951000000000001</v>
      </c>
      <c r="BQ88" s="49">
        <f t="shared" si="15"/>
        <v>103.902</v>
      </c>
      <c r="BR88" s="50">
        <f t="shared" si="13"/>
        <v>1546.17</v>
      </c>
      <c r="BS88" s="49">
        <f t="shared" si="16"/>
        <v>3092.34</v>
      </c>
    </row>
    <row r="89" spans="1:71" s="9" customFormat="1" ht="17" x14ac:dyDescent="0.15">
      <c r="A89" s="34" t="s">
        <v>251</v>
      </c>
      <c r="B89" s="69" t="s">
        <v>102</v>
      </c>
      <c r="C89" s="35" t="s">
        <v>252</v>
      </c>
      <c r="D89" s="36" t="s">
        <v>52</v>
      </c>
      <c r="E89" s="37" t="s">
        <v>98</v>
      </c>
      <c r="F89" s="38">
        <v>44.1</v>
      </c>
      <c r="G89" s="38">
        <v>807.93600000000004</v>
      </c>
      <c r="H89" s="38">
        <v>35576.980000000003</v>
      </c>
      <c r="I89" s="39">
        <v>115.08492000000001</v>
      </c>
      <c r="J89" s="40">
        <v>5075.2449720000004</v>
      </c>
      <c r="K89" s="38"/>
      <c r="L89" s="41"/>
      <c r="M89" s="42"/>
      <c r="N89" s="42"/>
      <c r="O89" s="42"/>
      <c r="P89" s="53"/>
      <c r="Q89" s="53"/>
      <c r="R89" s="53"/>
      <c r="S89" s="53"/>
      <c r="T89" s="42"/>
      <c r="U89" s="43"/>
      <c r="V89" s="42"/>
      <c r="W89" s="42"/>
      <c r="X89" s="42"/>
      <c r="Y89" s="42">
        <v>115.08492000000001</v>
      </c>
      <c r="Z89" s="42">
        <f t="shared" si="20"/>
        <v>5075.2449720000004</v>
      </c>
      <c r="AA89" s="42">
        <v>750</v>
      </c>
      <c r="AB89" s="42">
        <f>+AA89*F89</f>
        <v>33075</v>
      </c>
      <c r="AC89" s="44">
        <f t="shared" si="14"/>
        <v>865.08492000000001</v>
      </c>
      <c r="AD89" s="44">
        <f t="shared" si="14"/>
        <v>38150.244972</v>
      </c>
      <c r="AE89" s="45" t="s">
        <v>54</v>
      </c>
      <c r="AF89" s="45"/>
      <c r="AG89" s="45"/>
      <c r="AH89" s="45"/>
      <c r="AI89" s="45"/>
      <c r="AJ89" s="68">
        <v>53.777999999999999</v>
      </c>
      <c r="AK89" s="68">
        <v>2374.4</v>
      </c>
      <c r="AL89" s="68"/>
      <c r="AM89" s="68"/>
      <c r="AN89" s="68"/>
      <c r="AO89" s="68"/>
      <c r="AP89" s="68"/>
      <c r="AQ89" s="68"/>
      <c r="AR89" s="68"/>
      <c r="AS89" s="68"/>
      <c r="AT89" s="68"/>
      <c r="AU89" s="68"/>
      <c r="AV89" s="68"/>
      <c r="AW89" s="68"/>
      <c r="AX89" s="68"/>
      <c r="AY89" s="68"/>
      <c r="AZ89" s="46"/>
      <c r="BA89" s="47"/>
      <c r="BB89" s="47"/>
      <c r="BC89" s="47"/>
      <c r="BD89" s="47"/>
      <c r="BE89" s="47"/>
      <c r="BF89" s="47">
        <v>350.19</v>
      </c>
      <c r="BG89" s="47">
        <v>15414.09</v>
      </c>
      <c r="BH89" s="47"/>
      <c r="BI89" s="47"/>
      <c r="BJ89" s="47"/>
      <c r="BK89" s="47"/>
      <c r="BL89" s="47"/>
      <c r="BM89" s="47"/>
      <c r="BN89" s="47"/>
      <c r="BO89" s="47"/>
      <c r="BP89" s="48">
        <f t="shared" si="12"/>
        <v>403.96800000000002</v>
      </c>
      <c r="BQ89" s="49">
        <f t="shared" si="15"/>
        <v>807.93600000000004</v>
      </c>
      <c r="BR89" s="50">
        <f t="shared" si="13"/>
        <v>17788.490000000002</v>
      </c>
      <c r="BS89" s="49">
        <f t="shared" si="16"/>
        <v>35576.980000000003</v>
      </c>
    </row>
    <row r="90" spans="1:71" s="9" customFormat="1" ht="17" x14ac:dyDescent="0.15">
      <c r="A90" s="34" t="s">
        <v>253</v>
      </c>
      <c r="B90" s="69" t="s">
        <v>102</v>
      </c>
      <c r="C90" s="35" t="s">
        <v>254</v>
      </c>
      <c r="D90" s="36" t="s">
        <v>52</v>
      </c>
      <c r="E90" s="37" t="s">
        <v>98</v>
      </c>
      <c r="F90" s="38">
        <v>128.30000000000001</v>
      </c>
      <c r="G90" s="38">
        <v>96.792000000000002</v>
      </c>
      <c r="H90" s="38">
        <v>12422.880000000001</v>
      </c>
      <c r="I90" s="39">
        <v>103.56744</v>
      </c>
      <c r="J90" s="40">
        <v>13287.702552000002</v>
      </c>
      <c r="K90" s="38"/>
      <c r="L90" s="41"/>
      <c r="M90" s="42"/>
      <c r="N90" s="42"/>
      <c r="O90" s="42"/>
      <c r="P90" s="53"/>
      <c r="Q90" s="53"/>
      <c r="R90" s="53"/>
      <c r="S90" s="53"/>
      <c r="T90" s="42"/>
      <c r="U90" s="43"/>
      <c r="V90" s="42"/>
      <c r="W90" s="42"/>
      <c r="X90" s="42"/>
      <c r="Y90" s="42">
        <v>103.56744</v>
      </c>
      <c r="Z90" s="42">
        <f t="shared" si="20"/>
        <v>13287.702552000002</v>
      </c>
      <c r="AA90" s="42"/>
      <c r="AB90" s="42"/>
      <c r="AC90" s="44">
        <f t="shared" si="14"/>
        <v>103.56744</v>
      </c>
      <c r="AD90" s="44">
        <f t="shared" si="14"/>
        <v>13287.702552000002</v>
      </c>
      <c r="AE90" s="45" t="s">
        <v>116</v>
      </c>
      <c r="AF90" s="45"/>
      <c r="AG90" s="45"/>
      <c r="AH90" s="45"/>
      <c r="AI90" s="45"/>
      <c r="AJ90" s="45">
        <v>48.396000000000001</v>
      </c>
      <c r="AK90" s="45">
        <v>6211.4400000000005</v>
      </c>
      <c r="AL90" s="45"/>
      <c r="AM90" s="45"/>
      <c r="AN90" s="45"/>
      <c r="AO90" s="45"/>
      <c r="AP90" s="45"/>
      <c r="AQ90" s="45"/>
      <c r="AR90" s="45"/>
      <c r="AS90" s="45"/>
      <c r="AT90" s="45"/>
      <c r="AU90" s="45"/>
      <c r="AV90" s="45"/>
      <c r="AW90" s="45"/>
      <c r="AX90" s="45"/>
      <c r="AY90" s="45"/>
      <c r="AZ90" s="46"/>
      <c r="BA90" s="47"/>
      <c r="BB90" s="47"/>
      <c r="BC90" s="47"/>
      <c r="BD90" s="47"/>
      <c r="BE90" s="47"/>
      <c r="BF90" s="47"/>
      <c r="BG90" s="47"/>
      <c r="BH90" s="47"/>
      <c r="BI90" s="47"/>
      <c r="BJ90" s="47"/>
      <c r="BK90" s="47"/>
      <c r="BL90" s="47"/>
      <c r="BM90" s="47"/>
      <c r="BN90" s="47"/>
      <c r="BO90" s="47"/>
      <c r="BP90" s="48">
        <f t="shared" si="12"/>
        <v>48.396000000000001</v>
      </c>
      <c r="BQ90" s="49">
        <f t="shared" si="15"/>
        <v>96.792000000000002</v>
      </c>
      <c r="BR90" s="50">
        <f t="shared" si="13"/>
        <v>6211.4400000000005</v>
      </c>
      <c r="BS90" s="49">
        <f t="shared" si="16"/>
        <v>12422.880000000001</v>
      </c>
    </row>
    <row r="91" spans="1:71" s="9" customFormat="1" ht="17" x14ac:dyDescent="0.15">
      <c r="A91" s="34" t="s">
        <v>255</v>
      </c>
      <c r="B91" s="35" t="s">
        <v>233</v>
      </c>
      <c r="C91" s="35" t="s">
        <v>256</v>
      </c>
      <c r="D91" s="36" t="s">
        <v>186</v>
      </c>
      <c r="E91" s="37" t="s">
        <v>53</v>
      </c>
      <c r="F91" s="38">
        <v>274.75</v>
      </c>
      <c r="G91" s="38">
        <v>0.51079162875341222</v>
      </c>
      <c r="H91" s="38">
        <v>140.34</v>
      </c>
      <c r="I91" s="39">
        <v>0.56697870791628757</v>
      </c>
      <c r="J91" s="40">
        <v>155.7774</v>
      </c>
      <c r="K91" s="38"/>
      <c r="L91" s="41"/>
      <c r="M91" s="42"/>
      <c r="N91" s="42"/>
      <c r="O91" s="42"/>
      <c r="P91" s="53"/>
      <c r="Q91" s="53"/>
      <c r="R91" s="53"/>
      <c r="S91" s="53"/>
      <c r="T91" s="42"/>
      <c r="U91" s="43"/>
      <c r="V91" s="42"/>
      <c r="W91" s="42"/>
      <c r="X91" s="42"/>
      <c r="Y91" s="42">
        <v>0.56697870791628757</v>
      </c>
      <c r="Z91" s="42">
        <f t="shared" si="20"/>
        <v>155.7774</v>
      </c>
      <c r="AA91" s="42">
        <v>0.43302129208371243</v>
      </c>
      <c r="AB91" s="42">
        <f>+AA91*F91</f>
        <v>118.97259999999999</v>
      </c>
      <c r="AC91" s="44">
        <f t="shared" si="14"/>
        <v>1</v>
      </c>
      <c r="AD91" s="44">
        <f t="shared" si="14"/>
        <v>274.75</v>
      </c>
      <c r="AE91" s="45" t="s">
        <v>54</v>
      </c>
      <c r="AF91" s="45"/>
      <c r="AG91" s="45"/>
      <c r="AH91" s="45"/>
      <c r="AI91" s="45"/>
      <c r="AJ91" s="68">
        <v>0.25539581437670611</v>
      </c>
      <c r="AK91" s="68">
        <v>70.17</v>
      </c>
      <c r="AL91" s="68"/>
      <c r="AM91" s="68"/>
      <c r="AN91" s="68"/>
      <c r="AO91" s="68"/>
      <c r="AP91" s="68"/>
      <c r="AQ91" s="68"/>
      <c r="AR91" s="68"/>
      <c r="AS91" s="68"/>
      <c r="AT91" s="68"/>
      <c r="AU91" s="68"/>
      <c r="AV91" s="68"/>
      <c r="AW91" s="68"/>
      <c r="AX91" s="68"/>
      <c r="AY91" s="68"/>
      <c r="AZ91" s="46"/>
      <c r="BA91" s="47"/>
      <c r="BB91" s="47"/>
      <c r="BC91" s="47"/>
      <c r="BD91" s="47"/>
      <c r="BE91" s="47"/>
      <c r="BF91" s="47"/>
      <c r="BG91" s="47"/>
      <c r="BH91" s="47"/>
      <c r="BI91" s="47"/>
      <c r="BJ91" s="47"/>
      <c r="BK91" s="47"/>
      <c r="BL91" s="47"/>
      <c r="BM91" s="47"/>
      <c r="BN91" s="47"/>
      <c r="BO91" s="47"/>
      <c r="BP91" s="48">
        <f t="shared" si="12"/>
        <v>0.25539581437670611</v>
      </c>
      <c r="BQ91" s="49">
        <f t="shared" si="15"/>
        <v>0.51079162875341222</v>
      </c>
      <c r="BR91" s="50">
        <f t="shared" si="13"/>
        <v>70.17</v>
      </c>
      <c r="BS91" s="49">
        <f t="shared" si="16"/>
        <v>140.34</v>
      </c>
    </row>
    <row r="92" spans="1:71" s="9" customFormat="1" ht="17" x14ac:dyDescent="0.15">
      <c r="A92" s="34" t="s">
        <v>257</v>
      </c>
      <c r="B92" s="69" t="s">
        <v>96</v>
      </c>
      <c r="C92" s="35" t="s">
        <v>258</v>
      </c>
      <c r="D92" s="36" t="s">
        <v>52</v>
      </c>
      <c r="E92" s="37" t="s">
        <v>98</v>
      </c>
      <c r="F92" s="38">
        <v>9.36</v>
      </c>
      <c r="G92" s="38">
        <v>59.716000000000008</v>
      </c>
      <c r="H92" s="38">
        <v>558.76</v>
      </c>
      <c r="I92" s="39">
        <v>63.89612000000001</v>
      </c>
      <c r="J92" s="40">
        <v>598.06768320000003</v>
      </c>
      <c r="K92" s="38"/>
      <c r="L92" s="41"/>
      <c r="M92" s="42"/>
      <c r="N92" s="42"/>
      <c r="O92" s="42"/>
      <c r="P92" s="53"/>
      <c r="Q92" s="53"/>
      <c r="R92" s="53"/>
      <c r="S92" s="53"/>
      <c r="T92" s="42"/>
      <c r="U92" s="43"/>
      <c r="V92" s="42"/>
      <c r="W92" s="42"/>
      <c r="X92" s="42"/>
      <c r="Y92" s="42">
        <v>63.89612000000001</v>
      </c>
      <c r="Z92" s="42">
        <f t="shared" si="20"/>
        <v>598.06768320000003</v>
      </c>
      <c r="AA92" s="42"/>
      <c r="AB92" s="42"/>
      <c r="AC92" s="44">
        <f t="shared" si="14"/>
        <v>63.89612000000001</v>
      </c>
      <c r="AD92" s="44">
        <f t="shared" si="14"/>
        <v>598.06768320000003</v>
      </c>
      <c r="AE92" s="45" t="s">
        <v>116</v>
      </c>
      <c r="AF92" s="45"/>
      <c r="AG92" s="45"/>
      <c r="AH92" s="45">
        <v>29.858000000000004</v>
      </c>
      <c r="AI92" s="45">
        <v>279.38</v>
      </c>
      <c r="AJ92" s="45"/>
      <c r="AK92" s="45"/>
      <c r="AL92" s="45"/>
      <c r="AM92" s="45"/>
      <c r="AN92" s="45"/>
      <c r="AO92" s="45"/>
      <c r="AP92" s="45"/>
      <c r="AQ92" s="45"/>
      <c r="AR92" s="45"/>
      <c r="AS92" s="45"/>
      <c r="AT92" s="45"/>
      <c r="AU92" s="45"/>
      <c r="AV92" s="45"/>
      <c r="AW92" s="45"/>
      <c r="AX92" s="45"/>
      <c r="AY92" s="45"/>
      <c r="AZ92" s="46"/>
      <c r="BA92" s="47"/>
      <c r="BB92" s="47"/>
      <c r="BC92" s="47"/>
      <c r="BD92" s="47"/>
      <c r="BE92" s="47"/>
      <c r="BF92" s="47"/>
      <c r="BG92" s="47"/>
      <c r="BH92" s="47"/>
      <c r="BI92" s="47"/>
      <c r="BJ92" s="47"/>
      <c r="BK92" s="47"/>
      <c r="BL92" s="47"/>
      <c r="BM92" s="47"/>
      <c r="BN92" s="47"/>
      <c r="BO92" s="47"/>
      <c r="BP92" s="48">
        <f t="shared" si="12"/>
        <v>29.858000000000004</v>
      </c>
      <c r="BQ92" s="49">
        <f t="shared" si="15"/>
        <v>59.716000000000008</v>
      </c>
      <c r="BR92" s="50">
        <f t="shared" si="13"/>
        <v>279.38</v>
      </c>
      <c r="BS92" s="49">
        <f t="shared" si="16"/>
        <v>558.76</v>
      </c>
    </row>
    <row r="93" spans="1:71" s="9" customFormat="1" ht="17" x14ac:dyDescent="0.15">
      <c r="A93" s="34" t="s">
        <v>259</v>
      </c>
      <c r="B93" s="35" t="s">
        <v>213</v>
      </c>
      <c r="C93" s="35" t="s">
        <v>260</v>
      </c>
      <c r="D93" s="36" t="s">
        <v>261</v>
      </c>
      <c r="E93" s="37" t="s">
        <v>98</v>
      </c>
      <c r="F93" s="38">
        <v>78.168498168498161</v>
      </c>
      <c r="G93" s="38">
        <v>2.1840000000000002</v>
      </c>
      <c r="H93" s="38">
        <v>170.72</v>
      </c>
      <c r="I93" s="39">
        <v>2.3368800000000003</v>
      </c>
      <c r="J93" s="40">
        <v>182.6704</v>
      </c>
      <c r="K93" s="38"/>
      <c r="L93" s="41"/>
      <c r="M93" s="42"/>
      <c r="N93" s="42"/>
      <c r="O93" s="42"/>
      <c r="P93" s="53"/>
      <c r="Q93" s="53"/>
      <c r="R93" s="53"/>
      <c r="S93" s="53"/>
      <c r="T93" s="42"/>
      <c r="U93" s="43"/>
      <c r="V93" s="42"/>
      <c r="W93" s="42"/>
      <c r="X93" s="42"/>
      <c r="Y93" s="42">
        <v>2.3368800000000003</v>
      </c>
      <c r="Z93" s="42">
        <f t="shared" si="20"/>
        <v>182.6704</v>
      </c>
      <c r="AA93" s="42"/>
      <c r="AB93" s="42"/>
      <c r="AC93" s="44">
        <f t="shared" si="14"/>
        <v>2.3368800000000003</v>
      </c>
      <c r="AD93" s="44">
        <f t="shared" si="14"/>
        <v>182.6704</v>
      </c>
      <c r="AE93" s="45" t="s">
        <v>116</v>
      </c>
      <c r="AF93" s="45"/>
      <c r="AG93" s="45"/>
      <c r="AH93" s="45">
        <v>1.0920000000000001</v>
      </c>
      <c r="AI93" s="45">
        <v>85.36</v>
      </c>
      <c r="AJ93" s="45"/>
      <c r="AK93" s="45"/>
      <c r="AL93" s="45"/>
      <c r="AM93" s="45"/>
      <c r="AN93" s="45"/>
      <c r="AO93" s="45"/>
      <c r="AP93" s="45"/>
      <c r="AQ93" s="45"/>
      <c r="AR93" s="45"/>
      <c r="AS93" s="45"/>
      <c r="AT93" s="45"/>
      <c r="AU93" s="45"/>
      <c r="AV93" s="45"/>
      <c r="AW93" s="45"/>
      <c r="AX93" s="45"/>
      <c r="AY93" s="45"/>
      <c r="AZ93" s="46"/>
      <c r="BA93" s="47"/>
      <c r="BB93" s="47"/>
      <c r="BC93" s="47"/>
      <c r="BD93" s="47"/>
      <c r="BE93" s="47"/>
      <c r="BF93" s="47"/>
      <c r="BG93" s="47"/>
      <c r="BH93" s="47"/>
      <c r="BI93" s="47"/>
      <c r="BJ93" s="47"/>
      <c r="BK93" s="47"/>
      <c r="BL93" s="47"/>
      <c r="BM93" s="47"/>
      <c r="BN93" s="47"/>
      <c r="BO93" s="47"/>
      <c r="BP93" s="48">
        <f t="shared" si="12"/>
        <v>1.0920000000000001</v>
      </c>
      <c r="BQ93" s="49">
        <f t="shared" si="15"/>
        <v>2.1840000000000002</v>
      </c>
      <c r="BR93" s="50">
        <f t="shared" si="13"/>
        <v>85.36</v>
      </c>
      <c r="BS93" s="49">
        <f t="shared" si="16"/>
        <v>170.72</v>
      </c>
    </row>
    <row r="94" spans="1:71" s="9" customFormat="1" ht="17" x14ac:dyDescent="0.15">
      <c r="A94" s="34" t="s">
        <v>262</v>
      </c>
      <c r="B94" s="35" t="s">
        <v>213</v>
      </c>
      <c r="C94" s="35" t="s">
        <v>263</v>
      </c>
      <c r="D94" s="36" t="s">
        <v>264</v>
      </c>
      <c r="E94" s="37" t="s">
        <v>98</v>
      </c>
      <c r="F94" s="38">
        <v>5.2863636363636362</v>
      </c>
      <c r="G94" s="38">
        <v>17.600000000000001</v>
      </c>
      <c r="H94" s="38">
        <v>93.04</v>
      </c>
      <c r="I94" s="39">
        <v>18.832000000000004</v>
      </c>
      <c r="J94" s="40">
        <v>99.552800000000019</v>
      </c>
      <c r="K94" s="38"/>
      <c r="L94" s="41"/>
      <c r="M94" s="42"/>
      <c r="N94" s="42"/>
      <c r="O94" s="42"/>
      <c r="P94" s="53"/>
      <c r="Q94" s="53"/>
      <c r="R94" s="53"/>
      <c r="S94" s="53"/>
      <c r="T94" s="42"/>
      <c r="U94" s="43"/>
      <c r="V94" s="42"/>
      <c r="W94" s="42"/>
      <c r="X94" s="42"/>
      <c r="Y94" s="42">
        <v>18.832000000000004</v>
      </c>
      <c r="Z94" s="42">
        <f t="shared" si="20"/>
        <v>99.552800000000019</v>
      </c>
      <c r="AA94" s="42"/>
      <c r="AB94" s="42"/>
      <c r="AC94" s="44">
        <f t="shared" si="14"/>
        <v>18.832000000000004</v>
      </c>
      <c r="AD94" s="44">
        <f t="shared" si="14"/>
        <v>99.552800000000019</v>
      </c>
      <c r="AE94" s="45" t="s">
        <v>116</v>
      </c>
      <c r="AF94" s="45"/>
      <c r="AG94" s="45"/>
      <c r="AH94" s="70">
        <v>8.8000000000000007</v>
      </c>
      <c r="AI94" s="70">
        <v>46.52</v>
      </c>
      <c r="AJ94" s="45"/>
      <c r="AK94" s="45"/>
      <c r="AL94" s="45"/>
      <c r="AM94" s="45"/>
      <c r="AN94" s="45"/>
      <c r="AO94" s="45"/>
      <c r="AP94" s="45"/>
      <c r="AQ94" s="45"/>
      <c r="AR94" s="45"/>
      <c r="AS94" s="45"/>
      <c r="AT94" s="55"/>
      <c r="AU94" s="55"/>
      <c r="AV94" s="55"/>
      <c r="AW94" s="55"/>
      <c r="AX94" s="55"/>
      <c r="AY94" s="55"/>
      <c r="AZ94" s="46"/>
      <c r="BA94" s="47"/>
      <c r="BB94" s="47"/>
      <c r="BC94" s="47"/>
      <c r="BD94" s="47"/>
      <c r="BE94" s="47"/>
      <c r="BF94" s="47"/>
      <c r="BG94" s="47"/>
      <c r="BH94" s="47"/>
      <c r="BI94" s="47"/>
      <c r="BJ94" s="47"/>
      <c r="BK94" s="47"/>
      <c r="BL94" s="47"/>
      <c r="BM94" s="47"/>
      <c r="BN94" s="47"/>
      <c r="BO94" s="47"/>
      <c r="BP94" s="48">
        <f t="shared" si="12"/>
        <v>8.8000000000000007</v>
      </c>
      <c r="BQ94" s="49">
        <f t="shared" si="15"/>
        <v>17.600000000000001</v>
      </c>
      <c r="BR94" s="50">
        <f t="shared" si="13"/>
        <v>46.52</v>
      </c>
      <c r="BS94" s="49">
        <f t="shared" si="16"/>
        <v>93.04</v>
      </c>
    </row>
    <row r="95" spans="1:71" s="9" customFormat="1" ht="17" x14ac:dyDescent="0.15">
      <c r="A95" s="34" t="s">
        <v>265</v>
      </c>
      <c r="B95" s="35" t="s">
        <v>213</v>
      </c>
      <c r="C95" s="35" t="s">
        <v>266</v>
      </c>
      <c r="D95" s="36" t="s">
        <v>264</v>
      </c>
      <c r="E95" s="37" t="s">
        <v>98</v>
      </c>
      <c r="F95" s="38">
        <v>11.022727272727273</v>
      </c>
      <c r="G95" s="38">
        <v>1.4079999999999999</v>
      </c>
      <c r="H95" s="38">
        <v>15.52</v>
      </c>
      <c r="I95" s="39">
        <v>1.5065599999999999</v>
      </c>
      <c r="J95" s="40">
        <v>16.606400000000001</v>
      </c>
      <c r="K95" s="38"/>
      <c r="L95" s="41"/>
      <c r="M95" s="42"/>
      <c r="N95" s="42"/>
      <c r="O95" s="42"/>
      <c r="P95" s="53"/>
      <c r="Q95" s="53"/>
      <c r="R95" s="53"/>
      <c r="S95" s="53"/>
      <c r="T95" s="42"/>
      <c r="U95" s="43"/>
      <c r="V95" s="42"/>
      <c r="W95" s="42"/>
      <c r="X95" s="42"/>
      <c r="Y95" s="42">
        <v>1.5065599999999999</v>
      </c>
      <c r="Z95" s="42">
        <f t="shared" si="20"/>
        <v>16.606400000000001</v>
      </c>
      <c r="AA95" s="42"/>
      <c r="AB95" s="42"/>
      <c r="AC95" s="44">
        <f t="shared" si="14"/>
        <v>1.5065599999999999</v>
      </c>
      <c r="AD95" s="44">
        <f t="shared" si="14"/>
        <v>16.606400000000001</v>
      </c>
      <c r="AE95" s="45" t="s">
        <v>116</v>
      </c>
      <c r="AF95" s="45"/>
      <c r="AG95" s="45"/>
      <c r="AH95" s="70">
        <v>0.70399999999999996</v>
      </c>
      <c r="AI95" s="70">
        <v>7.76</v>
      </c>
      <c r="AJ95" s="45"/>
      <c r="AK95" s="45"/>
      <c r="AL95" s="45"/>
      <c r="AM95" s="45"/>
      <c r="AN95" s="45"/>
      <c r="AO95" s="45"/>
      <c r="AP95" s="45"/>
      <c r="AQ95" s="45"/>
      <c r="AR95" s="45"/>
      <c r="AS95" s="45"/>
      <c r="AT95" s="45"/>
      <c r="AU95" s="45"/>
      <c r="AV95" s="45"/>
      <c r="AW95" s="45"/>
      <c r="AX95" s="45"/>
      <c r="AY95" s="45"/>
      <c r="AZ95" s="46"/>
      <c r="BA95" s="47"/>
      <c r="BB95" s="47"/>
      <c r="BC95" s="47"/>
      <c r="BD95" s="47"/>
      <c r="BE95" s="47"/>
      <c r="BF95" s="47"/>
      <c r="BG95" s="47"/>
      <c r="BH95" s="47"/>
      <c r="BI95" s="47"/>
      <c r="BJ95" s="47"/>
      <c r="BK95" s="47"/>
      <c r="BL95" s="47"/>
      <c r="BM95" s="47"/>
      <c r="BN95" s="47"/>
      <c r="BO95" s="47"/>
      <c r="BP95" s="48">
        <f t="shared" si="12"/>
        <v>0.70399999999999996</v>
      </c>
      <c r="BQ95" s="49">
        <f t="shared" si="15"/>
        <v>1.4079999999999999</v>
      </c>
      <c r="BR95" s="50">
        <f t="shared" si="13"/>
        <v>7.76</v>
      </c>
      <c r="BS95" s="49">
        <f t="shared" si="16"/>
        <v>15.52</v>
      </c>
    </row>
    <row r="96" spans="1:71" s="9" customFormat="1" ht="17" x14ac:dyDescent="0.15">
      <c r="A96" s="34" t="s">
        <v>267</v>
      </c>
      <c r="B96" s="69" t="s">
        <v>102</v>
      </c>
      <c r="C96" s="35" t="s">
        <v>268</v>
      </c>
      <c r="D96" s="36" t="s">
        <v>52</v>
      </c>
      <c r="E96" s="37" t="s">
        <v>98</v>
      </c>
      <c r="F96" s="38">
        <v>49.6</v>
      </c>
      <c r="G96" s="38">
        <v>22.161999999999999</v>
      </c>
      <c r="H96" s="38">
        <v>1098.46</v>
      </c>
      <c r="I96" s="39">
        <v>23.713339999999999</v>
      </c>
      <c r="J96" s="40">
        <v>1176.181664</v>
      </c>
      <c r="K96" s="38"/>
      <c r="L96" s="41"/>
      <c r="M96" s="42"/>
      <c r="N96" s="42"/>
      <c r="O96" s="42"/>
      <c r="P96" s="53"/>
      <c r="Q96" s="53"/>
      <c r="R96" s="53"/>
      <c r="S96" s="53"/>
      <c r="T96" s="42"/>
      <c r="U96" s="43"/>
      <c r="V96" s="42"/>
      <c r="W96" s="42"/>
      <c r="X96" s="42"/>
      <c r="Y96" s="42">
        <v>23.713339999999999</v>
      </c>
      <c r="Z96" s="42">
        <f t="shared" si="20"/>
        <v>1176.181664</v>
      </c>
      <c r="AA96" s="42"/>
      <c r="AB96" s="42"/>
      <c r="AC96" s="44">
        <f t="shared" si="14"/>
        <v>23.713339999999999</v>
      </c>
      <c r="AD96" s="44">
        <f t="shared" si="14"/>
        <v>1176.181664</v>
      </c>
      <c r="AE96" s="45" t="s">
        <v>116</v>
      </c>
      <c r="AF96" s="45"/>
      <c r="AG96" s="45"/>
      <c r="AH96" s="45">
        <v>11.081</v>
      </c>
      <c r="AI96" s="45">
        <v>549.23</v>
      </c>
      <c r="AJ96" s="45"/>
      <c r="AK96" s="45"/>
      <c r="AL96" s="45"/>
      <c r="AM96" s="45"/>
      <c r="AN96" s="45"/>
      <c r="AO96" s="45"/>
      <c r="AP96" s="45"/>
      <c r="AQ96" s="45"/>
      <c r="AR96" s="45"/>
      <c r="AS96" s="45"/>
      <c r="AT96" s="45"/>
      <c r="AU96" s="45"/>
      <c r="AV96" s="45"/>
      <c r="AW96" s="45"/>
      <c r="AX96" s="45"/>
      <c r="AY96" s="45"/>
      <c r="AZ96" s="46"/>
      <c r="BA96" s="47"/>
      <c r="BB96" s="47"/>
      <c r="BC96" s="47"/>
      <c r="BD96" s="47"/>
      <c r="BE96" s="47"/>
      <c r="BF96" s="47"/>
      <c r="BG96" s="47"/>
      <c r="BH96" s="47"/>
      <c r="BI96" s="47"/>
      <c r="BJ96" s="47"/>
      <c r="BK96" s="47"/>
      <c r="BL96" s="47"/>
      <c r="BM96" s="47"/>
      <c r="BN96" s="47"/>
      <c r="BO96" s="47"/>
      <c r="BP96" s="48">
        <f t="shared" si="12"/>
        <v>11.081</v>
      </c>
      <c r="BQ96" s="49">
        <f t="shared" si="15"/>
        <v>22.161999999999999</v>
      </c>
      <c r="BR96" s="50">
        <f t="shared" si="13"/>
        <v>549.23</v>
      </c>
      <c r="BS96" s="49">
        <f t="shared" si="16"/>
        <v>1098.46</v>
      </c>
    </row>
    <row r="97" spans="1:71" s="9" customFormat="1" ht="17" x14ac:dyDescent="0.15">
      <c r="A97" s="34" t="s">
        <v>269</v>
      </c>
      <c r="B97" s="35" t="s">
        <v>233</v>
      </c>
      <c r="C97" s="35" t="s">
        <v>192</v>
      </c>
      <c r="D97" s="36" t="s">
        <v>52</v>
      </c>
      <c r="E97" s="37" t="s">
        <v>53</v>
      </c>
      <c r="F97" s="38">
        <v>109.89999999999999</v>
      </c>
      <c r="G97" s="38">
        <v>19.898453139217469</v>
      </c>
      <c r="H97" s="38">
        <v>2186.84</v>
      </c>
      <c r="I97" s="39">
        <v>22.087282984531392</v>
      </c>
      <c r="J97" s="40">
        <v>2427.3923999999997</v>
      </c>
      <c r="K97" s="38"/>
      <c r="L97" s="41"/>
      <c r="M97" s="42"/>
      <c r="N97" s="42"/>
      <c r="O97" s="42"/>
      <c r="P97" s="53"/>
      <c r="Q97" s="53"/>
      <c r="R97" s="53"/>
      <c r="S97" s="53"/>
      <c r="T97" s="42"/>
      <c r="U97" s="43"/>
      <c r="V97" s="42"/>
      <c r="W97" s="42"/>
      <c r="X97" s="42"/>
      <c r="Y97" s="42">
        <v>22.087282984531392</v>
      </c>
      <c r="Z97" s="42">
        <f t="shared" si="20"/>
        <v>2427.3923999999997</v>
      </c>
      <c r="AA97" s="42">
        <v>1.91</v>
      </c>
      <c r="AB97" s="42">
        <f>+AA97*F97</f>
        <v>209.90899999999996</v>
      </c>
      <c r="AC97" s="44">
        <f t="shared" si="14"/>
        <v>23.997282984531392</v>
      </c>
      <c r="AD97" s="44">
        <f t="shared" si="14"/>
        <v>2637.3013999999998</v>
      </c>
      <c r="AE97" s="45" t="s">
        <v>54</v>
      </c>
      <c r="AF97" s="45"/>
      <c r="AG97" s="45"/>
      <c r="AH97" s="45">
        <v>9.9492265696087347</v>
      </c>
      <c r="AI97" s="45">
        <v>1093.42</v>
      </c>
      <c r="AJ97" s="45"/>
      <c r="AK97" s="45"/>
      <c r="AL97" s="45"/>
      <c r="AM97" s="45"/>
      <c r="AN97" s="45"/>
      <c r="AO97" s="45"/>
      <c r="AP97" s="45"/>
      <c r="AQ97" s="45"/>
      <c r="AR97" s="45"/>
      <c r="AS97" s="45"/>
      <c r="AT97" s="45"/>
      <c r="AU97" s="45"/>
      <c r="AV97" s="45"/>
      <c r="AW97" s="45"/>
      <c r="AX97" s="45"/>
      <c r="AY97" s="45"/>
      <c r="AZ97" s="46"/>
      <c r="BA97" s="47"/>
      <c r="BB97" s="47"/>
      <c r="BC97" s="47"/>
      <c r="BD97" s="47"/>
      <c r="BE97" s="47"/>
      <c r="BF97" s="47"/>
      <c r="BG97" s="47"/>
      <c r="BH97" s="47"/>
      <c r="BI97" s="47"/>
      <c r="BJ97" s="47"/>
      <c r="BK97" s="47"/>
      <c r="BL97" s="47"/>
      <c r="BM97" s="47"/>
      <c r="BN97" s="47"/>
      <c r="BO97" s="47"/>
      <c r="BP97" s="48">
        <f t="shared" si="12"/>
        <v>9.9492265696087347</v>
      </c>
      <c r="BQ97" s="49">
        <f t="shared" si="15"/>
        <v>19.898453139217469</v>
      </c>
      <c r="BR97" s="50">
        <f t="shared" si="13"/>
        <v>1093.42</v>
      </c>
      <c r="BS97" s="49">
        <f t="shared" si="16"/>
        <v>2186.84</v>
      </c>
    </row>
    <row r="98" spans="1:71" s="9" customFormat="1" ht="17" x14ac:dyDescent="0.15">
      <c r="A98" s="34" t="s">
        <v>270</v>
      </c>
      <c r="B98" s="35" t="s">
        <v>233</v>
      </c>
      <c r="C98" s="35" t="s">
        <v>271</v>
      </c>
      <c r="D98" s="36" t="s">
        <v>52</v>
      </c>
      <c r="E98" s="37" t="s">
        <v>53</v>
      </c>
      <c r="F98" s="38">
        <v>62.8</v>
      </c>
      <c r="G98" s="38">
        <v>6.0235668789808914</v>
      </c>
      <c r="H98" s="38">
        <v>378.28</v>
      </c>
      <c r="I98" s="39">
        <v>4.664474522292994</v>
      </c>
      <c r="J98" s="40">
        <v>292.92900000000003</v>
      </c>
      <c r="K98" s="38"/>
      <c r="L98" s="41"/>
      <c r="M98" s="42"/>
      <c r="N98" s="42"/>
      <c r="O98" s="42"/>
      <c r="P98" s="53"/>
      <c r="Q98" s="53"/>
      <c r="R98" s="53"/>
      <c r="S98" s="53"/>
      <c r="T98" s="42"/>
      <c r="U98" s="43"/>
      <c r="V98" s="42"/>
      <c r="W98" s="42"/>
      <c r="X98" s="42"/>
      <c r="Y98" s="42">
        <v>4.664474522292994</v>
      </c>
      <c r="Z98" s="42">
        <f t="shared" si="20"/>
        <v>292.92900000000003</v>
      </c>
      <c r="AA98" s="42">
        <v>7.34</v>
      </c>
      <c r="AB98" s="42">
        <f>+AA98*F98</f>
        <v>460.952</v>
      </c>
      <c r="AC98" s="44">
        <f t="shared" si="14"/>
        <v>12.004474522292995</v>
      </c>
      <c r="AD98" s="44">
        <f t="shared" si="14"/>
        <v>753.88100000000009</v>
      </c>
      <c r="AE98" s="45" t="s">
        <v>54</v>
      </c>
      <c r="AF98" s="45">
        <v>0.91066878980891719</v>
      </c>
      <c r="AG98" s="45">
        <v>57.19</v>
      </c>
      <c r="AH98" s="45">
        <v>2.1011146496815285</v>
      </c>
      <c r="AI98" s="45">
        <v>131.94999999999999</v>
      </c>
      <c r="AJ98" s="45"/>
      <c r="AK98" s="45"/>
      <c r="AL98" s="45"/>
      <c r="AM98" s="45"/>
      <c r="AN98" s="45"/>
      <c r="AO98" s="45"/>
      <c r="AP98" s="45"/>
      <c r="AQ98" s="45"/>
      <c r="AR98" s="45"/>
      <c r="AS98" s="45"/>
      <c r="AT98" s="45"/>
      <c r="AU98" s="45"/>
      <c r="AV98" s="45"/>
      <c r="AW98" s="45"/>
      <c r="AX98" s="45"/>
      <c r="AY98" s="45"/>
      <c r="AZ98" s="46"/>
      <c r="BA98" s="47"/>
      <c r="BB98" s="47"/>
      <c r="BC98" s="47"/>
      <c r="BD98" s="47"/>
      <c r="BE98" s="47"/>
      <c r="BF98" s="47"/>
      <c r="BG98" s="47"/>
      <c r="BH98" s="47"/>
      <c r="BI98" s="47"/>
      <c r="BJ98" s="47"/>
      <c r="BK98" s="47"/>
      <c r="BL98" s="47"/>
      <c r="BM98" s="47"/>
      <c r="BN98" s="47"/>
      <c r="BO98" s="47"/>
      <c r="BP98" s="48">
        <f t="shared" si="12"/>
        <v>3.0117834394904457</v>
      </c>
      <c r="BQ98" s="49">
        <f t="shared" si="15"/>
        <v>6.0235668789808914</v>
      </c>
      <c r="BR98" s="50">
        <f t="shared" si="13"/>
        <v>189.14</v>
      </c>
      <c r="BS98" s="49">
        <f t="shared" si="16"/>
        <v>378.28</v>
      </c>
    </row>
    <row r="99" spans="1:71" s="9" customFormat="1" ht="17" x14ac:dyDescent="0.15">
      <c r="A99" s="34" t="s">
        <v>272</v>
      </c>
      <c r="B99" s="69" t="s">
        <v>237</v>
      </c>
      <c r="C99" s="35" t="s">
        <v>273</v>
      </c>
      <c r="D99" s="36" t="s">
        <v>52</v>
      </c>
      <c r="E99" s="37" t="s">
        <v>98</v>
      </c>
      <c r="F99" s="38">
        <v>11.9</v>
      </c>
      <c r="G99" s="38">
        <v>4.76</v>
      </c>
      <c r="H99" s="38">
        <v>52.66</v>
      </c>
      <c r="I99" s="39">
        <v>5.0932000000000004</v>
      </c>
      <c r="J99" s="40">
        <v>60.609080000000006</v>
      </c>
      <c r="K99" s="38"/>
      <c r="L99" s="41"/>
      <c r="M99" s="42"/>
      <c r="N99" s="42"/>
      <c r="O99" s="42"/>
      <c r="P99" s="53"/>
      <c r="Q99" s="53"/>
      <c r="R99" s="53"/>
      <c r="S99" s="53"/>
      <c r="T99" s="42"/>
      <c r="U99" s="43"/>
      <c r="V99" s="42"/>
      <c r="W99" s="42"/>
      <c r="X99" s="42"/>
      <c r="Y99" s="42">
        <v>5.0932000000000004</v>
      </c>
      <c r="Z99" s="42">
        <f t="shared" si="20"/>
        <v>60.609080000000006</v>
      </c>
      <c r="AA99" s="42"/>
      <c r="AB99" s="42"/>
      <c r="AC99" s="44">
        <f t="shared" si="14"/>
        <v>5.0932000000000004</v>
      </c>
      <c r="AD99" s="44">
        <f t="shared" si="14"/>
        <v>60.609080000000006</v>
      </c>
      <c r="AE99" s="45" t="s">
        <v>116</v>
      </c>
      <c r="AF99" s="45"/>
      <c r="AG99" s="45"/>
      <c r="AH99" s="45">
        <v>2.38</v>
      </c>
      <c r="AI99" s="45">
        <v>26.33</v>
      </c>
      <c r="AJ99" s="45"/>
      <c r="AK99" s="45"/>
      <c r="AL99" s="45"/>
      <c r="AM99" s="45"/>
      <c r="AN99" s="45"/>
      <c r="AO99" s="45"/>
      <c r="AP99" s="45"/>
      <c r="AQ99" s="45"/>
      <c r="AR99" s="45"/>
      <c r="AS99" s="45"/>
      <c r="AT99" s="45"/>
      <c r="AU99" s="45"/>
      <c r="AV99" s="45"/>
      <c r="AW99" s="45"/>
      <c r="AX99" s="45"/>
      <c r="AY99" s="45"/>
      <c r="AZ99" s="46"/>
      <c r="BA99" s="47"/>
      <c r="BB99" s="47"/>
      <c r="BC99" s="47"/>
      <c r="BD99" s="47"/>
      <c r="BE99" s="47"/>
      <c r="BF99" s="47"/>
      <c r="BG99" s="47"/>
      <c r="BH99" s="47"/>
      <c r="BI99" s="47"/>
      <c r="BJ99" s="47"/>
      <c r="BK99" s="47"/>
      <c r="BL99" s="47"/>
      <c r="BM99" s="47"/>
      <c r="BN99" s="47"/>
      <c r="BO99" s="47"/>
      <c r="BP99" s="48">
        <f t="shared" si="12"/>
        <v>2.38</v>
      </c>
      <c r="BQ99" s="49">
        <f t="shared" si="15"/>
        <v>4.76</v>
      </c>
      <c r="BR99" s="50">
        <f t="shared" si="13"/>
        <v>26.33</v>
      </c>
      <c r="BS99" s="49">
        <f t="shared" si="16"/>
        <v>52.66</v>
      </c>
    </row>
    <row r="100" spans="1:71" s="9" customFormat="1" ht="17" x14ac:dyDescent="0.15">
      <c r="A100" s="34" t="s">
        <v>274</v>
      </c>
      <c r="B100" s="35" t="s">
        <v>275</v>
      </c>
      <c r="C100" s="35" t="s">
        <v>246</v>
      </c>
      <c r="D100" s="36" t="s">
        <v>276</v>
      </c>
      <c r="E100" s="37" t="s">
        <v>53</v>
      </c>
      <c r="F100" s="38">
        <v>78.5</v>
      </c>
      <c r="G100" s="38">
        <v>1.2185987261146496</v>
      </c>
      <c r="H100" s="38">
        <v>95.66</v>
      </c>
      <c r="I100" s="39">
        <v>3</v>
      </c>
      <c r="J100" s="40">
        <v>235.5</v>
      </c>
      <c r="K100" s="38"/>
      <c r="L100" s="41"/>
      <c r="M100" s="42"/>
      <c r="N100" s="42"/>
      <c r="O100" s="42"/>
      <c r="P100" s="53"/>
      <c r="Q100" s="53"/>
      <c r="R100" s="53"/>
      <c r="S100" s="53"/>
      <c r="T100" s="42"/>
      <c r="U100" s="43"/>
      <c r="V100" s="42"/>
      <c r="W100" s="42"/>
      <c r="X100" s="42"/>
      <c r="Y100" s="42">
        <v>3</v>
      </c>
      <c r="Z100" s="42">
        <f t="shared" si="20"/>
        <v>235.5</v>
      </c>
      <c r="AA100" s="42"/>
      <c r="AB100" s="42"/>
      <c r="AC100" s="44">
        <f t="shared" si="14"/>
        <v>3</v>
      </c>
      <c r="AD100" s="44">
        <f t="shared" si="14"/>
        <v>235.5</v>
      </c>
      <c r="AE100" s="45" t="s">
        <v>116</v>
      </c>
      <c r="AF100" s="45"/>
      <c r="AG100" s="45"/>
      <c r="AH100" s="45">
        <v>0.60929936305732479</v>
      </c>
      <c r="AI100" s="45">
        <v>47.83</v>
      </c>
      <c r="AJ100" s="45"/>
      <c r="AK100" s="45"/>
      <c r="AL100" s="45"/>
      <c r="AM100" s="45"/>
      <c r="AN100" s="45"/>
      <c r="AO100" s="45"/>
      <c r="AP100" s="45"/>
      <c r="AQ100" s="45"/>
      <c r="AR100" s="45"/>
      <c r="AS100" s="45"/>
      <c r="AT100" s="45"/>
      <c r="AU100" s="45"/>
      <c r="AV100" s="45"/>
      <c r="AW100" s="45"/>
      <c r="AX100" s="45"/>
      <c r="AY100" s="45"/>
      <c r="AZ100" s="46"/>
      <c r="BA100" s="47"/>
      <c r="BB100" s="47"/>
      <c r="BC100" s="47"/>
      <c r="BD100" s="47"/>
      <c r="BE100" s="47"/>
      <c r="BF100" s="47"/>
      <c r="BG100" s="47"/>
      <c r="BH100" s="47"/>
      <c r="BI100" s="47"/>
      <c r="BJ100" s="47"/>
      <c r="BK100" s="47"/>
      <c r="BL100" s="47"/>
      <c r="BM100" s="47"/>
      <c r="BN100" s="47"/>
      <c r="BO100" s="47"/>
      <c r="BP100" s="48">
        <f t="shared" si="12"/>
        <v>0.60929936305732479</v>
      </c>
      <c r="BQ100" s="49">
        <f t="shared" si="15"/>
        <v>1.2185987261146496</v>
      </c>
      <c r="BR100" s="50">
        <f t="shared" si="13"/>
        <v>47.83</v>
      </c>
      <c r="BS100" s="49">
        <f t="shared" si="16"/>
        <v>95.66</v>
      </c>
    </row>
    <row r="101" spans="1:71" s="9" customFormat="1" ht="17" x14ac:dyDescent="0.15">
      <c r="A101" s="34" t="s">
        <v>277</v>
      </c>
      <c r="B101" s="35" t="s">
        <v>275</v>
      </c>
      <c r="C101" s="35" t="s">
        <v>278</v>
      </c>
      <c r="D101" s="36" t="s">
        <v>276</v>
      </c>
      <c r="E101" s="37" t="s">
        <v>53</v>
      </c>
      <c r="F101" s="38">
        <v>94.199999999999989</v>
      </c>
      <c r="G101" s="38">
        <v>4.753290870488323</v>
      </c>
      <c r="H101" s="38">
        <v>447.76</v>
      </c>
      <c r="I101" s="39">
        <v>6</v>
      </c>
      <c r="J101" s="40">
        <v>565.19999999999993</v>
      </c>
      <c r="K101" s="38"/>
      <c r="L101" s="41"/>
      <c r="M101" s="42"/>
      <c r="N101" s="42"/>
      <c r="O101" s="42"/>
      <c r="P101" s="53"/>
      <c r="Q101" s="53"/>
      <c r="R101" s="53"/>
      <c r="S101" s="53"/>
      <c r="T101" s="42"/>
      <c r="U101" s="43"/>
      <c r="V101" s="42"/>
      <c r="W101" s="42"/>
      <c r="X101" s="42"/>
      <c r="Y101" s="42">
        <v>6</v>
      </c>
      <c r="Z101" s="42">
        <f t="shared" si="20"/>
        <v>565.19999999999993</v>
      </c>
      <c r="AA101" s="42"/>
      <c r="AB101" s="42"/>
      <c r="AC101" s="44">
        <f t="shared" si="14"/>
        <v>6</v>
      </c>
      <c r="AD101" s="44">
        <f t="shared" si="14"/>
        <v>565.19999999999993</v>
      </c>
      <c r="AE101" s="45" t="s">
        <v>116</v>
      </c>
      <c r="AF101" s="45"/>
      <c r="AG101" s="45"/>
      <c r="AH101" s="45">
        <v>2.3766454352441615</v>
      </c>
      <c r="AI101" s="45">
        <v>223.88</v>
      </c>
      <c r="AJ101" s="45"/>
      <c r="AK101" s="45"/>
      <c r="AL101" s="45"/>
      <c r="AM101" s="45"/>
      <c r="AN101" s="45"/>
      <c r="AO101" s="45"/>
      <c r="AP101" s="45"/>
      <c r="AQ101" s="45"/>
      <c r="AR101" s="45"/>
      <c r="AS101" s="45"/>
      <c r="AT101" s="45"/>
      <c r="AU101" s="45"/>
      <c r="AV101" s="45"/>
      <c r="AW101" s="45"/>
      <c r="AX101" s="45"/>
      <c r="AY101" s="45"/>
      <c r="AZ101" s="46"/>
      <c r="BA101" s="47"/>
      <c r="BB101" s="47"/>
      <c r="BC101" s="47"/>
      <c r="BD101" s="47"/>
      <c r="BE101" s="47"/>
      <c r="BF101" s="47"/>
      <c r="BG101" s="47"/>
      <c r="BH101" s="47"/>
      <c r="BI101" s="47"/>
      <c r="BJ101" s="47"/>
      <c r="BK101" s="47"/>
      <c r="BL101" s="47"/>
      <c r="BM101" s="47"/>
      <c r="BN101" s="47"/>
      <c r="BO101" s="47"/>
      <c r="BP101" s="48">
        <f t="shared" si="12"/>
        <v>2.3766454352441615</v>
      </c>
      <c r="BQ101" s="49">
        <f t="shared" si="15"/>
        <v>4.753290870488323</v>
      </c>
      <c r="BR101" s="50">
        <f t="shared" si="13"/>
        <v>223.88</v>
      </c>
      <c r="BS101" s="49">
        <f t="shared" si="16"/>
        <v>447.76</v>
      </c>
    </row>
    <row r="102" spans="1:71" s="9" customFormat="1" ht="17" x14ac:dyDescent="0.15">
      <c r="A102" s="34" t="s">
        <v>279</v>
      </c>
      <c r="B102" s="35" t="s">
        <v>275</v>
      </c>
      <c r="C102" s="35" t="s">
        <v>280</v>
      </c>
      <c r="D102" s="36" t="s">
        <v>276</v>
      </c>
      <c r="E102" s="37" t="s">
        <v>53</v>
      </c>
      <c r="F102" s="38">
        <v>149.15</v>
      </c>
      <c r="G102" s="38">
        <v>2.8923902111967816</v>
      </c>
      <c r="H102" s="38">
        <v>431.4</v>
      </c>
      <c r="I102" s="39">
        <v>6</v>
      </c>
      <c r="J102" s="40">
        <v>894.90000000000009</v>
      </c>
      <c r="K102" s="38"/>
      <c r="L102" s="41"/>
      <c r="M102" s="42"/>
      <c r="N102" s="42"/>
      <c r="O102" s="42"/>
      <c r="P102" s="53"/>
      <c r="Q102" s="53"/>
      <c r="R102" s="53"/>
      <c r="S102" s="53"/>
      <c r="T102" s="42"/>
      <c r="U102" s="43"/>
      <c r="V102" s="42"/>
      <c r="W102" s="42"/>
      <c r="X102" s="42"/>
      <c r="Y102" s="42">
        <v>6</v>
      </c>
      <c r="Z102" s="42">
        <f t="shared" si="20"/>
        <v>894.90000000000009</v>
      </c>
      <c r="AA102" s="42"/>
      <c r="AB102" s="42"/>
      <c r="AC102" s="44">
        <f t="shared" si="14"/>
        <v>6</v>
      </c>
      <c r="AD102" s="44">
        <f t="shared" si="14"/>
        <v>894.90000000000009</v>
      </c>
      <c r="AE102" s="45" t="s">
        <v>116</v>
      </c>
      <c r="AF102" s="45"/>
      <c r="AG102" s="45"/>
      <c r="AH102" s="45">
        <v>1.4461951055983908</v>
      </c>
      <c r="AI102" s="45">
        <v>215.7</v>
      </c>
      <c r="AJ102" s="45"/>
      <c r="AK102" s="45"/>
      <c r="AL102" s="45"/>
      <c r="AM102" s="45"/>
      <c r="AN102" s="45"/>
      <c r="AO102" s="45"/>
      <c r="AP102" s="45"/>
      <c r="AQ102" s="45"/>
      <c r="AR102" s="45"/>
      <c r="AS102" s="45"/>
      <c r="AT102" s="45"/>
      <c r="AU102" s="45"/>
      <c r="AV102" s="45"/>
      <c r="AW102" s="45"/>
      <c r="AX102" s="45"/>
      <c r="AY102" s="45"/>
      <c r="AZ102" s="46"/>
      <c r="BA102" s="47"/>
      <c r="BB102" s="47"/>
      <c r="BC102" s="47"/>
      <c r="BD102" s="47"/>
      <c r="BE102" s="47"/>
      <c r="BF102" s="47"/>
      <c r="BG102" s="47"/>
      <c r="BH102" s="47"/>
      <c r="BI102" s="47"/>
      <c r="BJ102" s="47"/>
      <c r="BK102" s="47"/>
      <c r="BL102" s="47"/>
      <c r="BM102" s="47"/>
      <c r="BN102" s="47"/>
      <c r="BO102" s="47"/>
      <c r="BP102" s="48">
        <f t="shared" si="12"/>
        <v>1.4461951055983908</v>
      </c>
      <c r="BQ102" s="49">
        <f t="shared" si="15"/>
        <v>2.8923902111967816</v>
      </c>
      <c r="BR102" s="50">
        <f t="shared" si="13"/>
        <v>215.7</v>
      </c>
      <c r="BS102" s="49">
        <f t="shared" si="16"/>
        <v>431.4</v>
      </c>
    </row>
    <row r="103" spans="1:71" s="9" customFormat="1" ht="17" x14ac:dyDescent="0.15">
      <c r="A103" s="34" t="s">
        <v>281</v>
      </c>
      <c r="B103" s="35" t="s">
        <v>275</v>
      </c>
      <c r="C103" s="35" t="s">
        <v>282</v>
      </c>
      <c r="D103" s="36" t="s">
        <v>276</v>
      </c>
      <c r="E103" s="37" t="s">
        <v>53</v>
      </c>
      <c r="F103" s="38">
        <v>196.25</v>
      </c>
      <c r="G103" s="38">
        <v>3.2712356687898092</v>
      </c>
      <c r="H103" s="38">
        <v>641.98</v>
      </c>
      <c r="I103" s="39">
        <v>6</v>
      </c>
      <c r="J103" s="40">
        <v>1177.5</v>
      </c>
      <c r="K103" s="38"/>
      <c r="L103" s="41"/>
      <c r="M103" s="42"/>
      <c r="N103" s="42"/>
      <c r="O103" s="42"/>
      <c r="P103" s="53"/>
      <c r="Q103" s="53"/>
      <c r="R103" s="53"/>
      <c r="S103" s="53"/>
      <c r="T103" s="42"/>
      <c r="U103" s="43"/>
      <c r="V103" s="42"/>
      <c r="W103" s="42"/>
      <c r="X103" s="42"/>
      <c r="Y103" s="42">
        <v>6</v>
      </c>
      <c r="Z103" s="42">
        <f t="shared" si="20"/>
        <v>1177.5</v>
      </c>
      <c r="AA103" s="42"/>
      <c r="AB103" s="42"/>
      <c r="AC103" s="44">
        <f t="shared" si="14"/>
        <v>6</v>
      </c>
      <c r="AD103" s="44">
        <f t="shared" si="14"/>
        <v>1177.5</v>
      </c>
      <c r="AE103" s="45" t="s">
        <v>116</v>
      </c>
      <c r="AF103" s="45"/>
      <c r="AG103" s="45"/>
      <c r="AH103" s="45">
        <v>1.493503184713376</v>
      </c>
      <c r="AI103" s="45">
        <v>293.10000000000002</v>
      </c>
      <c r="AJ103" s="45"/>
      <c r="AK103" s="45"/>
      <c r="AL103" s="45"/>
      <c r="AM103" s="45"/>
      <c r="AN103" s="45"/>
      <c r="AO103" s="45"/>
      <c r="AP103" s="45"/>
      <c r="AQ103" s="45"/>
      <c r="AR103" s="45"/>
      <c r="AS103" s="45"/>
      <c r="AT103" s="45"/>
      <c r="AU103" s="45"/>
      <c r="AV103" s="45"/>
      <c r="AW103" s="45"/>
      <c r="AX103" s="45"/>
      <c r="AY103" s="45"/>
      <c r="AZ103" s="46"/>
      <c r="BA103" s="47"/>
      <c r="BB103" s="47"/>
      <c r="BC103" s="47"/>
      <c r="BD103" s="47"/>
      <c r="BE103" s="47"/>
      <c r="BF103" s="47"/>
      <c r="BG103" s="47"/>
      <c r="BH103" s="47"/>
      <c r="BI103" s="47"/>
      <c r="BJ103" s="57">
        <v>0.14211464968152865</v>
      </c>
      <c r="BK103" s="57">
        <v>27.89</v>
      </c>
      <c r="BL103" s="57"/>
      <c r="BM103" s="57"/>
      <c r="BN103" s="57"/>
      <c r="BO103" s="57"/>
      <c r="BP103" s="48">
        <f t="shared" si="12"/>
        <v>1.6356178343949046</v>
      </c>
      <c r="BQ103" s="49">
        <f t="shared" si="15"/>
        <v>3.2712356687898092</v>
      </c>
      <c r="BR103" s="50">
        <f t="shared" si="13"/>
        <v>320.99</v>
      </c>
      <c r="BS103" s="49">
        <f t="shared" si="16"/>
        <v>641.98</v>
      </c>
    </row>
    <row r="104" spans="1:71" s="9" customFormat="1" ht="17" x14ac:dyDescent="0.15">
      <c r="A104" s="34" t="s">
        <v>283</v>
      </c>
      <c r="B104" s="35" t="s">
        <v>275</v>
      </c>
      <c r="C104" s="35" t="s">
        <v>284</v>
      </c>
      <c r="D104" s="36" t="s">
        <v>276</v>
      </c>
      <c r="E104" s="37" t="s">
        <v>53</v>
      </c>
      <c r="F104" s="38">
        <v>47.099999999999994</v>
      </c>
      <c r="G104" s="38">
        <v>0.20849256900212315</v>
      </c>
      <c r="H104" s="38">
        <v>9.82</v>
      </c>
      <c r="I104" s="39">
        <v>1.5</v>
      </c>
      <c r="J104" s="40">
        <v>70.649999999999991</v>
      </c>
      <c r="K104" s="38"/>
      <c r="L104" s="41"/>
      <c r="M104" s="42"/>
      <c r="N104" s="42"/>
      <c r="O104" s="42"/>
      <c r="P104" s="53"/>
      <c r="Q104" s="53"/>
      <c r="R104" s="53"/>
      <c r="S104" s="53"/>
      <c r="T104" s="42"/>
      <c r="U104" s="43"/>
      <c r="V104" s="42"/>
      <c r="W104" s="42"/>
      <c r="X104" s="42"/>
      <c r="Y104" s="42">
        <v>1.5</v>
      </c>
      <c r="Z104" s="42">
        <f t="shared" si="20"/>
        <v>70.649999999999991</v>
      </c>
      <c r="AA104" s="42"/>
      <c r="AB104" s="42"/>
      <c r="AC104" s="44">
        <f t="shared" si="14"/>
        <v>1.5</v>
      </c>
      <c r="AD104" s="44">
        <f t="shared" si="14"/>
        <v>70.649999999999991</v>
      </c>
      <c r="AE104" s="45" t="s">
        <v>116</v>
      </c>
      <c r="AF104" s="45"/>
      <c r="AG104" s="45"/>
      <c r="AH104" s="45">
        <v>0.10424628450106158</v>
      </c>
      <c r="AI104" s="45">
        <v>4.91</v>
      </c>
      <c r="AJ104" s="45"/>
      <c r="AK104" s="45"/>
      <c r="AL104" s="45"/>
      <c r="AM104" s="45"/>
      <c r="AN104" s="45"/>
      <c r="AO104" s="45"/>
      <c r="AP104" s="45"/>
      <c r="AQ104" s="45"/>
      <c r="AR104" s="45"/>
      <c r="AS104" s="45"/>
      <c r="AT104" s="45"/>
      <c r="AU104" s="45"/>
      <c r="AV104" s="45"/>
      <c r="AW104" s="45"/>
      <c r="AX104" s="45"/>
      <c r="AY104" s="45"/>
      <c r="AZ104" s="46"/>
      <c r="BA104" s="47"/>
      <c r="BB104" s="47"/>
      <c r="BC104" s="47"/>
      <c r="BD104" s="47"/>
      <c r="BE104" s="47"/>
      <c r="BF104" s="47"/>
      <c r="BG104" s="47"/>
      <c r="BH104" s="47"/>
      <c r="BI104" s="47"/>
      <c r="BJ104" s="47"/>
      <c r="BK104" s="47"/>
      <c r="BL104" s="47"/>
      <c r="BM104" s="47"/>
      <c r="BN104" s="47"/>
      <c r="BO104" s="47"/>
      <c r="BP104" s="48">
        <f t="shared" si="12"/>
        <v>0.10424628450106158</v>
      </c>
      <c r="BQ104" s="49">
        <f t="shared" si="15"/>
        <v>0.20849256900212315</v>
      </c>
      <c r="BR104" s="50">
        <f t="shared" si="13"/>
        <v>4.91</v>
      </c>
      <c r="BS104" s="49">
        <f t="shared" si="16"/>
        <v>9.82</v>
      </c>
    </row>
    <row r="105" spans="1:71" s="9" customFormat="1" ht="17" x14ac:dyDescent="0.15">
      <c r="A105" s="34" t="s">
        <v>285</v>
      </c>
      <c r="B105" s="35" t="s">
        <v>275</v>
      </c>
      <c r="C105" s="35" t="s">
        <v>286</v>
      </c>
      <c r="D105" s="36" t="s">
        <v>276</v>
      </c>
      <c r="E105" s="37" t="s">
        <v>53</v>
      </c>
      <c r="F105" s="38">
        <v>62.8</v>
      </c>
      <c r="G105" s="38">
        <v>0.43407643312101912</v>
      </c>
      <c r="H105" s="38">
        <v>27.259999999999998</v>
      </c>
      <c r="I105" s="39">
        <v>1.5</v>
      </c>
      <c r="J105" s="40">
        <v>94.199999999999989</v>
      </c>
      <c r="K105" s="38"/>
      <c r="L105" s="41"/>
      <c r="M105" s="42"/>
      <c r="N105" s="42"/>
      <c r="O105" s="42"/>
      <c r="P105" s="53"/>
      <c r="Q105" s="53"/>
      <c r="R105" s="53"/>
      <c r="S105" s="53"/>
      <c r="T105" s="42"/>
      <c r="U105" s="43"/>
      <c r="V105" s="42"/>
      <c r="W105" s="42"/>
      <c r="X105" s="42"/>
      <c r="Y105" s="42">
        <v>1.5</v>
      </c>
      <c r="Z105" s="42">
        <f t="shared" si="20"/>
        <v>94.199999999999989</v>
      </c>
      <c r="AA105" s="42"/>
      <c r="AB105" s="42"/>
      <c r="AC105" s="44">
        <f t="shared" si="14"/>
        <v>1.5</v>
      </c>
      <c r="AD105" s="44">
        <f t="shared" si="14"/>
        <v>94.199999999999989</v>
      </c>
      <c r="AE105" s="45" t="s">
        <v>116</v>
      </c>
      <c r="AF105" s="45"/>
      <c r="AG105" s="45"/>
      <c r="AH105" s="45">
        <v>0.21703821656050956</v>
      </c>
      <c r="AI105" s="45">
        <v>13.629999999999999</v>
      </c>
      <c r="AJ105" s="45"/>
      <c r="AK105" s="45"/>
      <c r="AL105" s="45"/>
      <c r="AM105" s="45"/>
      <c r="AN105" s="45"/>
      <c r="AO105" s="45"/>
      <c r="AP105" s="45"/>
      <c r="AQ105" s="45"/>
      <c r="AR105" s="45"/>
      <c r="AS105" s="45"/>
      <c r="AT105" s="45"/>
      <c r="AU105" s="45"/>
      <c r="AV105" s="45"/>
      <c r="AW105" s="45"/>
      <c r="AX105" s="45"/>
      <c r="AY105" s="45"/>
      <c r="AZ105" s="46"/>
      <c r="BA105" s="47"/>
      <c r="BB105" s="47"/>
      <c r="BC105" s="47"/>
      <c r="BD105" s="47"/>
      <c r="BE105" s="47"/>
      <c r="BF105" s="47"/>
      <c r="BG105" s="47"/>
      <c r="BH105" s="47"/>
      <c r="BI105" s="47"/>
      <c r="BJ105" s="47"/>
      <c r="BK105" s="47"/>
      <c r="BL105" s="47"/>
      <c r="BM105" s="47"/>
      <c r="BN105" s="47"/>
      <c r="BO105" s="47"/>
      <c r="BP105" s="48">
        <f t="shared" si="12"/>
        <v>0.21703821656050956</v>
      </c>
      <c r="BQ105" s="49">
        <f t="shared" si="15"/>
        <v>0.43407643312101912</v>
      </c>
      <c r="BR105" s="50">
        <f t="shared" si="13"/>
        <v>13.629999999999999</v>
      </c>
      <c r="BS105" s="49">
        <f t="shared" si="16"/>
        <v>27.259999999999998</v>
      </c>
    </row>
    <row r="106" spans="1:71" s="9" customFormat="1" ht="34" x14ac:dyDescent="0.15">
      <c r="A106" s="34" t="s">
        <v>287</v>
      </c>
      <c r="B106" s="71" t="s">
        <v>288</v>
      </c>
      <c r="C106" s="34" t="s">
        <v>289</v>
      </c>
      <c r="D106" s="37" t="s">
        <v>290</v>
      </c>
      <c r="E106" s="36" t="s">
        <v>53</v>
      </c>
      <c r="F106" s="72">
        <v>2.29</v>
      </c>
      <c r="G106" s="38">
        <v>558.2660869565218</v>
      </c>
      <c r="H106" s="38">
        <v>1284</v>
      </c>
      <c r="I106" s="39"/>
      <c r="J106" s="40"/>
      <c r="K106" s="38"/>
      <c r="L106" s="41"/>
      <c r="M106" s="42"/>
      <c r="N106" s="42"/>
      <c r="O106" s="42"/>
      <c r="P106" s="53"/>
      <c r="Q106" s="53"/>
      <c r="R106" s="53"/>
      <c r="S106" s="53"/>
      <c r="T106" s="42"/>
      <c r="U106" s="43"/>
      <c r="V106" s="42"/>
      <c r="W106" s="42"/>
      <c r="X106" s="42"/>
      <c r="Y106" s="42"/>
      <c r="Z106" s="42"/>
      <c r="AA106" s="42">
        <f>+G106*1.1</f>
        <v>614.09269565217403</v>
      </c>
      <c r="AB106" s="42">
        <f>+AA106*F106</f>
        <v>1406.2722730434787</v>
      </c>
      <c r="AC106" s="44">
        <f t="shared" ref="AC106:AD118" si="21">+I106+AA106</f>
        <v>614.09269565217403</v>
      </c>
      <c r="AD106" s="44">
        <f t="shared" si="21"/>
        <v>1406.2722730434787</v>
      </c>
      <c r="AE106" s="45" t="s">
        <v>54</v>
      </c>
      <c r="AF106" s="45">
        <v>50.965217391304364</v>
      </c>
      <c r="AG106" s="45">
        <v>117.22000000000003</v>
      </c>
      <c r="AH106" s="45">
        <v>7.22</v>
      </c>
      <c r="AI106" s="45">
        <v>16.600000000000001</v>
      </c>
      <c r="AJ106" s="45">
        <v>25.826086956521742</v>
      </c>
      <c r="AK106" s="45">
        <v>59.4</v>
      </c>
      <c r="AL106" s="45"/>
      <c r="AM106" s="45"/>
      <c r="AN106" s="45"/>
      <c r="AO106" s="45"/>
      <c r="AP106" s="45"/>
      <c r="AQ106" s="45"/>
      <c r="AR106" s="45"/>
      <c r="AS106" s="45"/>
      <c r="AT106" s="45"/>
      <c r="AU106" s="45"/>
      <c r="AV106" s="45"/>
      <c r="AW106" s="45"/>
      <c r="AX106" s="45"/>
      <c r="AY106" s="45"/>
      <c r="AZ106" s="46"/>
      <c r="BA106" s="47"/>
      <c r="BB106" s="47"/>
      <c r="BC106" s="47"/>
      <c r="BD106" s="47">
        <v>195.1217391304348</v>
      </c>
      <c r="BE106" s="47">
        <v>448.78000000000003</v>
      </c>
      <c r="BF106" s="47"/>
      <c r="BG106" s="47"/>
      <c r="BH106" s="47"/>
      <c r="BI106" s="47"/>
      <c r="BJ106" s="47"/>
      <c r="BK106" s="47"/>
      <c r="BL106" s="47"/>
      <c r="BM106" s="47"/>
      <c r="BN106" s="47"/>
      <c r="BO106" s="47"/>
      <c r="BP106" s="48">
        <f t="shared" si="12"/>
        <v>279.1330434782609</v>
      </c>
      <c r="BQ106" s="49">
        <f t="shared" si="15"/>
        <v>558.2660869565218</v>
      </c>
      <c r="BR106" s="50">
        <f t="shared" si="13"/>
        <v>642</v>
      </c>
      <c r="BS106" s="49">
        <f t="shared" si="16"/>
        <v>1284</v>
      </c>
    </row>
    <row r="107" spans="1:71" s="9" customFormat="1" ht="17" x14ac:dyDescent="0.15">
      <c r="A107" s="34" t="s">
        <v>291</v>
      </c>
      <c r="B107" s="35" t="s">
        <v>213</v>
      </c>
      <c r="C107" s="35" t="s">
        <v>292</v>
      </c>
      <c r="D107" s="36" t="s">
        <v>261</v>
      </c>
      <c r="E107" s="36" t="s">
        <v>98</v>
      </c>
      <c r="F107" s="72">
        <v>4.05</v>
      </c>
      <c r="G107" s="38">
        <v>1565.9019999999996</v>
      </c>
      <c r="H107" s="38">
        <v>6219.84</v>
      </c>
      <c r="I107" s="39"/>
      <c r="J107" s="40"/>
      <c r="K107" s="38"/>
      <c r="L107" s="41"/>
      <c r="M107" s="42"/>
      <c r="N107" s="42"/>
      <c r="O107" s="42"/>
      <c r="P107" s="53"/>
      <c r="Q107" s="53"/>
      <c r="R107" s="53"/>
      <c r="S107" s="53"/>
      <c r="T107" s="42"/>
      <c r="U107" s="43"/>
      <c r="V107" s="42"/>
      <c r="W107" s="42"/>
      <c r="X107" s="42"/>
      <c r="Y107" s="42"/>
      <c r="Z107" s="42"/>
      <c r="AA107" s="42">
        <f>+G107*1.06</f>
        <v>1659.8561199999997</v>
      </c>
      <c r="AB107" s="42">
        <f>+AA107*F107</f>
        <v>6722.4172859999981</v>
      </c>
      <c r="AC107" s="44">
        <f t="shared" si="21"/>
        <v>1659.8561199999997</v>
      </c>
      <c r="AD107" s="44">
        <f t="shared" si="21"/>
        <v>6722.4172859999981</v>
      </c>
      <c r="AE107" s="45" t="s">
        <v>54</v>
      </c>
      <c r="AF107" s="45"/>
      <c r="AG107" s="45"/>
      <c r="AH107" s="45"/>
      <c r="AI107" s="45"/>
      <c r="AJ107" s="45"/>
      <c r="AK107" s="45"/>
      <c r="AL107" s="45"/>
      <c r="AM107" s="45"/>
      <c r="AN107" s="45"/>
      <c r="AO107" s="45"/>
      <c r="AP107" s="45"/>
      <c r="AQ107" s="45"/>
      <c r="AR107" s="45"/>
      <c r="AS107" s="45"/>
      <c r="AT107" s="45"/>
      <c r="AU107" s="45"/>
      <c r="AV107" s="45"/>
      <c r="AW107" s="45"/>
      <c r="AX107" s="45"/>
      <c r="AY107" s="45"/>
      <c r="AZ107" s="46"/>
      <c r="BA107" s="47"/>
      <c r="BB107" s="47"/>
      <c r="BC107" s="47"/>
      <c r="BD107" s="47"/>
      <c r="BE107" s="47"/>
      <c r="BF107" s="47">
        <v>782.95099999999979</v>
      </c>
      <c r="BG107" s="47">
        <v>3109.92</v>
      </c>
      <c r="BH107" s="47"/>
      <c r="BI107" s="47"/>
      <c r="BJ107" s="47"/>
      <c r="BK107" s="47"/>
      <c r="BL107" s="47"/>
      <c r="BM107" s="47"/>
      <c r="BN107" s="47"/>
      <c r="BO107" s="47"/>
      <c r="BP107" s="48">
        <f t="shared" si="12"/>
        <v>782.95099999999979</v>
      </c>
      <c r="BQ107" s="49">
        <f t="shared" si="15"/>
        <v>1565.9019999999996</v>
      </c>
      <c r="BR107" s="50">
        <f t="shared" si="13"/>
        <v>3109.92</v>
      </c>
      <c r="BS107" s="49">
        <f t="shared" si="16"/>
        <v>6219.84</v>
      </c>
    </row>
    <row r="108" spans="1:71" s="9" customFormat="1" ht="17" x14ac:dyDescent="0.15">
      <c r="A108" s="34" t="s">
        <v>293</v>
      </c>
      <c r="B108" s="35" t="s">
        <v>213</v>
      </c>
      <c r="C108" s="35" t="s">
        <v>294</v>
      </c>
      <c r="D108" s="36" t="s">
        <v>261</v>
      </c>
      <c r="E108" s="36" t="s">
        <v>98</v>
      </c>
      <c r="F108" s="72">
        <v>5.41</v>
      </c>
      <c r="G108" s="38">
        <v>635.42200000000003</v>
      </c>
      <c r="H108" s="38">
        <v>3098.9799999999996</v>
      </c>
      <c r="I108" s="39"/>
      <c r="J108" s="40"/>
      <c r="K108" s="38"/>
      <c r="L108" s="41"/>
      <c r="M108" s="42"/>
      <c r="N108" s="42"/>
      <c r="O108" s="42"/>
      <c r="P108" s="53"/>
      <c r="Q108" s="53"/>
      <c r="R108" s="53"/>
      <c r="S108" s="53"/>
      <c r="T108" s="42"/>
      <c r="U108" s="43"/>
      <c r="V108" s="42"/>
      <c r="W108" s="42"/>
      <c r="X108" s="42"/>
      <c r="Y108" s="42"/>
      <c r="Z108" s="42"/>
      <c r="AA108" s="42">
        <f>+G108*1.06</f>
        <v>673.54732000000001</v>
      </c>
      <c r="AB108" s="42">
        <f t="shared" ref="AB108:AB118" si="22">+AA108*F108</f>
        <v>3643.8910012000001</v>
      </c>
      <c r="AC108" s="44">
        <f t="shared" si="21"/>
        <v>673.54732000000001</v>
      </c>
      <c r="AD108" s="44">
        <f t="shared" si="21"/>
        <v>3643.8910012000001</v>
      </c>
      <c r="AE108" s="45" t="s">
        <v>54</v>
      </c>
      <c r="AF108" s="45"/>
      <c r="AG108" s="45"/>
      <c r="AH108" s="45"/>
      <c r="AI108" s="45"/>
      <c r="AJ108" s="45"/>
      <c r="AK108" s="45"/>
      <c r="AL108" s="45"/>
      <c r="AM108" s="45"/>
      <c r="AN108" s="45"/>
      <c r="AO108" s="45"/>
      <c r="AP108" s="45"/>
      <c r="AQ108" s="45"/>
      <c r="AR108" s="45"/>
      <c r="AS108" s="45"/>
      <c r="AT108" s="45"/>
      <c r="AU108" s="45"/>
      <c r="AV108" s="45"/>
      <c r="AW108" s="45"/>
      <c r="AX108" s="45"/>
      <c r="AY108" s="45"/>
      <c r="AZ108" s="46"/>
      <c r="BA108" s="47"/>
      <c r="BB108" s="47"/>
      <c r="BC108" s="47"/>
      <c r="BD108" s="47"/>
      <c r="BE108" s="47"/>
      <c r="BF108" s="47">
        <v>317.71100000000001</v>
      </c>
      <c r="BG108" s="47">
        <v>1549.4899999999998</v>
      </c>
      <c r="BH108" s="47"/>
      <c r="BI108" s="47"/>
      <c r="BJ108" s="47"/>
      <c r="BK108" s="47"/>
      <c r="BL108" s="47"/>
      <c r="BM108" s="47"/>
      <c r="BN108" s="47"/>
      <c r="BO108" s="47"/>
      <c r="BP108" s="48">
        <f t="shared" si="12"/>
        <v>317.71100000000001</v>
      </c>
      <c r="BQ108" s="49">
        <f t="shared" si="15"/>
        <v>635.42200000000003</v>
      </c>
      <c r="BR108" s="50">
        <f t="shared" si="13"/>
        <v>1549.4899999999998</v>
      </c>
      <c r="BS108" s="49">
        <f t="shared" si="16"/>
        <v>3098.9799999999996</v>
      </c>
    </row>
    <row r="109" spans="1:71" s="9" customFormat="1" ht="17" x14ac:dyDescent="0.15">
      <c r="A109" s="34" t="s">
        <v>295</v>
      </c>
      <c r="B109" s="71" t="s">
        <v>296</v>
      </c>
      <c r="C109" s="35" t="s">
        <v>297</v>
      </c>
      <c r="D109" s="36" t="s">
        <v>52</v>
      </c>
      <c r="E109" s="36" t="s">
        <v>53</v>
      </c>
      <c r="F109" s="72">
        <v>47.1</v>
      </c>
      <c r="G109" s="38">
        <v>1.1881104033970276</v>
      </c>
      <c r="H109" s="38">
        <v>55.96</v>
      </c>
      <c r="I109" s="39"/>
      <c r="J109" s="40"/>
      <c r="K109" s="38"/>
      <c r="L109" s="41"/>
      <c r="M109" s="42"/>
      <c r="N109" s="42"/>
      <c r="O109" s="42"/>
      <c r="P109" s="53"/>
      <c r="Q109" s="53"/>
      <c r="R109" s="53"/>
      <c r="S109" s="53"/>
      <c r="T109" s="42"/>
      <c r="U109" s="43"/>
      <c r="V109" s="42"/>
      <c r="W109" s="42"/>
      <c r="X109" s="42"/>
      <c r="Y109" s="42"/>
      <c r="Z109" s="42"/>
      <c r="AA109" s="42">
        <v>9</v>
      </c>
      <c r="AB109" s="42">
        <f t="shared" si="22"/>
        <v>423.90000000000003</v>
      </c>
      <c r="AC109" s="44">
        <f t="shared" si="21"/>
        <v>9</v>
      </c>
      <c r="AD109" s="44">
        <f t="shared" si="21"/>
        <v>423.90000000000003</v>
      </c>
      <c r="AE109" s="45" t="s">
        <v>54</v>
      </c>
      <c r="AF109" s="45"/>
      <c r="AG109" s="45"/>
      <c r="AH109" s="45"/>
      <c r="AI109" s="45"/>
      <c r="AJ109" s="45"/>
      <c r="AK109" s="45"/>
      <c r="AL109" s="45"/>
      <c r="AM109" s="45"/>
      <c r="AN109" s="45"/>
      <c r="AO109" s="45"/>
      <c r="AP109" s="45"/>
      <c r="AQ109" s="45"/>
      <c r="AR109" s="45"/>
      <c r="AS109" s="45"/>
      <c r="AT109" s="45"/>
      <c r="AU109" s="45"/>
      <c r="AV109" s="45"/>
      <c r="AW109" s="45"/>
      <c r="AX109" s="45"/>
      <c r="AY109" s="45"/>
      <c r="AZ109" s="46"/>
      <c r="BA109" s="47"/>
      <c r="BB109" s="47"/>
      <c r="BC109" s="47"/>
      <c r="BD109" s="47"/>
      <c r="BE109" s="47"/>
      <c r="BF109" s="47">
        <v>0.59405520169851378</v>
      </c>
      <c r="BG109" s="47">
        <v>27.98</v>
      </c>
      <c r="BH109" s="47"/>
      <c r="BI109" s="47"/>
      <c r="BJ109" s="47"/>
      <c r="BK109" s="47"/>
      <c r="BL109" s="47"/>
      <c r="BM109" s="47"/>
      <c r="BN109" s="47"/>
      <c r="BO109" s="47"/>
      <c r="BP109" s="48">
        <f t="shared" si="12"/>
        <v>0.59405520169851378</v>
      </c>
      <c r="BQ109" s="49">
        <f t="shared" si="15"/>
        <v>1.1881104033970276</v>
      </c>
      <c r="BR109" s="50">
        <f t="shared" si="13"/>
        <v>27.98</v>
      </c>
      <c r="BS109" s="49">
        <f t="shared" si="16"/>
        <v>55.96</v>
      </c>
    </row>
    <row r="110" spans="1:71" s="9" customFormat="1" ht="17" x14ac:dyDescent="0.15">
      <c r="A110" s="34" t="s">
        <v>298</v>
      </c>
      <c r="B110" s="71" t="s">
        <v>102</v>
      </c>
      <c r="C110" s="34" t="s">
        <v>299</v>
      </c>
      <c r="D110" s="37" t="s">
        <v>186</v>
      </c>
      <c r="E110" s="36" t="s">
        <v>98</v>
      </c>
      <c r="F110" s="72">
        <v>172</v>
      </c>
      <c r="G110" s="38">
        <v>369.21600000000001</v>
      </c>
      <c r="H110" s="38">
        <v>63385.2</v>
      </c>
      <c r="I110" s="39"/>
      <c r="J110" s="40"/>
      <c r="K110" s="38"/>
      <c r="L110" s="41"/>
      <c r="M110" s="42"/>
      <c r="N110" s="42"/>
      <c r="O110" s="42"/>
      <c r="P110" s="53"/>
      <c r="Q110" s="53"/>
      <c r="R110" s="53"/>
      <c r="S110" s="53"/>
      <c r="T110" s="42"/>
      <c r="U110" s="43"/>
      <c r="V110" s="42"/>
      <c r="W110" s="42"/>
      <c r="X110" s="42"/>
      <c r="Y110" s="42"/>
      <c r="Z110" s="42"/>
      <c r="AA110" s="42">
        <f>+G110*1.1</f>
        <v>406.13760000000002</v>
      </c>
      <c r="AB110" s="42">
        <f t="shared" si="22"/>
        <v>69855.667199999996</v>
      </c>
      <c r="AC110" s="44">
        <f t="shared" si="21"/>
        <v>406.13760000000002</v>
      </c>
      <c r="AD110" s="44">
        <f t="shared" si="21"/>
        <v>69855.667199999996</v>
      </c>
      <c r="AE110" s="45" t="s">
        <v>54</v>
      </c>
      <c r="AF110" s="45"/>
      <c r="AG110" s="45"/>
      <c r="AH110" s="45"/>
      <c r="AI110" s="45"/>
      <c r="AJ110" s="45"/>
      <c r="AK110" s="45"/>
      <c r="AL110" s="45"/>
      <c r="AM110" s="45"/>
      <c r="AN110" s="45"/>
      <c r="AO110" s="45"/>
      <c r="AP110" s="45"/>
      <c r="AQ110" s="45"/>
      <c r="AR110" s="45"/>
      <c r="AS110" s="45"/>
      <c r="AT110" s="45"/>
      <c r="AU110" s="45"/>
      <c r="AV110" s="45"/>
      <c r="AW110" s="45"/>
      <c r="AX110" s="45"/>
      <c r="AY110" s="45"/>
      <c r="AZ110" s="46"/>
      <c r="BA110" s="47"/>
      <c r="BB110" s="47"/>
      <c r="BC110" s="47"/>
      <c r="BD110" s="47"/>
      <c r="BE110" s="47"/>
      <c r="BF110" s="47">
        <v>184.608</v>
      </c>
      <c r="BG110" s="47">
        <v>31692.6</v>
      </c>
      <c r="BH110" s="47"/>
      <c r="BI110" s="47"/>
      <c r="BJ110" s="47"/>
      <c r="BK110" s="47"/>
      <c r="BL110" s="47"/>
      <c r="BM110" s="47"/>
      <c r="BN110" s="47"/>
      <c r="BO110" s="47"/>
      <c r="BP110" s="48">
        <f t="shared" si="12"/>
        <v>184.608</v>
      </c>
      <c r="BQ110" s="49">
        <f t="shared" si="15"/>
        <v>369.21600000000001</v>
      </c>
      <c r="BR110" s="50">
        <f t="shared" si="13"/>
        <v>31692.6</v>
      </c>
      <c r="BS110" s="49">
        <f t="shared" si="16"/>
        <v>63385.2</v>
      </c>
    </row>
    <row r="111" spans="1:71" s="9" customFormat="1" ht="17" x14ac:dyDescent="0.15">
      <c r="A111" s="34" t="s">
        <v>300</v>
      </c>
      <c r="B111" s="71" t="s">
        <v>301</v>
      </c>
      <c r="C111" s="34" t="s">
        <v>302</v>
      </c>
      <c r="D111" s="36" t="s">
        <v>276</v>
      </c>
      <c r="E111" s="36" t="s">
        <v>53</v>
      </c>
      <c r="F111" s="72">
        <v>78.5</v>
      </c>
      <c r="G111" s="38">
        <v>79.811111272356698</v>
      </c>
      <c r="H111" s="38">
        <v>6265.1722348800013</v>
      </c>
      <c r="I111" s="39"/>
      <c r="J111" s="40"/>
      <c r="K111" s="38"/>
      <c r="L111" s="41"/>
      <c r="M111" s="42"/>
      <c r="N111" s="42"/>
      <c r="O111" s="42"/>
      <c r="P111" s="53"/>
      <c r="Q111" s="53"/>
      <c r="R111" s="53"/>
      <c r="S111" s="53"/>
      <c r="T111" s="42"/>
      <c r="U111" s="43"/>
      <c r="V111" s="42"/>
      <c r="W111" s="42"/>
      <c r="X111" s="42"/>
      <c r="Y111" s="42"/>
      <c r="Z111" s="42"/>
      <c r="AA111" s="42">
        <v>91</v>
      </c>
      <c r="AB111" s="42">
        <f t="shared" si="22"/>
        <v>7143.5</v>
      </c>
      <c r="AC111" s="44">
        <f t="shared" si="21"/>
        <v>91</v>
      </c>
      <c r="AD111" s="44">
        <f t="shared" si="21"/>
        <v>7143.5</v>
      </c>
      <c r="AE111" s="45" t="s">
        <v>54</v>
      </c>
      <c r="AF111" s="45"/>
      <c r="AG111" s="45"/>
      <c r="AH111" s="45"/>
      <c r="AI111" s="45"/>
      <c r="AJ111" s="45"/>
      <c r="AK111" s="45"/>
      <c r="AL111" s="45"/>
      <c r="AM111" s="45"/>
      <c r="AN111" s="45"/>
      <c r="AO111" s="45"/>
      <c r="AP111" s="45"/>
      <c r="AQ111" s="45"/>
      <c r="AR111" s="45"/>
      <c r="AS111" s="45"/>
      <c r="AT111" s="45"/>
      <c r="AU111" s="45"/>
      <c r="AV111" s="45"/>
      <c r="AW111" s="45"/>
      <c r="AX111" s="45"/>
      <c r="AY111" s="45"/>
      <c r="AZ111" s="46"/>
      <c r="BA111" s="47"/>
      <c r="BB111" s="47"/>
      <c r="BC111" s="47"/>
      <c r="BD111" s="47"/>
      <c r="BE111" s="47"/>
      <c r="BF111" s="47"/>
      <c r="BG111" s="47"/>
      <c r="BH111" s="47"/>
      <c r="BI111" s="47"/>
      <c r="BJ111" s="47">
        <v>39.905555636178349</v>
      </c>
      <c r="BK111" s="47">
        <v>3132.5861174400006</v>
      </c>
      <c r="BL111" s="47"/>
      <c r="BM111" s="47"/>
      <c r="BN111" s="47"/>
      <c r="BO111" s="47"/>
      <c r="BP111" s="48">
        <f t="shared" si="12"/>
        <v>39.905555636178349</v>
      </c>
      <c r="BQ111" s="49">
        <f t="shared" si="15"/>
        <v>79.811111272356698</v>
      </c>
      <c r="BR111" s="50">
        <f t="shared" si="13"/>
        <v>3132.5861174400006</v>
      </c>
      <c r="BS111" s="49">
        <f t="shared" si="16"/>
        <v>6265.1722348800013</v>
      </c>
    </row>
    <row r="112" spans="1:71" s="9" customFormat="1" ht="17" x14ac:dyDescent="0.15">
      <c r="A112" s="34" t="s">
        <v>303</v>
      </c>
      <c r="B112" s="71" t="s">
        <v>301</v>
      </c>
      <c r="C112" s="34" t="s">
        <v>71</v>
      </c>
      <c r="D112" s="36" t="s">
        <v>276</v>
      </c>
      <c r="E112" s="36" t="s">
        <v>53</v>
      </c>
      <c r="F112" s="72">
        <v>94.199999999999989</v>
      </c>
      <c r="G112" s="38">
        <v>140.74387145375798</v>
      </c>
      <c r="H112" s="38">
        <v>13258.072690944002</v>
      </c>
      <c r="I112" s="39"/>
      <c r="J112" s="40"/>
      <c r="K112" s="38"/>
      <c r="L112" s="41"/>
      <c r="M112" s="42"/>
      <c r="N112" s="42"/>
      <c r="O112" s="42"/>
      <c r="P112" s="53"/>
      <c r="Q112" s="53"/>
      <c r="R112" s="53"/>
      <c r="S112" s="53"/>
      <c r="T112" s="42"/>
      <c r="U112" s="43"/>
      <c r="V112" s="42"/>
      <c r="W112" s="42"/>
      <c r="X112" s="42"/>
      <c r="Y112" s="42"/>
      <c r="Z112" s="42"/>
      <c r="AA112" s="42">
        <v>160</v>
      </c>
      <c r="AB112" s="42">
        <f t="shared" si="22"/>
        <v>15071.999999999998</v>
      </c>
      <c r="AC112" s="44">
        <f t="shared" si="21"/>
        <v>160</v>
      </c>
      <c r="AD112" s="44">
        <f t="shared" si="21"/>
        <v>15071.999999999998</v>
      </c>
      <c r="AE112" s="45" t="s">
        <v>54</v>
      </c>
      <c r="AF112" s="45"/>
      <c r="AG112" s="45"/>
      <c r="AH112" s="45"/>
      <c r="AI112" s="45"/>
      <c r="AJ112" s="45"/>
      <c r="AK112" s="45"/>
      <c r="AL112" s="45"/>
      <c r="AM112" s="45"/>
      <c r="AN112" s="45"/>
      <c r="AO112" s="45"/>
      <c r="AP112" s="45"/>
      <c r="AQ112" s="45"/>
      <c r="AR112" s="45"/>
      <c r="AS112" s="45"/>
      <c r="AT112" s="45"/>
      <c r="AU112" s="45"/>
      <c r="AV112" s="45"/>
      <c r="AW112" s="45"/>
      <c r="AX112" s="45"/>
      <c r="AY112" s="45"/>
      <c r="AZ112" s="46"/>
      <c r="BA112" s="47"/>
      <c r="BB112" s="47"/>
      <c r="BC112" s="47"/>
      <c r="BD112" s="47"/>
      <c r="BE112" s="47"/>
      <c r="BF112" s="47"/>
      <c r="BG112" s="47"/>
      <c r="BH112" s="47"/>
      <c r="BI112" s="47"/>
      <c r="BJ112" s="47">
        <v>70.371935726878988</v>
      </c>
      <c r="BK112" s="47">
        <v>6629.0363454720009</v>
      </c>
      <c r="BL112" s="47"/>
      <c r="BM112" s="47"/>
      <c r="BN112" s="47"/>
      <c r="BO112" s="47"/>
      <c r="BP112" s="48">
        <f t="shared" si="12"/>
        <v>70.371935726878988</v>
      </c>
      <c r="BQ112" s="49">
        <f t="shared" si="15"/>
        <v>140.74387145375798</v>
      </c>
      <c r="BR112" s="50">
        <f t="shared" si="13"/>
        <v>6629.0363454720009</v>
      </c>
      <c r="BS112" s="49">
        <f t="shared" si="16"/>
        <v>13258.072690944002</v>
      </c>
    </row>
    <row r="113" spans="1:71" s="9" customFormat="1" ht="17" x14ac:dyDescent="0.15">
      <c r="A113" s="34" t="s">
        <v>304</v>
      </c>
      <c r="B113" s="71" t="s">
        <v>301</v>
      </c>
      <c r="C113" s="34" t="s">
        <v>305</v>
      </c>
      <c r="D113" s="36" t="s">
        <v>276</v>
      </c>
      <c r="E113" s="36" t="s">
        <v>53</v>
      </c>
      <c r="F113" s="72">
        <f>6*7.85</f>
        <v>47.099999999999994</v>
      </c>
      <c r="G113" s="38">
        <v>31.438833129171975</v>
      </c>
      <c r="H113" s="38">
        <v>1480.7690403840002</v>
      </c>
      <c r="I113" s="39"/>
      <c r="J113" s="40"/>
      <c r="K113" s="38"/>
      <c r="L113" s="41"/>
      <c r="M113" s="42"/>
      <c r="N113" s="42"/>
      <c r="O113" s="42"/>
      <c r="P113" s="53"/>
      <c r="Q113" s="53"/>
      <c r="R113" s="53"/>
      <c r="S113" s="53"/>
      <c r="T113" s="42"/>
      <c r="U113" s="43"/>
      <c r="V113" s="42"/>
      <c r="W113" s="42"/>
      <c r="X113" s="42"/>
      <c r="Y113" s="42"/>
      <c r="Z113" s="42"/>
      <c r="AA113" s="42">
        <v>38</v>
      </c>
      <c r="AB113" s="42">
        <f t="shared" si="22"/>
        <v>1789.7999999999997</v>
      </c>
      <c r="AC113" s="44">
        <f t="shared" si="21"/>
        <v>38</v>
      </c>
      <c r="AD113" s="44">
        <f t="shared" si="21"/>
        <v>1789.7999999999997</v>
      </c>
      <c r="AE113" s="45" t="s">
        <v>54</v>
      </c>
      <c r="AF113" s="45"/>
      <c r="AG113" s="45"/>
      <c r="AH113" s="45"/>
      <c r="AI113" s="45"/>
      <c r="AJ113" s="45"/>
      <c r="AK113" s="45"/>
      <c r="AL113" s="45"/>
      <c r="AM113" s="45"/>
      <c r="AN113" s="45"/>
      <c r="AO113" s="45"/>
      <c r="AP113" s="45"/>
      <c r="AQ113" s="45"/>
      <c r="AR113" s="45"/>
      <c r="AS113" s="45"/>
      <c r="AT113" s="45"/>
      <c r="AU113" s="45"/>
      <c r="AV113" s="45"/>
      <c r="AW113" s="45"/>
      <c r="AX113" s="45"/>
      <c r="AY113" s="45"/>
      <c r="AZ113" s="46"/>
      <c r="BA113" s="47"/>
      <c r="BB113" s="47"/>
      <c r="BC113" s="47"/>
      <c r="BD113" s="47"/>
      <c r="BE113" s="47"/>
      <c r="BF113" s="47"/>
      <c r="BG113" s="47"/>
      <c r="BH113" s="47"/>
      <c r="BI113" s="47"/>
      <c r="BJ113" s="47">
        <v>15.719416564585988</v>
      </c>
      <c r="BK113" s="47">
        <v>740.38452019200008</v>
      </c>
      <c r="BL113" s="47"/>
      <c r="BM113" s="47"/>
      <c r="BN113" s="47"/>
      <c r="BO113" s="47"/>
      <c r="BP113" s="48">
        <f t="shared" si="12"/>
        <v>15.719416564585988</v>
      </c>
      <c r="BQ113" s="49">
        <f t="shared" si="15"/>
        <v>31.438833129171975</v>
      </c>
      <c r="BR113" s="50">
        <f t="shared" si="13"/>
        <v>740.38452019200008</v>
      </c>
      <c r="BS113" s="49">
        <f t="shared" si="16"/>
        <v>1480.7690403840002</v>
      </c>
    </row>
    <row r="114" spans="1:71" s="9" customFormat="1" ht="17" x14ac:dyDescent="0.15">
      <c r="A114" s="34" t="s">
        <v>306</v>
      </c>
      <c r="B114" s="71" t="s">
        <v>301</v>
      </c>
      <c r="C114" s="34" t="s">
        <v>307</v>
      </c>
      <c r="D114" s="36" t="s">
        <v>276</v>
      </c>
      <c r="E114" s="36" t="s">
        <v>53</v>
      </c>
      <c r="F114" s="72">
        <f>8*7.85</f>
        <v>62.8</v>
      </c>
      <c r="G114" s="38">
        <v>486.56112152866251</v>
      </c>
      <c r="H114" s="38">
        <v>30556.038432000001</v>
      </c>
      <c r="I114" s="39"/>
      <c r="J114" s="40"/>
      <c r="K114" s="38"/>
      <c r="L114" s="41"/>
      <c r="M114" s="42"/>
      <c r="N114" s="42"/>
      <c r="O114" s="42"/>
      <c r="P114" s="53"/>
      <c r="Q114" s="53"/>
      <c r="R114" s="53"/>
      <c r="S114" s="53"/>
      <c r="T114" s="42"/>
      <c r="U114" s="43"/>
      <c r="V114" s="42"/>
      <c r="W114" s="42"/>
      <c r="X114" s="42"/>
      <c r="Y114" s="42"/>
      <c r="Z114" s="42"/>
      <c r="AA114" s="42">
        <v>555</v>
      </c>
      <c r="AB114" s="42">
        <f t="shared" si="22"/>
        <v>34854</v>
      </c>
      <c r="AC114" s="44">
        <f t="shared" si="21"/>
        <v>555</v>
      </c>
      <c r="AD114" s="44">
        <f t="shared" si="21"/>
        <v>34854</v>
      </c>
      <c r="AE114" s="45" t="s">
        <v>54</v>
      </c>
      <c r="AF114" s="45"/>
      <c r="AG114" s="45"/>
      <c r="AH114" s="45"/>
      <c r="AI114" s="45"/>
      <c r="AJ114" s="45"/>
      <c r="AK114" s="45"/>
      <c r="AL114" s="45"/>
      <c r="AM114" s="45"/>
      <c r="AN114" s="45"/>
      <c r="AO114" s="45"/>
      <c r="AP114" s="45"/>
      <c r="AQ114" s="45"/>
      <c r="AR114" s="45"/>
      <c r="AS114" s="45"/>
      <c r="AT114" s="45"/>
      <c r="AU114" s="45"/>
      <c r="AV114" s="45"/>
      <c r="AW114" s="45"/>
      <c r="AX114" s="45"/>
      <c r="AY114" s="45"/>
      <c r="AZ114" s="46"/>
      <c r="BA114" s="47"/>
      <c r="BB114" s="47"/>
      <c r="BC114" s="47"/>
      <c r="BD114" s="47"/>
      <c r="BE114" s="47"/>
      <c r="BF114" s="47"/>
      <c r="BG114" s="47"/>
      <c r="BH114" s="47"/>
      <c r="BI114" s="47"/>
      <c r="BJ114" s="47">
        <v>243.28056076433126</v>
      </c>
      <c r="BK114" s="47">
        <v>15278.019216000001</v>
      </c>
      <c r="BL114" s="47"/>
      <c r="BM114" s="47"/>
      <c r="BN114" s="47"/>
      <c r="BO114" s="47"/>
      <c r="BP114" s="48">
        <f t="shared" si="12"/>
        <v>243.28056076433126</v>
      </c>
      <c r="BQ114" s="49">
        <f t="shared" si="15"/>
        <v>486.56112152866251</v>
      </c>
      <c r="BR114" s="50">
        <f t="shared" si="13"/>
        <v>15278.019216000001</v>
      </c>
      <c r="BS114" s="49">
        <f t="shared" si="16"/>
        <v>30556.038432000001</v>
      </c>
    </row>
    <row r="115" spans="1:71" s="9" customFormat="1" ht="17" x14ac:dyDescent="0.15">
      <c r="A115" s="34" t="s">
        <v>306</v>
      </c>
      <c r="B115" s="71" t="s">
        <v>308</v>
      </c>
      <c r="C115" s="34" t="s">
        <v>120</v>
      </c>
      <c r="D115" s="36" t="s">
        <v>276</v>
      </c>
      <c r="E115" s="36" t="s">
        <v>98</v>
      </c>
      <c r="F115" s="72">
        <v>8.3000000000000007</v>
      </c>
      <c r="G115" s="38">
        <v>1050.7380000000001</v>
      </c>
      <c r="H115" s="38">
        <v>8699.66</v>
      </c>
      <c r="I115" s="39"/>
      <c r="J115" s="40"/>
      <c r="K115" s="38"/>
      <c r="L115" s="41"/>
      <c r="M115" s="42"/>
      <c r="N115" s="42"/>
      <c r="O115" s="42"/>
      <c r="P115" s="53"/>
      <c r="Q115" s="53"/>
      <c r="R115" s="53"/>
      <c r="S115" s="53"/>
      <c r="T115" s="42"/>
      <c r="U115" s="43"/>
      <c r="V115" s="42"/>
      <c r="W115" s="42"/>
      <c r="X115" s="42"/>
      <c r="Y115" s="42"/>
      <c r="Z115" s="42"/>
      <c r="AA115" s="42">
        <v>1150</v>
      </c>
      <c r="AB115" s="42">
        <f t="shared" si="22"/>
        <v>9545</v>
      </c>
      <c r="AC115" s="44">
        <f t="shared" si="21"/>
        <v>1150</v>
      </c>
      <c r="AD115" s="44">
        <f t="shared" si="21"/>
        <v>9545</v>
      </c>
      <c r="AE115" s="45" t="s">
        <v>54</v>
      </c>
      <c r="AF115" s="45"/>
      <c r="AG115" s="45"/>
      <c r="AH115" s="45"/>
      <c r="AI115" s="45"/>
      <c r="AJ115" s="45"/>
      <c r="AK115" s="45"/>
      <c r="AL115" s="45"/>
      <c r="AM115" s="45"/>
      <c r="AN115" s="45"/>
      <c r="AO115" s="45"/>
      <c r="AP115" s="45"/>
      <c r="AQ115" s="45"/>
      <c r="AR115" s="45"/>
      <c r="AS115" s="45"/>
      <c r="AT115" s="45"/>
      <c r="AU115" s="45"/>
      <c r="AV115" s="45"/>
      <c r="AW115" s="45"/>
      <c r="AX115" s="45"/>
      <c r="AY115" s="45"/>
      <c r="AZ115" s="46"/>
      <c r="BA115" s="47"/>
      <c r="BB115" s="47"/>
      <c r="BC115" s="47"/>
      <c r="BD115" s="47"/>
      <c r="BE115" s="47"/>
      <c r="BF115" s="47"/>
      <c r="BG115" s="47"/>
      <c r="BH115" s="47"/>
      <c r="BI115" s="47"/>
      <c r="BJ115" s="47">
        <v>525.36900000000003</v>
      </c>
      <c r="BK115" s="47">
        <v>4349.83</v>
      </c>
      <c r="BL115" s="47"/>
      <c r="BM115" s="47"/>
      <c r="BN115" s="47"/>
      <c r="BO115" s="47"/>
      <c r="BP115" s="48">
        <f t="shared" si="12"/>
        <v>525.36900000000003</v>
      </c>
      <c r="BQ115" s="49">
        <f t="shared" si="15"/>
        <v>1050.7380000000001</v>
      </c>
      <c r="BR115" s="50">
        <f t="shared" si="13"/>
        <v>4349.83</v>
      </c>
      <c r="BS115" s="49">
        <f t="shared" si="16"/>
        <v>8699.66</v>
      </c>
    </row>
    <row r="116" spans="1:71" s="9" customFormat="1" ht="17" x14ac:dyDescent="0.15">
      <c r="A116" s="34" t="s">
        <v>309</v>
      </c>
      <c r="B116" s="71" t="s">
        <v>96</v>
      </c>
      <c r="C116" s="34" t="s">
        <v>310</v>
      </c>
      <c r="D116" s="36" t="s">
        <v>52</v>
      </c>
      <c r="E116" s="36" t="s">
        <v>98</v>
      </c>
      <c r="F116" s="72">
        <v>67.3</v>
      </c>
      <c r="G116" s="38">
        <v>273.41800000000001</v>
      </c>
      <c r="H116" s="38">
        <v>18401.031399999996</v>
      </c>
      <c r="I116" s="39"/>
      <c r="J116" s="40"/>
      <c r="K116" s="38"/>
      <c r="L116" s="41"/>
      <c r="M116" s="42"/>
      <c r="N116" s="42"/>
      <c r="O116" s="42"/>
      <c r="P116" s="53"/>
      <c r="Q116" s="53"/>
      <c r="R116" s="53"/>
      <c r="S116" s="53"/>
      <c r="T116" s="42"/>
      <c r="U116" s="43"/>
      <c r="V116" s="42"/>
      <c r="W116" s="42"/>
      <c r="X116" s="42"/>
      <c r="Y116" s="42"/>
      <c r="Z116" s="42"/>
      <c r="AA116" s="42">
        <v>293</v>
      </c>
      <c r="AB116" s="42">
        <f t="shared" si="22"/>
        <v>19718.899999999998</v>
      </c>
      <c r="AC116" s="44">
        <f t="shared" si="21"/>
        <v>293</v>
      </c>
      <c r="AD116" s="44">
        <f t="shared" si="21"/>
        <v>19718.899999999998</v>
      </c>
      <c r="AE116" s="45" t="s">
        <v>54</v>
      </c>
      <c r="AF116" s="45"/>
      <c r="AG116" s="45"/>
      <c r="AH116" s="45"/>
      <c r="AI116" s="45"/>
      <c r="AJ116" s="45"/>
      <c r="AK116" s="45"/>
      <c r="AL116" s="45"/>
      <c r="AM116" s="45"/>
      <c r="AN116" s="45"/>
      <c r="AO116" s="45"/>
      <c r="AP116" s="45"/>
      <c r="AQ116" s="45"/>
      <c r="AR116" s="45"/>
      <c r="AS116" s="45"/>
      <c r="AT116" s="45"/>
      <c r="AU116" s="45"/>
      <c r="AV116" s="45"/>
      <c r="AW116" s="45"/>
      <c r="AX116" s="45"/>
      <c r="AY116" s="45"/>
      <c r="AZ116" s="46"/>
      <c r="BA116" s="47"/>
      <c r="BB116" s="47"/>
      <c r="BC116" s="47"/>
      <c r="BD116" s="47"/>
      <c r="BE116" s="47"/>
      <c r="BF116" s="47"/>
      <c r="BG116" s="47"/>
      <c r="BH116" s="47"/>
      <c r="BI116" s="47"/>
      <c r="BJ116" s="47"/>
      <c r="BK116" s="47"/>
      <c r="BL116" s="47">
        <v>136.709</v>
      </c>
      <c r="BM116" s="47">
        <v>9200.5156999999981</v>
      </c>
      <c r="BN116" s="47"/>
      <c r="BO116" s="47"/>
      <c r="BP116" s="48">
        <f t="shared" si="12"/>
        <v>136.709</v>
      </c>
      <c r="BQ116" s="49">
        <f t="shared" si="15"/>
        <v>273.41800000000001</v>
      </c>
      <c r="BR116" s="50">
        <f t="shared" si="13"/>
        <v>9200.5156999999981</v>
      </c>
      <c r="BS116" s="49">
        <f t="shared" si="16"/>
        <v>18401.031399999996</v>
      </c>
    </row>
    <row r="117" spans="1:71" s="9" customFormat="1" ht="17" x14ac:dyDescent="0.15">
      <c r="A117" s="34" t="s">
        <v>311</v>
      </c>
      <c r="B117" s="71" t="s">
        <v>102</v>
      </c>
      <c r="C117" s="34" t="s">
        <v>312</v>
      </c>
      <c r="D117" s="36" t="s">
        <v>52</v>
      </c>
      <c r="E117" s="36" t="s">
        <v>98</v>
      </c>
      <c r="F117" s="72">
        <v>14</v>
      </c>
      <c r="G117" s="38">
        <v>14.268000000000001</v>
      </c>
      <c r="H117" s="38">
        <v>199.75200000000001</v>
      </c>
      <c r="I117" s="39"/>
      <c r="J117" s="40"/>
      <c r="K117" s="38"/>
      <c r="L117" s="41"/>
      <c r="M117" s="42"/>
      <c r="N117" s="42"/>
      <c r="O117" s="42"/>
      <c r="P117" s="53"/>
      <c r="Q117" s="53"/>
      <c r="R117" s="53"/>
      <c r="S117" s="53"/>
      <c r="T117" s="42"/>
      <c r="U117" s="43"/>
      <c r="V117" s="42"/>
      <c r="W117" s="42"/>
      <c r="X117" s="42"/>
      <c r="Y117" s="42"/>
      <c r="Z117" s="42"/>
      <c r="AA117" s="42">
        <v>18</v>
      </c>
      <c r="AB117" s="42">
        <f t="shared" si="22"/>
        <v>252</v>
      </c>
      <c r="AC117" s="44">
        <f t="shared" si="21"/>
        <v>18</v>
      </c>
      <c r="AD117" s="44">
        <f t="shared" si="21"/>
        <v>252</v>
      </c>
      <c r="AE117" s="45" t="s">
        <v>54</v>
      </c>
      <c r="AF117" s="45"/>
      <c r="AG117" s="45"/>
      <c r="AH117" s="45"/>
      <c r="AI117" s="45"/>
      <c r="AJ117" s="45"/>
      <c r="AK117" s="45"/>
      <c r="AL117" s="45"/>
      <c r="AM117" s="45"/>
      <c r="AN117" s="45"/>
      <c r="AO117" s="45"/>
      <c r="AP117" s="45"/>
      <c r="AQ117" s="45"/>
      <c r="AR117" s="45"/>
      <c r="AS117" s="45"/>
      <c r="AT117" s="45">
        <v>7.1340000000000003</v>
      </c>
      <c r="AU117" s="45">
        <v>99.876000000000005</v>
      </c>
      <c r="AV117" s="45"/>
      <c r="AW117" s="45"/>
      <c r="AX117" s="45"/>
      <c r="AY117" s="45"/>
      <c r="AZ117" s="46"/>
      <c r="BA117" s="47"/>
      <c r="BB117" s="47"/>
      <c r="BC117" s="47"/>
      <c r="BD117" s="47"/>
      <c r="BE117" s="47"/>
      <c r="BF117" s="47"/>
      <c r="BG117" s="47"/>
      <c r="BH117" s="47"/>
      <c r="BI117" s="47"/>
      <c r="BJ117" s="47"/>
      <c r="BK117" s="47"/>
      <c r="BL117" s="47"/>
      <c r="BM117" s="47"/>
      <c r="BN117" s="47"/>
      <c r="BO117" s="47"/>
      <c r="BP117" s="48">
        <f t="shared" si="12"/>
        <v>7.1340000000000003</v>
      </c>
      <c r="BQ117" s="49">
        <f t="shared" si="15"/>
        <v>14.268000000000001</v>
      </c>
      <c r="BR117" s="50">
        <f t="shared" si="13"/>
        <v>99.876000000000005</v>
      </c>
      <c r="BS117" s="49">
        <f t="shared" si="16"/>
        <v>199.75200000000001</v>
      </c>
    </row>
    <row r="118" spans="1:71" s="9" customFormat="1" ht="17" x14ac:dyDescent="0.15">
      <c r="A118" s="34" t="s">
        <v>313</v>
      </c>
      <c r="B118" s="71" t="s">
        <v>314</v>
      </c>
      <c r="C118" s="34" t="s">
        <v>315</v>
      </c>
      <c r="D118" s="36" t="s">
        <v>316</v>
      </c>
      <c r="E118" s="36" t="s">
        <v>98</v>
      </c>
      <c r="F118" s="73">
        <v>5.548833337499999E-2</v>
      </c>
      <c r="G118" s="38">
        <f>208.7*2</f>
        <v>417.4</v>
      </c>
      <c r="H118" s="38">
        <f>+G118*F118</f>
        <v>23.160830350724996</v>
      </c>
      <c r="I118" s="39"/>
      <c r="J118" s="40"/>
      <c r="K118" s="38"/>
      <c r="L118" s="41"/>
      <c r="M118" s="42"/>
      <c r="N118" s="42"/>
      <c r="O118" s="42"/>
      <c r="P118" s="53"/>
      <c r="Q118" s="53"/>
      <c r="R118" s="53"/>
      <c r="S118" s="53"/>
      <c r="T118" s="42"/>
      <c r="U118" s="43"/>
      <c r="V118" s="42"/>
      <c r="W118" s="42"/>
      <c r="X118" s="42"/>
      <c r="Y118" s="42"/>
      <c r="Z118" s="42"/>
      <c r="AA118" s="42">
        <v>550</v>
      </c>
      <c r="AB118" s="42">
        <f t="shared" si="22"/>
        <v>30.518583356249994</v>
      </c>
      <c r="AC118" s="44">
        <f t="shared" si="21"/>
        <v>550</v>
      </c>
      <c r="AD118" s="44">
        <f t="shared" si="21"/>
        <v>30.518583356249994</v>
      </c>
      <c r="AE118" s="45" t="s">
        <v>54</v>
      </c>
      <c r="AF118" s="45"/>
      <c r="AG118" s="45"/>
      <c r="AH118" s="45"/>
      <c r="AI118" s="45"/>
      <c r="AJ118" s="45"/>
      <c r="AK118" s="45"/>
      <c r="AL118" s="45"/>
      <c r="AM118" s="45"/>
      <c r="AN118" s="45"/>
      <c r="AO118" s="45"/>
      <c r="AP118" s="45"/>
      <c r="AQ118" s="45"/>
      <c r="AR118" s="45"/>
      <c r="AS118" s="45"/>
      <c r="AT118" s="45"/>
      <c r="AU118" s="45"/>
      <c r="AV118" s="45"/>
      <c r="AW118" s="45"/>
      <c r="AX118" s="45"/>
      <c r="AY118" s="45"/>
      <c r="AZ118" s="46"/>
      <c r="BA118" s="47"/>
      <c r="BB118" s="47"/>
      <c r="BC118" s="47"/>
      <c r="BD118" s="47"/>
      <c r="BE118" s="47"/>
      <c r="BF118" s="47"/>
      <c r="BG118" s="47"/>
      <c r="BH118" s="47"/>
      <c r="BI118" s="47"/>
      <c r="BJ118" s="47"/>
      <c r="BK118" s="47"/>
      <c r="BL118" s="47"/>
      <c r="BM118" s="47"/>
      <c r="BN118" s="47"/>
      <c r="BO118" s="47"/>
      <c r="BP118" s="48"/>
      <c r="BQ118" s="49"/>
      <c r="BR118" s="50"/>
      <c r="BS118" s="49"/>
    </row>
    <row r="119" spans="1:71" s="9" customFormat="1" ht="17" x14ac:dyDescent="0.15">
      <c r="A119" s="74" t="s">
        <v>317</v>
      </c>
      <c r="B119" s="214" t="s">
        <v>318</v>
      </c>
      <c r="C119" s="215"/>
      <c r="D119" s="75"/>
      <c r="E119" s="76"/>
      <c r="F119" s="77"/>
      <c r="G119" s="78">
        <f>+AD119/H119</f>
        <v>1.1244093028993103</v>
      </c>
      <c r="H119" s="79">
        <f>+SUM(H120:H158)</f>
        <v>158466.32294713694</v>
      </c>
      <c r="I119" s="80"/>
      <c r="J119" s="79">
        <f>+SUM(J120:J157)</f>
        <v>158536.19147351079</v>
      </c>
      <c r="K119" s="77"/>
      <c r="L119" s="81"/>
      <c r="M119" s="81"/>
      <c r="N119" s="81"/>
      <c r="O119" s="81"/>
      <c r="P119" s="81"/>
      <c r="Q119" s="81"/>
      <c r="R119" s="81"/>
      <c r="S119" s="81"/>
      <c r="T119" s="81"/>
      <c r="U119" s="82"/>
      <c r="V119" s="79">
        <f>+SUM(V120:V139)</f>
        <v>155078.62384797644</v>
      </c>
      <c r="W119" s="79"/>
      <c r="X119" s="79">
        <f>+SUM(X120:X144)</f>
        <v>9681.9546412800009</v>
      </c>
      <c r="Y119" s="79"/>
      <c r="Z119" s="79">
        <f>+SUM(Z120:Z156)</f>
        <v>47253.35123036283</v>
      </c>
      <c r="AA119" s="79"/>
      <c r="AB119" s="79">
        <f>+SUM(AB120:AB158)</f>
        <v>19644.816244496484</v>
      </c>
      <c r="AC119" s="83"/>
      <c r="AD119" s="79">
        <f>+SUM(AD120:AD158)</f>
        <v>178181.00771800723</v>
      </c>
      <c r="AE119" s="84"/>
      <c r="AF119" s="84"/>
      <c r="AG119" s="84"/>
      <c r="AH119" s="84"/>
      <c r="AI119" s="84"/>
      <c r="AJ119" s="84"/>
      <c r="AK119" s="84"/>
      <c r="AL119" s="84"/>
      <c r="AM119" s="84"/>
      <c r="AN119" s="84"/>
      <c r="AO119" s="84"/>
      <c r="AP119" s="84"/>
      <c r="AQ119" s="84"/>
      <c r="AR119" s="84"/>
      <c r="AS119" s="84"/>
      <c r="AT119" s="84"/>
      <c r="AU119" s="84"/>
      <c r="AV119" s="84"/>
      <c r="AW119" s="84"/>
      <c r="AX119" s="84"/>
      <c r="AY119" s="84"/>
      <c r="AZ119" s="85"/>
      <c r="BA119" s="47"/>
      <c r="BB119" s="47"/>
      <c r="BC119" s="47"/>
      <c r="BD119" s="47"/>
      <c r="BE119" s="47"/>
      <c r="BF119" s="47"/>
      <c r="BG119" s="47"/>
      <c r="BH119" s="47"/>
      <c r="BI119" s="47"/>
      <c r="BJ119" s="47"/>
      <c r="BK119" s="47"/>
      <c r="BL119" s="47"/>
      <c r="BM119" s="47"/>
      <c r="BN119" s="47"/>
      <c r="BO119" s="47"/>
      <c r="BP119" s="48">
        <f t="shared" si="12"/>
        <v>0</v>
      </c>
      <c r="BQ119" s="49">
        <f t="shared" si="15"/>
        <v>0</v>
      </c>
      <c r="BR119" s="50">
        <f t="shared" si="13"/>
        <v>0</v>
      </c>
      <c r="BS119" s="49">
        <f t="shared" si="16"/>
        <v>0</v>
      </c>
    </row>
    <row r="120" spans="1:71" s="9" customFormat="1" ht="17" x14ac:dyDescent="0.15">
      <c r="A120" s="34" t="s">
        <v>319</v>
      </c>
      <c r="B120" s="35" t="s">
        <v>320</v>
      </c>
      <c r="C120" s="35" t="s">
        <v>217</v>
      </c>
      <c r="D120" s="36" t="s">
        <v>321</v>
      </c>
      <c r="E120" s="37" t="s">
        <v>98</v>
      </c>
      <c r="F120" s="38">
        <v>16.158088235294116</v>
      </c>
      <c r="G120" s="38">
        <v>2.778</v>
      </c>
      <c r="H120" s="38">
        <v>44.92</v>
      </c>
      <c r="I120" s="39">
        <v>3.1968000000000001</v>
      </c>
      <c r="J120" s="40">
        <v>51.654176470588233</v>
      </c>
      <c r="K120" s="38"/>
      <c r="L120" s="41"/>
      <c r="M120" s="41"/>
      <c r="N120" s="41"/>
      <c r="O120" s="41"/>
      <c r="P120" s="41"/>
      <c r="Q120" s="41"/>
      <c r="R120" s="41"/>
      <c r="S120" s="41"/>
      <c r="T120" s="41"/>
      <c r="U120" s="43">
        <f>+G120*1.1</f>
        <v>3.0558000000000001</v>
      </c>
      <c r="V120" s="86">
        <f>+U120*F120</f>
        <v>49.37588602941176</v>
      </c>
      <c r="W120" s="86"/>
      <c r="X120" s="86"/>
      <c r="Y120" s="86">
        <v>2</v>
      </c>
      <c r="Z120" s="42">
        <f t="shared" ref="Z120" si="23">+Y120*F120</f>
        <v>32.316176470588232</v>
      </c>
      <c r="AA120" s="42"/>
      <c r="AB120" s="42"/>
      <c r="AC120" s="44">
        <f t="shared" ref="AC120:AD157" si="24">+I120+AA120</f>
        <v>3.1968000000000001</v>
      </c>
      <c r="AD120" s="44">
        <f t="shared" si="24"/>
        <v>51.654176470588233</v>
      </c>
      <c r="AE120" s="45" t="s">
        <v>116</v>
      </c>
      <c r="AF120" s="45">
        <v>0.68300000000000005</v>
      </c>
      <c r="AG120" s="45">
        <v>11.04</v>
      </c>
      <c r="AH120" s="45">
        <v>0.70599999999999996</v>
      </c>
      <c r="AI120" s="45">
        <v>11.42</v>
      </c>
      <c r="AJ120" s="45"/>
      <c r="AK120" s="45"/>
      <c r="AL120" s="45"/>
      <c r="AM120" s="45"/>
      <c r="AN120" s="45"/>
      <c r="AO120" s="45"/>
      <c r="AP120" s="45"/>
      <c r="AQ120" s="45"/>
      <c r="AR120" s="45"/>
      <c r="AS120" s="45"/>
      <c r="AT120" s="45"/>
      <c r="AU120" s="45"/>
      <c r="AV120" s="45"/>
      <c r="AW120" s="45"/>
      <c r="AX120" s="45"/>
      <c r="AY120" s="45"/>
      <c r="AZ120" s="85"/>
      <c r="BA120" s="47"/>
      <c r="BB120" s="47"/>
      <c r="BC120" s="47"/>
      <c r="BD120" s="47"/>
      <c r="BE120" s="47"/>
      <c r="BF120" s="47"/>
      <c r="BG120" s="47"/>
      <c r="BH120" s="47"/>
      <c r="BI120" s="47"/>
      <c r="BJ120" s="47"/>
      <c r="BK120" s="47"/>
      <c r="BL120" s="47"/>
      <c r="BM120" s="47"/>
      <c r="BN120" s="47"/>
      <c r="BO120" s="47"/>
      <c r="BP120" s="48">
        <f t="shared" si="12"/>
        <v>1.389</v>
      </c>
      <c r="BQ120" s="49">
        <f t="shared" si="15"/>
        <v>2.778</v>
      </c>
      <c r="BR120" s="50">
        <f t="shared" si="13"/>
        <v>22.46</v>
      </c>
      <c r="BS120" s="49">
        <f t="shared" si="16"/>
        <v>44.92</v>
      </c>
    </row>
    <row r="121" spans="1:71" s="9" customFormat="1" ht="17" x14ac:dyDescent="0.15">
      <c r="A121" s="34" t="s">
        <v>322</v>
      </c>
      <c r="B121" s="35" t="s">
        <v>320</v>
      </c>
      <c r="C121" s="35" t="s">
        <v>221</v>
      </c>
      <c r="D121" s="36" t="s">
        <v>321</v>
      </c>
      <c r="E121" s="37" t="s">
        <v>98</v>
      </c>
      <c r="F121" s="38">
        <v>28.2</v>
      </c>
      <c r="G121" s="38">
        <v>2.7</v>
      </c>
      <c r="H121" s="38">
        <v>76.14</v>
      </c>
      <c r="I121" s="39">
        <v>2.9700000000000006</v>
      </c>
      <c r="J121" s="40">
        <v>83.754000000000019</v>
      </c>
      <c r="K121" s="38"/>
      <c r="L121" s="41"/>
      <c r="M121" s="41"/>
      <c r="N121" s="41"/>
      <c r="O121" s="41"/>
      <c r="P121" s="41"/>
      <c r="Q121" s="41"/>
      <c r="R121" s="41"/>
      <c r="S121" s="41"/>
      <c r="T121" s="41"/>
      <c r="U121" s="43">
        <f t="shared" ref="U121:U125" si="25">+G121*1.1</f>
        <v>2.9700000000000006</v>
      </c>
      <c r="V121" s="86">
        <f t="shared" ref="V121:V140" si="26">+U121*F121</f>
        <v>83.754000000000019</v>
      </c>
      <c r="W121" s="86"/>
      <c r="X121" s="86"/>
      <c r="Y121" s="86"/>
      <c r="Z121" s="86"/>
      <c r="AA121" s="86"/>
      <c r="AB121" s="86"/>
      <c r="AC121" s="44">
        <f t="shared" si="24"/>
        <v>2.9700000000000006</v>
      </c>
      <c r="AD121" s="44">
        <f t="shared" si="24"/>
        <v>83.754000000000019</v>
      </c>
      <c r="AE121" s="45" t="s">
        <v>222</v>
      </c>
      <c r="AF121" s="45">
        <v>1.35</v>
      </c>
      <c r="AG121" s="45">
        <v>38.07</v>
      </c>
      <c r="AH121" s="45"/>
      <c r="AI121" s="45"/>
      <c r="AJ121" s="45"/>
      <c r="AK121" s="45"/>
      <c r="AL121" s="45"/>
      <c r="AM121" s="45"/>
      <c r="AN121" s="45"/>
      <c r="AO121" s="45"/>
      <c r="AP121" s="45"/>
      <c r="AQ121" s="45"/>
      <c r="AR121" s="45"/>
      <c r="AS121" s="45"/>
      <c r="AT121" s="45"/>
      <c r="AU121" s="45"/>
      <c r="AV121" s="45"/>
      <c r="AW121" s="45"/>
      <c r="AX121" s="45"/>
      <c r="AY121" s="45"/>
      <c r="AZ121" s="85"/>
      <c r="BA121" s="47"/>
      <c r="BB121" s="47"/>
      <c r="BC121" s="47"/>
      <c r="BD121" s="47"/>
      <c r="BE121" s="47"/>
      <c r="BF121" s="47"/>
      <c r="BG121" s="47"/>
      <c r="BH121" s="47"/>
      <c r="BI121" s="47"/>
      <c r="BJ121" s="47"/>
      <c r="BK121" s="47"/>
      <c r="BL121" s="47"/>
      <c r="BM121" s="47"/>
      <c r="BN121" s="47"/>
      <c r="BO121" s="47"/>
      <c r="BP121" s="48">
        <f t="shared" si="12"/>
        <v>1.35</v>
      </c>
      <c r="BQ121" s="49">
        <f t="shared" si="15"/>
        <v>2.7</v>
      </c>
      <c r="BR121" s="50">
        <f t="shared" si="13"/>
        <v>38.07</v>
      </c>
      <c r="BS121" s="49">
        <f t="shared" si="16"/>
        <v>76.14</v>
      </c>
    </row>
    <row r="122" spans="1:71" s="9" customFormat="1" ht="17" x14ac:dyDescent="0.15">
      <c r="A122" s="34" t="s">
        <v>323</v>
      </c>
      <c r="B122" s="35" t="s">
        <v>320</v>
      </c>
      <c r="C122" s="35" t="s">
        <v>324</v>
      </c>
      <c r="D122" s="36" t="s">
        <v>321</v>
      </c>
      <c r="E122" s="37" t="s">
        <v>98</v>
      </c>
      <c r="F122" s="38">
        <v>1.5515222482435598</v>
      </c>
      <c r="G122" s="38">
        <v>4.8479999999999999</v>
      </c>
      <c r="H122" s="38">
        <v>7.5</v>
      </c>
      <c r="I122" s="39">
        <v>3.7576000000000001</v>
      </c>
      <c r="J122" s="40">
        <v>5.83</v>
      </c>
      <c r="K122" s="38"/>
      <c r="L122" s="41"/>
      <c r="M122" s="41"/>
      <c r="N122" s="41"/>
      <c r="O122" s="41"/>
      <c r="P122" s="41"/>
      <c r="Q122" s="41"/>
      <c r="R122" s="41"/>
      <c r="S122" s="41"/>
      <c r="T122" s="41"/>
      <c r="U122" s="43">
        <f t="shared" si="25"/>
        <v>5.3328000000000007</v>
      </c>
      <c r="V122" s="86">
        <f t="shared" si="26"/>
        <v>8.273957845433257</v>
      </c>
      <c r="W122" s="86"/>
      <c r="X122" s="86"/>
      <c r="Y122" s="86"/>
      <c r="Z122" s="86"/>
      <c r="AA122" s="86">
        <v>2</v>
      </c>
      <c r="AB122" s="86">
        <f>+AA122*F122</f>
        <v>3.1030444964871196</v>
      </c>
      <c r="AC122" s="44">
        <f t="shared" si="24"/>
        <v>5.7576000000000001</v>
      </c>
      <c r="AD122" s="44">
        <f t="shared" si="24"/>
        <v>8.9330444964871205</v>
      </c>
      <c r="AE122" s="45" t="s">
        <v>54</v>
      </c>
      <c r="AF122" s="45">
        <v>2.4239999999999999</v>
      </c>
      <c r="AG122" s="45">
        <v>3.75</v>
      </c>
      <c r="AH122" s="45"/>
      <c r="AI122" s="45"/>
      <c r="AJ122" s="45"/>
      <c r="AK122" s="45"/>
      <c r="AL122" s="45"/>
      <c r="AM122" s="45"/>
      <c r="AN122" s="45"/>
      <c r="AO122" s="45"/>
      <c r="AP122" s="45"/>
      <c r="AQ122" s="45"/>
      <c r="AR122" s="45"/>
      <c r="AS122" s="45"/>
      <c r="AT122" s="45"/>
      <c r="AU122" s="45"/>
      <c r="AV122" s="45"/>
      <c r="AW122" s="45"/>
      <c r="AX122" s="45"/>
      <c r="AY122" s="45"/>
      <c r="AZ122" s="85"/>
      <c r="BA122" s="47"/>
      <c r="BB122" s="47"/>
      <c r="BC122" s="47"/>
      <c r="BD122" s="47"/>
      <c r="BE122" s="47"/>
      <c r="BF122" s="47"/>
      <c r="BG122" s="47"/>
      <c r="BH122" s="47"/>
      <c r="BI122" s="47"/>
      <c r="BJ122" s="47"/>
      <c r="BK122" s="47"/>
      <c r="BL122" s="47"/>
      <c r="BM122" s="47"/>
      <c r="BN122" s="47"/>
      <c r="BO122" s="47"/>
      <c r="BP122" s="48">
        <f t="shared" si="12"/>
        <v>2.4239999999999999</v>
      </c>
      <c r="BQ122" s="49">
        <f t="shared" si="15"/>
        <v>4.8479999999999999</v>
      </c>
      <c r="BR122" s="50">
        <f t="shared" si="13"/>
        <v>3.75</v>
      </c>
      <c r="BS122" s="49">
        <f t="shared" si="16"/>
        <v>7.5</v>
      </c>
    </row>
    <row r="123" spans="1:71" s="9" customFormat="1" ht="17" x14ac:dyDescent="0.15">
      <c r="A123" s="34" t="s">
        <v>325</v>
      </c>
      <c r="B123" s="35" t="s">
        <v>320</v>
      </c>
      <c r="C123" s="35" t="s">
        <v>263</v>
      </c>
      <c r="D123" s="36" t="s">
        <v>321</v>
      </c>
      <c r="E123" s="37" t="s">
        <v>98</v>
      </c>
      <c r="F123" s="38">
        <v>5.3333333333333339</v>
      </c>
      <c r="G123" s="38">
        <v>10.847999999999999</v>
      </c>
      <c r="H123" s="38">
        <v>57.92</v>
      </c>
      <c r="I123" s="39">
        <v>12.158000000000001</v>
      </c>
      <c r="J123" s="40">
        <v>64.842666666666673</v>
      </c>
      <c r="K123" s="38"/>
      <c r="L123" s="41"/>
      <c r="M123" s="41"/>
      <c r="N123" s="41"/>
      <c r="O123" s="41"/>
      <c r="P123" s="41"/>
      <c r="Q123" s="41"/>
      <c r="R123" s="41"/>
      <c r="S123" s="41"/>
      <c r="T123" s="41"/>
      <c r="U123" s="43">
        <f t="shared" si="25"/>
        <v>11.9328</v>
      </c>
      <c r="V123" s="86">
        <f t="shared" si="26"/>
        <v>63.641600000000011</v>
      </c>
      <c r="W123" s="86"/>
      <c r="X123" s="86"/>
      <c r="Y123" s="86">
        <v>8</v>
      </c>
      <c r="Z123" s="42">
        <f t="shared" ref="Z123" si="27">+Y123*F123</f>
        <v>42.666666666666671</v>
      </c>
      <c r="AA123" s="42"/>
      <c r="AB123" s="42"/>
      <c r="AC123" s="44">
        <f t="shared" si="24"/>
        <v>12.158000000000001</v>
      </c>
      <c r="AD123" s="44">
        <f t="shared" si="24"/>
        <v>64.842666666666673</v>
      </c>
      <c r="AE123" s="45" t="s">
        <v>116</v>
      </c>
      <c r="AF123" s="45">
        <v>1.95</v>
      </c>
      <c r="AG123" s="45">
        <v>10.4</v>
      </c>
      <c r="AH123" s="45">
        <v>0.56399999999999995</v>
      </c>
      <c r="AI123" s="45">
        <v>3.01</v>
      </c>
      <c r="AJ123" s="45">
        <v>2.91</v>
      </c>
      <c r="AK123" s="45">
        <v>15.55</v>
      </c>
      <c r="AL123" s="45"/>
      <c r="AM123" s="45"/>
      <c r="AN123" s="45"/>
      <c r="AO123" s="45"/>
      <c r="AP123" s="45"/>
      <c r="AQ123" s="45"/>
      <c r="AR123" s="45"/>
      <c r="AS123" s="45"/>
      <c r="AT123" s="45"/>
      <c r="AU123" s="45"/>
      <c r="AV123" s="45"/>
      <c r="AW123" s="45"/>
      <c r="AX123" s="45"/>
      <c r="AY123" s="45"/>
      <c r="AZ123" s="85"/>
      <c r="BA123" s="47"/>
      <c r="BB123" s="47"/>
      <c r="BC123" s="47"/>
      <c r="BD123" s="47"/>
      <c r="BE123" s="47"/>
      <c r="BF123" s="47"/>
      <c r="BG123" s="47"/>
      <c r="BH123" s="47"/>
      <c r="BI123" s="47"/>
      <c r="BJ123" s="47"/>
      <c r="BK123" s="47"/>
      <c r="BL123" s="47"/>
      <c r="BM123" s="47"/>
      <c r="BN123" s="47"/>
      <c r="BO123" s="47"/>
      <c r="BP123" s="48">
        <f t="shared" si="12"/>
        <v>5.4239999999999995</v>
      </c>
      <c r="BQ123" s="49">
        <f t="shared" si="15"/>
        <v>10.847999999999999</v>
      </c>
      <c r="BR123" s="50">
        <f t="shared" si="13"/>
        <v>28.96</v>
      </c>
      <c r="BS123" s="49">
        <f t="shared" si="16"/>
        <v>57.92</v>
      </c>
    </row>
    <row r="124" spans="1:71" s="9" customFormat="1" ht="17" x14ac:dyDescent="0.15">
      <c r="A124" s="34" t="s">
        <v>326</v>
      </c>
      <c r="B124" s="35" t="s">
        <v>320</v>
      </c>
      <c r="C124" s="35" t="s">
        <v>327</v>
      </c>
      <c r="D124" s="36" t="s">
        <v>321</v>
      </c>
      <c r="E124" s="37" t="s">
        <v>98</v>
      </c>
      <c r="F124" s="38">
        <v>7.48</v>
      </c>
      <c r="G124" s="38">
        <v>2.9119999999999995</v>
      </c>
      <c r="H124" s="38">
        <v>23.689</v>
      </c>
      <c r="I124" s="39">
        <v>1.2892000000000003</v>
      </c>
      <c r="J124" s="40">
        <v>9.4380000000000006</v>
      </c>
      <c r="K124" s="38"/>
      <c r="L124" s="41"/>
      <c r="M124" s="41"/>
      <c r="N124" s="41"/>
      <c r="O124" s="41"/>
      <c r="P124" s="41"/>
      <c r="Q124" s="41"/>
      <c r="R124" s="41"/>
      <c r="S124" s="41"/>
      <c r="T124" s="41"/>
      <c r="U124" s="43">
        <f t="shared" si="25"/>
        <v>3.2031999999999998</v>
      </c>
      <c r="V124" s="86">
        <f t="shared" si="26"/>
        <v>23.959935999999999</v>
      </c>
      <c r="W124" s="86"/>
      <c r="X124" s="86"/>
      <c r="Y124" s="86"/>
      <c r="Z124" s="86"/>
      <c r="AA124" s="86">
        <v>2</v>
      </c>
      <c r="AB124" s="86">
        <f>+AA124*F124</f>
        <v>14.96</v>
      </c>
      <c r="AC124" s="44">
        <f t="shared" si="24"/>
        <v>3.2892000000000001</v>
      </c>
      <c r="AD124" s="44">
        <f t="shared" si="24"/>
        <v>24.398000000000003</v>
      </c>
      <c r="AE124" s="45" t="s">
        <v>54</v>
      </c>
      <c r="AF124" s="55">
        <v>0.32400000000000001</v>
      </c>
      <c r="AG124" s="45">
        <v>2.37</v>
      </c>
      <c r="AH124" s="45"/>
      <c r="AI124" s="45"/>
      <c r="AJ124" s="45"/>
      <c r="AK124" s="45"/>
      <c r="AL124" s="45"/>
      <c r="AM124" s="45"/>
      <c r="AN124" s="45"/>
      <c r="AO124" s="45"/>
      <c r="AP124" s="45"/>
      <c r="AQ124" s="45"/>
      <c r="AR124" s="55">
        <v>0.31900000000000001</v>
      </c>
      <c r="AS124" s="45">
        <v>2.3861200000000005</v>
      </c>
      <c r="AT124" s="55">
        <v>0.47599999999999998</v>
      </c>
      <c r="AU124" s="55">
        <v>4.46488</v>
      </c>
      <c r="AV124" s="55">
        <v>0.14199999999999999</v>
      </c>
      <c r="AW124" s="55">
        <v>1.04</v>
      </c>
      <c r="AX124" s="55">
        <v>0.12</v>
      </c>
      <c r="AY124" s="55">
        <v>0.88</v>
      </c>
      <c r="AZ124" s="85">
        <v>7.4999999999999997E-2</v>
      </c>
      <c r="BA124" s="47">
        <v>0.70350000000000013</v>
      </c>
      <c r="BB124" s="47"/>
      <c r="BC124" s="47"/>
      <c r="BD124" s="47"/>
      <c r="BE124" s="47"/>
      <c r="BF124" s="47"/>
      <c r="BG124" s="47"/>
      <c r="BH124" s="47"/>
      <c r="BI124" s="47"/>
      <c r="BJ124" s="47"/>
      <c r="BK124" s="47"/>
      <c r="BL124" s="47"/>
      <c r="BM124" s="47"/>
      <c r="BN124" s="47"/>
      <c r="BO124" s="47"/>
      <c r="BP124" s="48">
        <f t="shared" si="12"/>
        <v>1.4559999999999997</v>
      </c>
      <c r="BQ124" s="49">
        <f t="shared" si="15"/>
        <v>2.9119999999999995</v>
      </c>
      <c r="BR124" s="50">
        <f t="shared" si="13"/>
        <v>11.8445</v>
      </c>
      <c r="BS124" s="49">
        <f t="shared" si="16"/>
        <v>23.689</v>
      </c>
    </row>
    <row r="125" spans="1:71" s="9" customFormat="1" ht="17" x14ac:dyDescent="0.15">
      <c r="A125" s="34" t="s">
        <v>328</v>
      </c>
      <c r="B125" s="35" t="s">
        <v>320</v>
      </c>
      <c r="C125" s="35" t="s">
        <v>266</v>
      </c>
      <c r="D125" s="36" t="s">
        <v>321</v>
      </c>
      <c r="E125" s="37" t="s">
        <v>98</v>
      </c>
      <c r="F125" s="38">
        <v>11.136370470605922</v>
      </c>
      <c r="G125" s="38">
        <v>253.46199999999999</v>
      </c>
      <c r="H125" s="38">
        <v>2822.62</v>
      </c>
      <c r="I125" s="39">
        <v>278.161</v>
      </c>
      <c r="J125" s="40">
        <v>3097.7039464742138</v>
      </c>
      <c r="K125" s="38"/>
      <c r="L125" s="41"/>
      <c r="M125" s="41"/>
      <c r="N125" s="41"/>
      <c r="O125" s="41"/>
      <c r="P125" s="41"/>
      <c r="Q125" s="41"/>
      <c r="R125" s="41"/>
      <c r="S125" s="41"/>
      <c r="T125" s="41"/>
      <c r="U125" s="43">
        <f t="shared" si="25"/>
        <v>278.8082</v>
      </c>
      <c r="V125" s="86">
        <f t="shared" si="26"/>
        <v>3104.9114054427901</v>
      </c>
      <c r="W125" s="86"/>
      <c r="X125" s="86"/>
      <c r="Y125" s="86">
        <v>205</v>
      </c>
      <c r="Z125" s="42">
        <f t="shared" ref="Z125" si="28">+Y125*F125</f>
        <v>2282.9559464742138</v>
      </c>
      <c r="AA125" s="42"/>
      <c r="AB125" s="42"/>
      <c r="AC125" s="44">
        <f t="shared" si="24"/>
        <v>278.161</v>
      </c>
      <c r="AD125" s="44">
        <f t="shared" si="24"/>
        <v>3097.7039464742138</v>
      </c>
      <c r="AE125" s="45" t="s">
        <v>116</v>
      </c>
      <c r="AF125" s="45">
        <v>23.841999999999999</v>
      </c>
      <c r="AG125" s="45">
        <v>265.55</v>
      </c>
      <c r="AH125" s="45">
        <v>86.994</v>
      </c>
      <c r="AI125" s="45">
        <v>968.79</v>
      </c>
      <c r="AJ125" s="45">
        <v>8.4420000000000002</v>
      </c>
      <c r="AK125" s="45">
        <v>93.97</v>
      </c>
      <c r="AL125" s="45"/>
      <c r="AM125" s="45"/>
      <c r="AN125" s="45"/>
      <c r="AO125" s="45"/>
      <c r="AP125" s="45"/>
      <c r="AQ125" s="45"/>
      <c r="AR125" s="45"/>
      <c r="AS125" s="45"/>
      <c r="AT125" s="45"/>
      <c r="AU125" s="45"/>
      <c r="AV125" s="45"/>
      <c r="AW125" s="45"/>
      <c r="AX125" s="45"/>
      <c r="AY125" s="45"/>
      <c r="AZ125" s="85"/>
      <c r="BA125" s="47"/>
      <c r="BB125" s="47"/>
      <c r="BC125" s="47"/>
      <c r="BD125" s="47">
        <v>7.4530000000000003</v>
      </c>
      <c r="BE125" s="47">
        <v>83</v>
      </c>
      <c r="BF125" s="47"/>
      <c r="BG125" s="47"/>
      <c r="BH125" s="47"/>
      <c r="BI125" s="47"/>
      <c r="BJ125" s="47"/>
      <c r="BK125" s="47"/>
      <c r="BL125" s="47"/>
      <c r="BM125" s="47"/>
      <c r="BN125" s="47"/>
      <c r="BO125" s="47"/>
      <c r="BP125" s="48">
        <f t="shared" si="12"/>
        <v>126.73099999999999</v>
      </c>
      <c r="BQ125" s="49">
        <f t="shared" si="15"/>
        <v>253.46199999999999</v>
      </c>
      <c r="BR125" s="50">
        <f t="shared" si="13"/>
        <v>1411.31</v>
      </c>
      <c r="BS125" s="49">
        <f t="shared" si="16"/>
        <v>2822.62</v>
      </c>
    </row>
    <row r="126" spans="1:71" s="9" customFormat="1" ht="17" x14ac:dyDescent="0.15">
      <c r="A126" s="34" t="s">
        <v>329</v>
      </c>
      <c r="B126" s="35" t="s">
        <v>330</v>
      </c>
      <c r="C126" s="35" t="s">
        <v>331</v>
      </c>
      <c r="D126" s="36" t="s">
        <v>332</v>
      </c>
      <c r="E126" s="37" t="s">
        <v>53</v>
      </c>
      <c r="F126" s="38">
        <v>11.895</v>
      </c>
      <c r="G126" s="38">
        <v>30.106141326473306</v>
      </c>
      <c r="H126" s="38">
        <v>358.11255107839997</v>
      </c>
      <c r="I126" s="39">
        <v>15.517108028583442</v>
      </c>
      <c r="J126" s="40">
        <v>184.57600000000002</v>
      </c>
      <c r="K126" s="38"/>
      <c r="L126" s="41"/>
      <c r="M126" s="41"/>
      <c r="N126" s="41"/>
      <c r="O126" s="41"/>
      <c r="P126" s="41"/>
      <c r="Q126" s="41"/>
      <c r="R126" s="41"/>
      <c r="S126" s="41"/>
      <c r="T126" s="41"/>
      <c r="U126" s="43">
        <f>+G126*1.12</f>
        <v>33.718878285650106</v>
      </c>
      <c r="V126" s="86">
        <f t="shared" si="26"/>
        <v>401.08605720780798</v>
      </c>
      <c r="W126" s="86"/>
      <c r="X126" s="86"/>
      <c r="Y126" s="86"/>
      <c r="Z126" s="86"/>
      <c r="AA126" s="86">
        <v>18.2</v>
      </c>
      <c r="AB126" s="86">
        <f>+AA126*F126</f>
        <v>216.48899999999998</v>
      </c>
      <c r="AC126" s="44">
        <f t="shared" si="24"/>
        <v>33.717108028583439</v>
      </c>
      <c r="AD126" s="44">
        <f t="shared" si="24"/>
        <v>401.065</v>
      </c>
      <c r="AE126" s="45" t="s">
        <v>54</v>
      </c>
      <c r="AF126" s="45">
        <v>6.9272803699033219</v>
      </c>
      <c r="AG126" s="45">
        <v>82.4</v>
      </c>
      <c r="AH126" s="45"/>
      <c r="AI126" s="45"/>
      <c r="AJ126" s="45"/>
      <c r="AK126" s="45"/>
      <c r="AL126" s="45"/>
      <c r="AM126" s="45"/>
      <c r="AN126" s="45"/>
      <c r="AO126" s="45"/>
      <c r="AP126" s="45"/>
      <c r="AQ126" s="45"/>
      <c r="AR126" s="45">
        <v>8.1257902933333312</v>
      </c>
      <c r="AS126" s="45">
        <v>96.656275539199981</v>
      </c>
      <c r="AT126" s="45"/>
      <c r="AU126" s="45"/>
      <c r="AV126" s="45"/>
      <c r="AW126" s="45"/>
      <c r="AX126" s="45"/>
      <c r="AY126" s="45"/>
      <c r="AZ126" s="85"/>
      <c r="BA126" s="47"/>
      <c r="BB126" s="47"/>
      <c r="BC126" s="47"/>
      <c r="BD126" s="47"/>
      <c r="BE126" s="47"/>
      <c r="BF126" s="47"/>
      <c r="BG126" s="47"/>
      <c r="BH126" s="47"/>
      <c r="BI126" s="47"/>
      <c r="BJ126" s="47"/>
      <c r="BK126" s="47"/>
      <c r="BL126" s="47"/>
      <c r="BM126" s="47"/>
      <c r="BN126" s="47"/>
      <c r="BO126" s="47"/>
      <c r="BP126" s="48">
        <f t="shared" si="12"/>
        <v>15.053070663236653</v>
      </c>
      <c r="BQ126" s="49">
        <f t="shared" si="15"/>
        <v>30.106141326473306</v>
      </c>
      <c r="BR126" s="50">
        <f t="shared" si="13"/>
        <v>179.05627553919999</v>
      </c>
      <c r="BS126" s="49">
        <f t="shared" si="16"/>
        <v>358.11255107839997</v>
      </c>
    </row>
    <row r="127" spans="1:71" s="9" customFormat="1" ht="17" x14ac:dyDescent="0.15">
      <c r="A127" s="34" t="s">
        <v>333</v>
      </c>
      <c r="B127" s="35" t="s">
        <v>233</v>
      </c>
      <c r="C127" s="35" t="s">
        <v>331</v>
      </c>
      <c r="D127" s="36" t="s">
        <v>334</v>
      </c>
      <c r="E127" s="37" t="s">
        <v>53</v>
      </c>
      <c r="F127" s="38">
        <v>11.55</v>
      </c>
      <c r="G127" s="38">
        <v>3016.703112245194</v>
      </c>
      <c r="H127" s="38">
        <v>35040.369965311998</v>
      </c>
      <c r="I127" s="39">
        <v>3321.1253333333334</v>
      </c>
      <c r="J127" s="40">
        <v>38358.997600000002</v>
      </c>
      <c r="K127" s="38"/>
      <c r="L127" s="41"/>
      <c r="M127" s="41"/>
      <c r="N127" s="41"/>
      <c r="O127" s="41"/>
      <c r="P127" s="41"/>
      <c r="Q127" s="41"/>
      <c r="R127" s="41"/>
      <c r="S127" s="41"/>
      <c r="T127" s="41"/>
      <c r="U127" s="43">
        <f t="shared" ref="U127:U133" si="29">+G127*1.12</f>
        <v>3378.7074857146176</v>
      </c>
      <c r="V127" s="86">
        <f t="shared" si="26"/>
        <v>39024.071460003834</v>
      </c>
      <c r="W127" s="86"/>
      <c r="X127" s="86"/>
      <c r="Y127" s="86">
        <v>1230</v>
      </c>
      <c r="Z127" s="42">
        <f t="shared" ref="Z127:Z128" si="30">+Y127*F127</f>
        <v>14206.5</v>
      </c>
      <c r="AA127" s="42">
        <v>58</v>
      </c>
      <c r="AB127" s="42">
        <f>+AA127*F127</f>
        <v>669.90000000000009</v>
      </c>
      <c r="AC127" s="44">
        <f t="shared" si="24"/>
        <v>3379.1253333333334</v>
      </c>
      <c r="AD127" s="44">
        <f t="shared" si="24"/>
        <v>39028.897600000004</v>
      </c>
      <c r="AE127" s="45" t="s">
        <v>54</v>
      </c>
      <c r="AF127" s="45"/>
      <c r="AG127" s="45"/>
      <c r="AH127" s="45">
        <v>554.48658008658003</v>
      </c>
      <c r="AI127" s="45">
        <v>6404.32</v>
      </c>
      <c r="AJ127" s="45"/>
      <c r="AK127" s="45"/>
      <c r="AL127" s="45"/>
      <c r="AM127" s="45"/>
      <c r="AN127" s="45">
        <v>1.2536796536796537</v>
      </c>
      <c r="AO127" s="45">
        <v>14.48</v>
      </c>
      <c r="AP127" s="45"/>
      <c r="AQ127" s="45"/>
      <c r="AR127" s="45"/>
      <c r="AS127" s="45"/>
      <c r="AT127" s="45"/>
      <c r="AU127" s="45"/>
      <c r="AV127" s="45">
        <v>190.52121212121216</v>
      </c>
      <c r="AW127" s="45">
        <v>2200.5200000000004</v>
      </c>
      <c r="AX127" s="45">
        <v>212.04502164502156</v>
      </c>
      <c r="AY127" s="45">
        <v>2449.119999999999</v>
      </c>
      <c r="AZ127" s="85">
        <v>185.25194805194803</v>
      </c>
      <c r="BA127" s="47">
        <v>2139.66</v>
      </c>
      <c r="BB127" s="47">
        <v>205.03700928000001</v>
      </c>
      <c r="BC127" s="47">
        <v>2463.5574571840002</v>
      </c>
      <c r="BD127" s="47"/>
      <c r="BE127" s="47"/>
      <c r="BF127" s="47"/>
      <c r="BG127" s="47"/>
      <c r="BH127" s="47"/>
      <c r="BI127" s="47"/>
      <c r="BJ127" s="47">
        <v>20.308642244155841</v>
      </c>
      <c r="BK127" s="47">
        <v>237.90932735999999</v>
      </c>
      <c r="BL127" s="47">
        <v>110.74042368000003</v>
      </c>
      <c r="BM127" s="47">
        <v>1279.0518935040004</v>
      </c>
      <c r="BN127" s="47">
        <v>28.707039359999996</v>
      </c>
      <c r="BO127" s="47">
        <v>331.566304608</v>
      </c>
      <c r="BP127" s="48">
        <f t="shared" si="12"/>
        <v>1508.351556122597</v>
      </c>
      <c r="BQ127" s="49">
        <f t="shared" si="15"/>
        <v>3016.703112245194</v>
      </c>
      <c r="BR127" s="50">
        <f t="shared" si="13"/>
        <v>17520.184982655999</v>
      </c>
      <c r="BS127" s="49">
        <f t="shared" si="16"/>
        <v>35040.369965311998</v>
      </c>
    </row>
    <row r="128" spans="1:71" s="9" customFormat="1" ht="17" x14ac:dyDescent="0.15">
      <c r="A128" s="34" t="s">
        <v>335</v>
      </c>
      <c r="B128" s="35" t="s">
        <v>330</v>
      </c>
      <c r="C128" s="35" t="s">
        <v>336</v>
      </c>
      <c r="D128" s="36" t="s">
        <v>332</v>
      </c>
      <c r="E128" s="37" t="s">
        <v>53</v>
      </c>
      <c r="F128" s="38">
        <v>79.3</v>
      </c>
      <c r="G128" s="38">
        <v>2.3379590012610341</v>
      </c>
      <c r="H128" s="38">
        <v>185.40014879999998</v>
      </c>
      <c r="I128" s="39">
        <v>3.5</v>
      </c>
      <c r="J128" s="40">
        <v>277.54999999999995</v>
      </c>
      <c r="K128" s="38"/>
      <c r="L128" s="41"/>
      <c r="M128" s="41"/>
      <c r="N128" s="41"/>
      <c r="O128" s="41"/>
      <c r="P128" s="41"/>
      <c r="Q128" s="41"/>
      <c r="R128" s="41"/>
      <c r="S128" s="41"/>
      <c r="T128" s="41"/>
      <c r="U128" s="43">
        <v>1.5</v>
      </c>
      <c r="V128" s="86">
        <f t="shared" si="26"/>
        <v>118.94999999999999</v>
      </c>
      <c r="W128" s="86"/>
      <c r="X128" s="86"/>
      <c r="Y128" s="86">
        <v>2</v>
      </c>
      <c r="Z128" s="42">
        <f t="shared" si="30"/>
        <v>158.6</v>
      </c>
      <c r="AA128" s="42"/>
      <c r="AB128" s="42"/>
      <c r="AC128" s="44">
        <f t="shared" si="24"/>
        <v>3.5</v>
      </c>
      <c r="AD128" s="44">
        <f t="shared" si="24"/>
        <v>277.54999999999995</v>
      </c>
      <c r="AE128" s="45" t="s">
        <v>116</v>
      </c>
      <c r="AF128" s="55">
        <v>0.12912988650693569</v>
      </c>
      <c r="AG128" s="45">
        <v>10.24</v>
      </c>
      <c r="AH128" s="45"/>
      <c r="AI128" s="45"/>
      <c r="AJ128" s="59">
        <v>1.0190416141235814</v>
      </c>
      <c r="AK128" s="45">
        <v>80.81</v>
      </c>
      <c r="AL128" s="45"/>
      <c r="AM128" s="45"/>
      <c r="AN128" s="45"/>
      <c r="AO128" s="45"/>
      <c r="AP128" s="45"/>
      <c r="AQ128" s="45"/>
      <c r="AR128" s="59">
        <v>2.0807999999999997E-2</v>
      </c>
      <c r="AS128" s="59">
        <v>1.6500743999999998</v>
      </c>
      <c r="AT128" s="59"/>
      <c r="AU128" s="59"/>
      <c r="AV128" s="59"/>
      <c r="AW128" s="59"/>
      <c r="AX128" s="59"/>
      <c r="AY128" s="59"/>
      <c r="AZ128" s="85"/>
      <c r="BA128" s="47"/>
      <c r="BB128" s="47"/>
      <c r="BC128" s="47"/>
      <c r="BD128" s="47"/>
      <c r="BE128" s="47"/>
      <c r="BF128" s="47"/>
      <c r="BG128" s="47"/>
      <c r="BH128" s="47"/>
      <c r="BI128" s="47"/>
      <c r="BJ128" s="47"/>
      <c r="BK128" s="47"/>
      <c r="BL128" s="47"/>
      <c r="BM128" s="47"/>
      <c r="BN128" s="47"/>
      <c r="BO128" s="47"/>
      <c r="BP128" s="48">
        <f t="shared" si="12"/>
        <v>1.168979500630517</v>
      </c>
      <c r="BQ128" s="49">
        <f t="shared" si="15"/>
        <v>2.3379590012610341</v>
      </c>
      <c r="BR128" s="50">
        <f t="shared" si="13"/>
        <v>92.700074399999991</v>
      </c>
      <c r="BS128" s="49">
        <f t="shared" si="16"/>
        <v>185.40014879999998</v>
      </c>
    </row>
    <row r="129" spans="1:71" s="9" customFormat="1" ht="17" x14ac:dyDescent="0.15">
      <c r="A129" s="34" t="s">
        <v>337</v>
      </c>
      <c r="B129" s="35" t="s">
        <v>233</v>
      </c>
      <c r="C129" s="35" t="s">
        <v>338</v>
      </c>
      <c r="D129" s="36" t="s">
        <v>334</v>
      </c>
      <c r="E129" s="37" t="s">
        <v>53</v>
      </c>
      <c r="F129" s="38">
        <v>92.4</v>
      </c>
      <c r="G129" s="38">
        <f t="shared" ref="G129:G137" si="31">+H129/F129</f>
        <v>23.663203463203462</v>
      </c>
      <c r="H129" s="38">
        <v>2186.48</v>
      </c>
      <c r="I129" s="39">
        <v>26.502787878787881</v>
      </c>
      <c r="J129" s="40">
        <v>2448.8576000000003</v>
      </c>
      <c r="K129" s="38"/>
      <c r="L129" s="41"/>
      <c r="M129" s="41"/>
      <c r="N129" s="41"/>
      <c r="O129" s="41"/>
      <c r="P129" s="41"/>
      <c r="Q129" s="41"/>
      <c r="R129" s="41"/>
      <c r="S129" s="41"/>
      <c r="T129" s="41"/>
      <c r="U129" s="43">
        <f t="shared" si="29"/>
        <v>26.502787878787881</v>
      </c>
      <c r="V129" s="86">
        <f t="shared" si="26"/>
        <v>2448.8576000000003</v>
      </c>
      <c r="W129" s="86"/>
      <c r="X129" s="86"/>
      <c r="Y129" s="86"/>
      <c r="Z129" s="86"/>
      <c r="AA129" s="86"/>
      <c r="AB129" s="86"/>
      <c r="AC129" s="44">
        <f t="shared" si="24"/>
        <v>26.502787878787881</v>
      </c>
      <c r="AD129" s="44">
        <f t="shared" si="24"/>
        <v>2448.8576000000003</v>
      </c>
      <c r="AE129" s="45" t="s">
        <v>222</v>
      </c>
      <c r="AF129" s="45"/>
      <c r="AG129" s="45"/>
      <c r="AH129" s="45"/>
      <c r="AI129" s="45"/>
      <c r="AJ129" s="45"/>
      <c r="AK129" s="45"/>
      <c r="AL129" s="45"/>
      <c r="AM129" s="45"/>
      <c r="AN129" s="45"/>
      <c r="AO129" s="45"/>
      <c r="AP129" s="45"/>
      <c r="AQ129" s="45"/>
      <c r="AR129" s="45"/>
      <c r="AS129" s="45"/>
      <c r="AT129" s="45"/>
      <c r="AU129" s="45"/>
      <c r="AV129" s="45">
        <v>11.831601731601731</v>
      </c>
      <c r="AW129" s="45">
        <v>1093.24</v>
      </c>
      <c r="AX129" s="45"/>
      <c r="AY129" s="45"/>
      <c r="AZ129" s="85"/>
      <c r="BA129" s="47"/>
      <c r="BB129" s="47"/>
      <c r="BC129" s="47"/>
      <c r="BD129" s="47"/>
      <c r="BE129" s="47"/>
      <c r="BF129" s="47"/>
      <c r="BG129" s="47"/>
      <c r="BH129" s="47"/>
      <c r="BI129" s="47"/>
      <c r="BJ129" s="47"/>
      <c r="BK129" s="47"/>
      <c r="BL129" s="47"/>
      <c r="BM129" s="47"/>
      <c r="BN129" s="47"/>
      <c r="BO129" s="47"/>
      <c r="BP129" s="48">
        <f t="shared" si="12"/>
        <v>11.831601731601731</v>
      </c>
      <c r="BQ129" s="49">
        <f t="shared" si="15"/>
        <v>23.663203463203462</v>
      </c>
      <c r="BR129" s="50">
        <f t="shared" si="13"/>
        <v>1093.24</v>
      </c>
      <c r="BS129" s="49">
        <f t="shared" si="16"/>
        <v>2186.48</v>
      </c>
    </row>
    <row r="130" spans="1:71" s="9" customFormat="1" ht="17" x14ac:dyDescent="0.15">
      <c r="A130" s="34" t="s">
        <v>339</v>
      </c>
      <c r="B130" s="35" t="s">
        <v>330</v>
      </c>
      <c r="C130" s="35" t="s">
        <v>340</v>
      </c>
      <c r="D130" s="36" t="s">
        <v>332</v>
      </c>
      <c r="E130" s="37" t="s">
        <v>53</v>
      </c>
      <c r="F130" s="38">
        <v>20.617999999999999</v>
      </c>
      <c r="G130" s="38">
        <v>2028.0752744859885</v>
      </c>
      <c r="H130" s="38">
        <v>41814.856009352108</v>
      </c>
      <c r="I130" s="39">
        <v>2008.4645261422061</v>
      </c>
      <c r="J130" s="40">
        <v>41410.5216</v>
      </c>
      <c r="K130" s="38"/>
      <c r="L130" s="41"/>
      <c r="M130" s="41"/>
      <c r="N130" s="41"/>
      <c r="O130" s="41"/>
      <c r="P130" s="41"/>
      <c r="Q130" s="41"/>
      <c r="R130" s="41"/>
      <c r="S130" s="41"/>
      <c r="T130" s="41"/>
      <c r="U130" s="43">
        <f t="shared" si="29"/>
        <v>2271.4443074243072</v>
      </c>
      <c r="V130" s="86">
        <f t="shared" si="26"/>
        <v>46832.638730474362</v>
      </c>
      <c r="W130" s="86"/>
      <c r="X130" s="86"/>
      <c r="Y130" s="86"/>
      <c r="Z130" s="86"/>
      <c r="AA130" s="86">
        <v>263</v>
      </c>
      <c r="AB130" s="86">
        <f>+AA130*F130</f>
        <v>5422.5339999999997</v>
      </c>
      <c r="AC130" s="44">
        <f t="shared" si="24"/>
        <v>2271.4645261422061</v>
      </c>
      <c r="AD130" s="44">
        <f t="shared" si="24"/>
        <v>46833.0556</v>
      </c>
      <c r="AE130" s="45" t="s">
        <v>54</v>
      </c>
      <c r="AF130" s="45">
        <v>777.50218255892912</v>
      </c>
      <c r="AG130" s="45">
        <v>16030.54</v>
      </c>
      <c r="AH130" s="45"/>
      <c r="AI130" s="45"/>
      <c r="AJ130" s="45"/>
      <c r="AK130" s="45"/>
      <c r="AL130" s="45"/>
      <c r="AM130" s="45"/>
      <c r="AN130" s="45"/>
      <c r="AO130" s="45"/>
      <c r="AP130" s="45"/>
      <c r="AQ130" s="45"/>
      <c r="AR130" s="45">
        <v>140.64381878192142</v>
      </c>
      <c r="AS130" s="45">
        <v>2899.794255645656</v>
      </c>
      <c r="AT130" s="45"/>
      <c r="AU130" s="45"/>
      <c r="AV130" s="45"/>
      <c r="AW130" s="45"/>
      <c r="AX130" s="45"/>
      <c r="AY130" s="45"/>
      <c r="AZ130" s="85"/>
      <c r="BA130" s="47"/>
      <c r="BB130" s="47"/>
      <c r="BC130" s="47"/>
      <c r="BD130" s="47"/>
      <c r="BE130" s="47"/>
      <c r="BF130" s="47"/>
      <c r="BG130" s="47"/>
      <c r="BH130" s="47"/>
      <c r="BI130" s="47"/>
      <c r="BJ130" s="47"/>
      <c r="BK130" s="47"/>
      <c r="BL130" s="47">
        <v>95.891635902143776</v>
      </c>
      <c r="BM130" s="47">
        <v>1977.0937490304004</v>
      </c>
      <c r="BN130" s="47"/>
      <c r="BO130" s="47"/>
      <c r="BP130" s="48">
        <f t="shared" si="12"/>
        <v>1014.0376372429943</v>
      </c>
      <c r="BQ130" s="49">
        <f t="shared" si="15"/>
        <v>2028.0752744859885</v>
      </c>
      <c r="BR130" s="50">
        <f t="shared" si="13"/>
        <v>20907.428004676054</v>
      </c>
      <c r="BS130" s="49">
        <f t="shared" si="16"/>
        <v>41814.856009352108</v>
      </c>
    </row>
    <row r="131" spans="1:71" s="9" customFormat="1" ht="17" x14ac:dyDescent="0.15">
      <c r="A131" s="34" t="s">
        <v>341</v>
      </c>
      <c r="B131" s="35" t="s">
        <v>233</v>
      </c>
      <c r="C131" s="35" t="s">
        <v>340</v>
      </c>
      <c r="D131" s="36" t="s">
        <v>334</v>
      </c>
      <c r="E131" s="37" t="s">
        <v>53</v>
      </c>
      <c r="F131" s="38">
        <v>20.020000000000003</v>
      </c>
      <c r="G131" s="38">
        <v>510.15007922669332</v>
      </c>
      <c r="H131" s="38">
        <v>10213.2045861184</v>
      </c>
      <c r="I131" s="39">
        <v>527.7113286713286</v>
      </c>
      <c r="J131" s="40">
        <v>10564.7808</v>
      </c>
      <c r="K131" s="38"/>
      <c r="L131" s="41"/>
      <c r="M131" s="41"/>
      <c r="N131" s="41"/>
      <c r="O131" s="41"/>
      <c r="P131" s="41"/>
      <c r="Q131" s="41"/>
      <c r="R131" s="41"/>
      <c r="S131" s="41"/>
      <c r="T131" s="41"/>
      <c r="U131" s="43">
        <f t="shared" si="29"/>
        <v>571.36808873389657</v>
      </c>
      <c r="V131" s="86">
        <f t="shared" si="26"/>
        <v>11438.789136452611</v>
      </c>
      <c r="W131" s="86"/>
      <c r="X131" s="86"/>
      <c r="Y131" s="86">
        <v>282</v>
      </c>
      <c r="Z131" s="42">
        <f t="shared" ref="Z131:Z132" si="32">+Y131*F131</f>
        <v>5645.6400000000012</v>
      </c>
      <c r="AA131" s="42">
        <v>44</v>
      </c>
      <c r="AB131" s="42">
        <f>+AA131*F131</f>
        <v>880.88000000000011</v>
      </c>
      <c r="AC131" s="44">
        <f t="shared" si="24"/>
        <v>571.7113286713286</v>
      </c>
      <c r="AD131" s="44">
        <f t="shared" si="24"/>
        <v>11445.660800000001</v>
      </c>
      <c r="AE131" s="45" t="s">
        <v>54</v>
      </c>
      <c r="AF131" s="45"/>
      <c r="AG131" s="45"/>
      <c r="AH131" s="45">
        <v>109.71528471528471</v>
      </c>
      <c r="AI131" s="45">
        <v>2196.5</v>
      </c>
      <c r="AJ131" s="45"/>
      <c r="AK131" s="45"/>
      <c r="AL131" s="45"/>
      <c r="AM131" s="45"/>
      <c r="AN131" s="45"/>
      <c r="AO131" s="45"/>
      <c r="AP131" s="45"/>
      <c r="AQ131" s="45"/>
      <c r="AR131" s="45"/>
      <c r="AS131" s="45"/>
      <c r="AT131" s="45"/>
      <c r="AU131" s="45"/>
      <c r="AV131" s="45">
        <v>38.383616383616392</v>
      </c>
      <c r="AW131" s="45">
        <v>768.44000000000017</v>
      </c>
      <c r="AX131" s="45">
        <v>40.742757242757236</v>
      </c>
      <c r="AY131" s="45">
        <v>815.66999999999985</v>
      </c>
      <c r="AZ131" s="85">
        <v>35.668281111688302</v>
      </c>
      <c r="BA131" s="47">
        <v>714.0789878559998</v>
      </c>
      <c r="BB131" s="47">
        <v>30.565100160000004</v>
      </c>
      <c r="BC131" s="47">
        <v>611.91330520320014</v>
      </c>
      <c r="BD131" s="47"/>
      <c r="BE131" s="47"/>
      <c r="BF131" s="47"/>
      <c r="BG131" s="47"/>
      <c r="BH131" s="47"/>
      <c r="BI131" s="47"/>
      <c r="BJ131" s="47"/>
      <c r="BK131" s="47"/>
      <c r="BL131" s="47"/>
      <c r="BM131" s="47"/>
      <c r="BN131" s="47"/>
      <c r="BO131" s="47"/>
      <c r="BP131" s="48">
        <f t="shared" si="12"/>
        <v>255.07503961334666</v>
      </c>
      <c r="BQ131" s="49">
        <f t="shared" si="15"/>
        <v>510.15007922669332</v>
      </c>
      <c r="BR131" s="50">
        <f t="shared" si="13"/>
        <v>5106.6022930591998</v>
      </c>
      <c r="BS131" s="49">
        <f t="shared" si="16"/>
        <v>10213.2045861184</v>
      </c>
    </row>
    <row r="132" spans="1:71" s="9" customFormat="1" ht="17" x14ac:dyDescent="0.15">
      <c r="A132" s="34" t="s">
        <v>342</v>
      </c>
      <c r="B132" s="35" t="s">
        <v>233</v>
      </c>
      <c r="C132" s="35" t="s">
        <v>340</v>
      </c>
      <c r="D132" s="36" t="s">
        <v>343</v>
      </c>
      <c r="E132" s="37" t="s">
        <v>53</v>
      </c>
      <c r="F132" s="38">
        <v>20.617999999999999</v>
      </c>
      <c r="G132" s="38">
        <v>1534.8094561217192</v>
      </c>
      <c r="H132" s="38">
        <v>31644.701366317611</v>
      </c>
      <c r="I132" s="39">
        <v>1707.1893619722332</v>
      </c>
      <c r="J132" s="40">
        <v>35198.830265143501</v>
      </c>
      <c r="K132" s="38"/>
      <c r="L132" s="41"/>
      <c r="M132" s="41"/>
      <c r="N132" s="41"/>
      <c r="O132" s="41"/>
      <c r="P132" s="41"/>
      <c r="Q132" s="41"/>
      <c r="R132" s="41"/>
      <c r="S132" s="41"/>
      <c r="T132" s="41"/>
      <c r="U132" s="43">
        <f t="shared" si="29"/>
        <v>1718.9865908563256</v>
      </c>
      <c r="V132" s="86">
        <f t="shared" si="26"/>
        <v>35442.065530275722</v>
      </c>
      <c r="W132" s="86"/>
      <c r="X132" s="86"/>
      <c r="Y132" s="86">
        <v>991</v>
      </c>
      <c r="Z132" s="42">
        <f t="shared" si="32"/>
        <v>20432.437999999998</v>
      </c>
      <c r="AA132" s="42">
        <v>12</v>
      </c>
      <c r="AB132" s="42">
        <f>+AA132*F132</f>
        <v>247.416</v>
      </c>
      <c r="AC132" s="44">
        <f t="shared" si="24"/>
        <v>1719.1893619722332</v>
      </c>
      <c r="AD132" s="44">
        <f t="shared" si="24"/>
        <v>35446.246265143498</v>
      </c>
      <c r="AE132" s="45" t="s">
        <v>54</v>
      </c>
      <c r="AF132" s="45"/>
      <c r="AG132" s="45"/>
      <c r="AH132" s="45"/>
      <c r="AI132" s="45"/>
      <c r="AJ132" s="45">
        <v>446.39489766223687</v>
      </c>
      <c r="AK132" s="45">
        <v>9203.77</v>
      </c>
      <c r="AL132" s="45"/>
      <c r="AM132" s="45"/>
      <c r="AN132" s="45"/>
      <c r="AO132" s="45"/>
      <c r="AP132" s="45"/>
      <c r="AQ132" s="45"/>
      <c r="AR132" s="45"/>
      <c r="AS132" s="45"/>
      <c r="AT132" s="45">
        <v>226.20069650101874</v>
      </c>
      <c r="AU132" s="45">
        <v>4663.8059604580048</v>
      </c>
      <c r="AV132" s="45"/>
      <c r="AW132" s="45"/>
      <c r="AX132" s="45"/>
      <c r="AY132" s="45"/>
      <c r="AZ132" s="85"/>
      <c r="BA132" s="47"/>
      <c r="BB132" s="47"/>
      <c r="BC132" s="47"/>
      <c r="BD132" s="47"/>
      <c r="BE132" s="47"/>
      <c r="BF132" s="47"/>
      <c r="BG132" s="47"/>
      <c r="BH132" s="47"/>
      <c r="BI132" s="47"/>
      <c r="BJ132" s="47"/>
      <c r="BK132" s="47"/>
      <c r="BL132" s="47">
        <v>94.809133897604028</v>
      </c>
      <c r="BM132" s="47">
        <v>1954.7747227007999</v>
      </c>
      <c r="BN132" s="47"/>
      <c r="BO132" s="47"/>
      <c r="BP132" s="48">
        <f t="shared" si="12"/>
        <v>767.40472806085961</v>
      </c>
      <c r="BQ132" s="49">
        <f t="shared" si="15"/>
        <v>1534.8094561217192</v>
      </c>
      <c r="BR132" s="50">
        <f t="shared" si="13"/>
        <v>15822.350683158806</v>
      </c>
      <c r="BS132" s="49">
        <f t="shared" si="16"/>
        <v>31644.701366317611</v>
      </c>
    </row>
    <row r="133" spans="1:71" s="9" customFormat="1" ht="17" x14ac:dyDescent="0.15">
      <c r="A133" s="34" t="s">
        <v>344</v>
      </c>
      <c r="B133" s="35" t="s">
        <v>330</v>
      </c>
      <c r="C133" s="35" t="s">
        <v>345</v>
      </c>
      <c r="D133" s="36" t="s">
        <v>332</v>
      </c>
      <c r="E133" s="37" t="s">
        <v>53</v>
      </c>
      <c r="F133" s="38">
        <v>15.86</v>
      </c>
      <c r="G133" s="38">
        <v>745.06983934426262</v>
      </c>
      <c r="H133" s="38">
        <v>11816.807652000005</v>
      </c>
      <c r="I133" s="39">
        <v>608.48907944514508</v>
      </c>
      <c r="J133" s="40">
        <v>9650.6368000000002</v>
      </c>
      <c r="K133" s="38"/>
      <c r="L133" s="41"/>
      <c r="M133" s="41"/>
      <c r="N133" s="41"/>
      <c r="O133" s="41"/>
      <c r="P133" s="41"/>
      <c r="Q133" s="41"/>
      <c r="R133" s="41"/>
      <c r="S133" s="41"/>
      <c r="T133" s="41"/>
      <c r="U133" s="43">
        <f t="shared" si="29"/>
        <v>834.47822006557419</v>
      </c>
      <c r="V133" s="86">
        <f t="shared" si="26"/>
        <v>13234.824570240005</v>
      </c>
      <c r="W133" s="86"/>
      <c r="X133" s="86"/>
      <c r="Y133" s="86"/>
      <c r="Z133" s="86"/>
      <c r="AA133" s="86">
        <v>226</v>
      </c>
      <c r="AB133" s="86">
        <f>+AA133*F133</f>
        <v>3584.3599999999997</v>
      </c>
      <c r="AC133" s="44">
        <f t="shared" si="24"/>
        <v>834.48907944514508</v>
      </c>
      <c r="AD133" s="44">
        <f t="shared" si="24"/>
        <v>13234.996800000001</v>
      </c>
      <c r="AE133" s="45" t="s">
        <v>54</v>
      </c>
      <c r="AF133" s="45">
        <v>372.45081967213133</v>
      </c>
      <c r="AG133" s="45">
        <v>5907.0700000000024</v>
      </c>
      <c r="AH133" s="45"/>
      <c r="AI133" s="45"/>
      <c r="AJ133" s="45"/>
      <c r="AK133" s="45"/>
      <c r="AL133" s="45"/>
      <c r="AM133" s="45"/>
      <c r="AN133" s="45"/>
      <c r="AO133" s="45"/>
      <c r="AP133" s="45"/>
      <c r="AQ133" s="45"/>
      <c r="AR133" s="59">
        <v>8.4099999999999994E-2</v>
      </c>
      <c r="AS133" s="59">
        <v>1.333826</v>
      </c>
      <c r="AT133" s="59"/>
      <c r="AU133" s="59"/>
      <c r="AV133" s="59"/>
      <c r="AW133" s="59"/>
      <c r="AX133" s="59"/>
      <c r="AY133" s="59"/>
      <c r="AZ133" s="85"/>
      <c r="BA133" s="47"/>
      <c r="BB133" s="47"/>
      <c r="BC133" s="47"/>
      <c r="BD133" s="47"/>
      <c r="BE133" s="47"/>
      <c r="BF133" s="47"/>
      <c r="BG133" s="47"/>
      <c r="BH133" s="47"/>
      <c r="BI133" s="47"/>
      <c r="BJ133" s="47"/>
      <c r="BK133" s="47"/>
      <c r="BL133" s="47"/>
      <c r="BM133" s="47"/>
      <c r="BN133" s="47"/>
      <c r="BO133" s="47"/>
      <c r="BP133" s="48">
        <f t="shared" si="12"/>
        <v>372.53491967213131</v>
      </c>
      <c r="BQ133" s="49">
        <f t="shared" si="15"/>
        <v>745.06983934426262</v>
      </c>
      <c r="BR133" s="50">
        <f t="shared" si="13"/>
        <v>5908.4038260000025</v>
      </c>
      <c r="BS133" s="49">
        <f t="shared" si="16"/>
        <v>11816.807652000005</v>
      </c>
    </row>
    <row r="134" spans="1:71" s="9" customFormat="1" ht="17" x14ac:dyDescent="0.15">
      <c r="A134" s="34" t="s">
        <v>346</v>
      </c>
      <c r="B134" s="35" t="s">
        <v>233</v>
      </c>
      <c r="C134" s="35" t="s">
        <v>347</v>
      </c>
      <c r="D134" s="36" t="s">
        <v>334</v>
      </c>
      <c r="E134" s="37" t="s">
        <v>53</v>
      </c>
      <c r="F134" s="38">
        <v>15.4</v>
      </c>
      <c r="G134" s="38">
        <v>11.47147971948052</v>
      </c>
      <c r="H134" s="38">
        <v>178.41678768</v>
      </c>
      <c r="I134" s="39">
        <v>2.9767999999999999</v>
      </c>
      <c r="J134" s="40">
        <v>45.84272</v>
      </c>
      <c r="K134" s="38"/>
      <c r="L134" s="41"/>
      <c r="M134" s="41"/>
      <c r="N134" s="41"/>
      <c r="O134" s="41"/>
      <c r="P134" s="41"/>
      <c r="Q134" s="41"/>
      <c r="R134" s="41"/>
      <c r="S134" s="41"/>
      <c r="T134" s="41"/>
      <c r="U134" s="43">
        <f>1.22*2.44</f>
        <v>2.9767999999999999</v>
      </c>
      <c r="V134" s="86">
        <f t="shared" si="26"/>
        <v>45.84272</v>
      </c>
      <c r="W134" s="86"/>
      <c r="X134" s="86"/>
      <c r="Y134" s="86"/>
      <c r="Z134" s="86"/>
      <c r="AA134" s="86">
        <v>10</v>
      </c>
      <c r="AB134" s="86">
        <f>+AA134*F134</f>
        <v>154</v>
      </c>
      <c r="AC134" s="44">
        <f t="shared" si="24"/>
        <v>12.976800000000001</v>
      </c>
      <c r="AD134" s="44">
        <f t="shared" si="24"/>
        <v>199.84271999999999</v>
      </c>
      <c r="AE134" s="45" t="s">
        <v>54</v>
      </c>
      <c r="AF134" s="45"/>
      <c r="AG134" s="45"/>
      <c r="AH134" s="45"/>
      <c r="AI134" s="45"/>
      <c r="AJ134" s="45"/>
      <c r="AK134" s="45"/>
      <c r="AL134" s="45"/>
      <c r="AM134" s="45"/>
      <c r="AN134" s="45"/>
      <c r="AO134" s="45"/>
      <c r="AP134" s="45"/>
      <c r="AQ134" s="45"/>
      <c r="AR134" s="45"/>
      <c r="AS134" s="45"/>
      <c r="AT134" s="45"/>
      <c r="AU134" s="45"/>
      <c r="AV134" s="55">
        <v>0.11363636363636363</v>
      </c>
      <c r="AW134" s="55">
        <v>1.75</v>
      </c>
      <c r="AX134" s="55">
        <v>6.2337662337662331E-2</v>
      </c>
      <c r="AY134" s="55">
        <v>0.96</v>
      </c>
      <c r="AZ134" s="87">
        <v>0.14145414545454546</v>
      </c>
      <c r="BA134" s="88">
        <v>2.17839384</v>
      </c>
      <c r="BB134" s="88">
        <v>0.93831168831168821</v>
      </c>
      <c r="BC134" s="88">
        <v>14.45</v>
      </c>
      <c r="BD134" s="88"/>
      <c r="BE134" s="88"/>
      <c r="BF134" s="88"/>
      <c r="BG134" s="88"/>
      <c r="BH134" s="88"/>
      <c r="BI134" s="88"/>
      <c r="BJ134" s="88">
        <v>4.4800000000000004</v>
      </c>
      <c r="BK134" s="88">
        <v>69.87</v>
      </c>
      <c r="BL134" s="88"/>
      <c r="BM134" s="88"/>
      <c r="BN134" s="88"/>
      <c r="BO134" s="88"/>
      <c r="BP134" s="48">
        <f t="shared" ref="BP134:BP197" si="33">+AF134+AH134+AJ134+AL134+AN134+AP134+AR134+AT134+AV134+AX134+AZ134+BB134+BD134+BF134+BH134+BJ134+BL134+BN134</f>
        <v>5.73573985974026</v>
      </c>
      <c r="BQ134" s="49">
        <f t="shared" si="15"/>
        <v>11.47147971948052</v>
      </c>
      <c r="BR134" s="50">
        <f t="shared" ref="BR134:BR197" si="34">+AG134+AI134+AK134+AM134+AO134+AQ134+AS134+AU134+AW134+AY134+BA134+BC134+BE134+BG134+BI134+BK134+BM134+BO134</f>
        <v>89.208393839999999</v>
      </c>
      <c r="BS134" s="49">
        <f t="shared" si="16"/>
        <v>178.41678768</v>
      </c>
    </row>
    <row r="135" spans="1:71" s="9" customFormat="1" ht="17" x14ac:dyDescent="0.15">
      <c r="A135" s="34" t="s">
        <v>348</v>
      </c>
      <c r="B135" s="35" t="s">
        <v>330</v>
      </c>
      <c r="C135" s="35" t="s">
        <v>60</v>
      </c>
      <c r="D135" s="36" t="s">
        <v>332</v>
      </c>
      <c r="E135" s="37" t="s">
        <v>53</v>
      </c>
      <c r="F135" s="38">
        <v>23.79</v>
      </c>
      <c r="G135" s="38">
        <v>41.172703615300549</v>
      </c>
      <c r="H135" s="38">
        <v>979.49861900800011</v>
      </c>
      <c r="I135" s="39">
        <v>45</v>
      </c>
      <c r="J135" s="40">
        <v>1070.55</v>
      </c>
      <c r="K135" s="38"/>
      <c r="L135" s="41"/>
      <c r="M135" s="41"/>
      <c r="N135" s="41"/>
      <c r="O135" s="41"/>
      <c r="P135" s="41"/>
      <c r="Q135" s="41"/>
      <c r="R135" s="41"/>
      <c r="S135" s="41"/>
      <c r="T135" s="41"/>
      <c r="U135" s="43">
        <v>45</v>
      </c>
      <c r="V135" s="86">
        <f t="shared" si="26"/>
        <v>1070.55</v>
      </c>
      <c r="W135" s="86"/>
      <c r="X135" s="86"/>
      <c r="Y135" s="86"/>
      <c r="Z135" s="86"/>
      <c r="AA135" s="86">
        <v>2</v>
      </c>
      <c r="AB135" s="86">
        <f t="shared" ref="AB135:AB136" si="35">+AA135*F135</f>
        <v>47.58</v>
      </c>
      <c r="AC135" s="44">
        <f t="shared" si="24"/>
        <v>47</v>
      </c>
      <c r="AD135" s="44">
        <f t="shared" si="24"/>
        <v>1118.1299999999999</v>
      </c>
      <c r="AE135" s="45" t="s">
        <v>54</v>
      </c>
      <c r="AF135" s="45">
        <v>0.6502732240437159</v>
      </c>
      <c r="AG135" s="45">
        <v>15.47</v>
      </c>
      <c r="AH135" s="45"/>
      <c r="AI135" s="45"/>
      <c r="AJ135" s="45"/>
      <c r="AK135" s="45"/>
      <c r="AL135" s="45"/>
      <c r="AM135" s="45"/>
      <c r="AN135" s="45"/>
      <c r="AO135" s="45"/>
      <c r="AP135" s="45"/>
      <c r="AQ135" s="45"/>
      <c r="AR135" s="45"/>
      <c r="AS135" s="45"/>
      <c r="AT135" s="45"/>
      <c r="AU135" s="45"/>
      <c r="AV135" s="45"/>
      <c r="AW135" s="45"/>
      <c r="AX135" s="45"/>
      <c r="AY135" s="45"/>
      <c r="AZ135" s="85"/>
      <c r="BA135" s="47"/>
      <c r="BB135" s="47"/>
      <c r="BC135" s="47"/>
      <c r="BD135" s="47"/>
      <c r="BE135" s="47"/>
      <c r="BF135" s="47"/>
      <c r="BG135" s="47"/>
      <c r="BH135" s="47"/>
      <c r="BI135" s="47"/>
      <c r="BJ135" s="47"/>
      <c r="BK135" s="47"/>
      <c r="BL135" s="47">
        <v>19.936078583606559</v>
      </c>
      <c r="BM135" s="47">
        <v>474.27930950400003</v>
      </c>
      <c r="BN135" s="47"/>
      <c r="BO135" s="47"/>
      <c r="BP135" s="48">
        <f t="shared" si="33"/>
        <v>20.586351807650274</v>
      </c>
      <c r="BQ135" s="49">
        <f t="shared" si="15"/>
        <v>41.172703615300549</v>
      </c>
      <c r="BR135" s="50">
        <f t="shared" si="34"/>
        <v>489.74930950400005</v>
      </c>
      <c r="BS135" s="49">
        <f t="shared" si="16"/>
        <v>979.49861900800011</v>
      </c>
    </row>
    <row r="136" spans="1:71" s="9" customFormat="1" ht="17" x14ac:dyDescent="0.15">
      <c r="A136" s="34" t="s">
        <v>349</v>
      </c>
      <c r="B136" s="35" t="s">
        <v>233</v>
      </c>
      <c r="C136" s="35" t="s">
        <v>60</v>
      </c>
      <c r="D136" s="36" t="s">
        <v>334</v>
      </c>
      <c r="E136" s="37" t="s">
        <v>53</v>
      </c>
      <c r="F136" s="38">
        <v>23.099999999999998</v>
      </c>
      <c r="G136" s="38">
        <v>31.133148531255415</v>
      </c>
      <c r="H136" s="38">
        <v>716.96173107200002</v>
      </c>
      <c r="I136" s="39">
        <v>30</v>
      </c>
      <c r="J136" s="40">
        <v>692.99999999999989</v>
      </c>
      <c r="K136" s="38"/>
      <c r="L136" s="41"/>
      <c r="M136" s="41"/>
      <c r="N136" s="41"/>
      <c r="O136" s="41"/>
      <c r="P136" s="41"/>
      <c r="Q136" s="41"/>
      <c r="R136" s="41"/>
      <c r="S136" s="41"/>
      <c r="T136" s="41"/>
      <c r="U136" s="43">
        <v>30</v>
      </c>
      <c r="V136" s="86">
        <f t="shared" si="26"/>
        <v>692.99999999999989</v>
      </c>
      <c r="W136" s="86"/>
      <c r="X136" s="86"/>
      <c r="Y136" s="86"/>
      <c r="Z136" s="86"/>
      <c r="AA136" s="86">
        <v>5</v>
      </c>
      <c r="AB136" s="86">
        <f t="shared" si="35"/>
        <v>115.49999999999999</v>
      </c>
      <c r="AC136" s="44">
        <f t="shared" si="24"/>
        <v>35</v>
      </c>
      <c r="AD136" s="44">
        <f t="shared" si="24"/>
        <v>808.49999999999989</v>
      </c>
      <c r="AE136" s="45" t="s">
        <v>54</v>
      </c>
      <c r="AF136" s="45"/>
      <c r="AG136" s="45"/>
      <c r="AH136" s="45"/>
      <c r="AI136" s="45"/>
      <c r="AJ136" s="45"/>
      <c r="AK136" s="45"/>
      <c r="AL136" s="45"/>
      <c r="AM136" s="45"/>
      <c r="AN136" s="45"/>
      <c r="AO136" s="45"/>
      <c r="AP136" s="45"/>
      <c r="AQ136" s="45"/>
      <c r="AR136" s="45"/>
      <c r="AS136" s="45"/>
      <c r="AT136" s="45"/>
      <c r="AU136" s="45"/>
      <c r="AV136" s="59">
        <v>0.25411255411255412</v>
      </c>
      <c r="AW136" s="59">
        <v>5.87</v>
      </c>
      <c r="AX136" s="59">
        <v>0.22164502164502164</v>
      </c>
      <c r="AY136" s="59">
        <v>5.12</v>
      </c>
      <c r="AZ136" s="85">
        <v>0.12987012987012986</v>
      </c>
      <c r="BA136" s="47">
        <v>3</v>
      </c>
      <c r="BB136" s="47"/>
      <c r="BC136" s="47"/>
      <c r="BD136" s="47"/>
      <c r="BE136" s="47"/>
      <c r="BF136" s="47"/>
      <c r="BG136" s="47"/>
      <c r="BH136" s="47"/>
      <c r="BI136" s="47"/>
      <c r="BJ136" s="47">
        <v>4.37</v>
      </c>
      <c r="BK136" s="47">
        <v>99.84</v>
      </c>
      <c r="BL136" s="47">
        <v>10.590946560000001</v>
      </c>
      <c r="BM136" s="47">
        <v>244.65086553600003</v>
      </c>
      <c r="BN136" s="47"/>
      <c r="BO136" s="47"/>
      <c r="BP136" s="48">
        <f t="shared" si="33"/>
        <v>15.566574265627708</v>
      </c>
      <c r="BQ136" s="49">
        <f t="shared" ref="BQ136:BQ199" si="36">+BP136*2</f>
        <v>31.133148531255415</v>
      </c>
      <c r="BR136" s="50">
        <f t="shared" si="34"/>
        <v>358.48086553600001</v>
      </c>
      <c r="BS136" s="49">
        <f t="shared" ref="BS136:BS199" si="37">+BR136*2</f>
        <v>716.96173107200002</v>
      </c>
    </row>
    <row r="137" spans="1:71" s="9" customFormat="1" ht="17" x14ac:dyDescent="0.15">
      <c r="A137" s="34" t="s">
        <v>350</v>
      </c>
      <c r="B137" s="35" t="s">
        <v>233</v>
      </c>
      <c r="C137" s="35" t="s">
        <v>60</v>
      </c>
      <c r="D137" s="36" t="s">
        <v>351</v>
      </c>
      <c r="E137" s="37" t="s">
        <v>53</v>
      </c>
      <c r="F137" s="38">
        <v>23.79</v>
      </c>
      <c r="G137" s="38">
        <f t="shared" si="31"/>
        <v>31.212141130895336</v>
      </c>
      <c r="H137" s="38">
        <v>742.536837504</v>
      </c>
      <c r="I137" s="39">
        <v>34.957598066602777</v>
      </c>
      <c r="J137" s="40">
        <v>831.64125800448005</v>
      </c>
      <c r="K137" s="38"/>
      <c r="L137" s="41"/>
      <c r="M137" s="41"/>
      <c r="N137" s="41"/>
      <c r="O137" s="41"/>
      <c r="P137" s="41"/>
      <c r="Q137" s="41"/>
      <c r="R137" s="41"/>
      <c r="S137" s="41"/>
      <c r="T137" s="41"/>
      <c r="U137" s="43">
        <f>+G137*1.12</f>
        <v>34.957598066602777</v>
      </c>
      <c r="V137" s="86">
        <f t="shared" si="26"/>
        <v>831.64125800448005</v>
      </c>
      <c r="W137" s="86"/>
      <c r="X137" s="86"/>
      <c r="Y137" s="86"/>
      <c r="Z137" s="86"/>
      <c r="AA137" s="86"/>
      <c r="AB137" s="86"/>
      <c r="AC137" s="44">
        <f t="shared" si="24"/>
        <v>34.957598066602777</v>
      </c>
      <c r="AD137" s="44">
        <f t="shared" si="24"/>
        <v>831.64125800448005</v>
      </c>
      <c r="AE137" s="45" t="s">
        <v>222</v>
      </c>
      <c r="AF137" s="45"/>
      <c r="AG137" s="45"/>
      <c r="AH137" s="45"/>
      <c r="AI137" s="45"/>
      <c r="AJ137" s="45"/>
      <c r="AK137" s="45"/>
      <c r="AL137" s="45"/>
      <c r="AM137" s="45"/>
      <c r="AN137" s="45"/>
      <c r="AO137" s="45"/>
      <c r="AP137" s="45"/>
      <c r="AQ137" s="45"/>
      <c r="AR137" s="45"/>
      <c r="AS137" s="45"/>
      <c r="AT137" s="45"/>
      <c r="AU137" s="45"/>
      <c r="AV137" s="45"/>
      <c r="AW137" s="45"/>
      <c r="AX137" s="45"/>
      <c r="AY137" s="45"/>
      <c r="AZ137" s="85"/>
      <c r="BA137" s="47"/>
      <c r="BB137" s="47"/>
      <c r="BC137" s="47"/>
      <c r="BD137" s="47"/>
      <c r="BE137" s="47"/>
      <c r="BF137" s="47"/>
      <c r="BG137" s="47"/>
      <c r="BH137" s="47"/>
      <c r="BI137" s="47"/>
      <c r="BJ137" s="47"/>
      <c r="BK137" s="47"/>
      <c r="BL137" s="47">
        <v>15.606070565447666</v>
      </c>
      <c r="BM137" s="47">
        <v>371.268418752</v>
      </c>
      <c r="BN137" s="47"/>
      <c r="BO137" s="47"/>
      <c r="BP137" s="48">
        <f t="shared" si="33"/>
        <v>15.606070565447666</v>
      </c>
      <c r="BQ137" s="49">
        <f t="shared" si="36"/>
        <v>31.212141130895333</v>
      </c>
      <c r="BR137" s="50">
        <f t="shared" si="34"/>
        <v>371.268418752</v>
      </c>
      <c r="BS137" s="49">
        <f t="shared" si="37"/>
        <v>742.536837504</v>
      </c>
    </row>
    <row r="138" spans="1:71" s="9" customFormat="1" ht="17" x14ac:dyDescent="0.15">
      <c r="A138" s="34" t="s">
        <v>352</v>
      </c>
      <c r="B138" s="35" t="s">
        <v>330</v>
      </c>
      <c r="C138" s="35" t="s">
        <v>353</v>
      </c>
      <c r="D138" s="36" t="s">
        <v>354</v>
      </c>
      <c r="E138" s="37" t="s">
        <v>53</v>
      </c>
      <c r="F138" s="38">
        <v>47.58</v>
      </c>
      <c r="G138" s="38">
        <v>2.2698612862547294E-2</v>
      </c>
      <c r="H138" s="38">
        <v>2.7800000000000002</v>
      </c>
      <c r="I138" s="39">
        <v>0.5</v>
      </c>
      <c r="J138" s="40">
        <v>23.79</v>
      </c>
      <c r="K138" s="38"/>
      <c r="L138" s="41"/>
      <c r="M138" s="41"/>
      <c r="N138" s="41"/>
      <c r="O138" s="41"/>
      <c r="P138" s="41"/>
      <c r="Q138" s="41"/>
      <c r="R138" s="41"/>
      <c r="S138" s="41"/>
      <c r="T138" s="41"/>
      <c r="U138" s="43">
        <v>0.5</v>
      </c>
      <c r="V138" s="86">
        <f t="shared" si="26"/>
        <v>23.79</v>
      </c>
      <c r="W138" s="86"/>
      <c r="X138" s="86"/>
      <c r="Y138" s="86"/>
      <c r="Z138" s="86"/>
      <c r="AA138" s="86"/>
      <c r="AB138" s="86"/>
      <c r="AC138" s="44">
        <f t="shared" si="24"/>
        <v>0.5</v>
      </c>
      <c r="AD138" s="44">
        <f t="shared" si="24"/>
        <v>23.79</v>
      </c>
      <c r="AE138" s="45" t="s">
        <v>222</v>
      </c>
      <c r="AF138" s="45">
        <v>1.7864649012189995E-2</v>
      </c>
      <c r="AG138" s="45">
        <v>0.85</v>
      </c>
      <c r="AH138" s="45">
        <v>1.1349306431273647E-2</v>
      </c>
      <c r="AI138" s="45">
        <v>0.54</v>
      </c>
      <c r="AJ138" s="45"/>
      <c r="AK138" s="45"/>
      <c r="AL138" s="45"/>
      <c r="AM138" s="45"/>
      <c r="AN138" s="45"/>
      <c r="AO138" s="45"/>
      <c r="AP138" s="45"/>
      <c r="AQ138" s="45"/>
      <c r="AR138" s="45"/>
      <c r="AS138" s="45"/>
      <c r="AT138" s="45"/>
      <c r="AU138" s="45"/>
      <c r="AV138" s="45"/>
      <c r="AW138" s="45"/>
      <c r="AX138" s="45"/>
      <c r="AY138" s="45"/>
      <c r="AZ138" s="85"/>
      <c r="BA138" s="47"/>
      <c r="BB138" s="47"/>
      <c r="BC138" s="47"/>
      <c r="BD138" s="47"/>
      <c r="BE138" s="47"/>
      <c r="BF138" s="47"/>
      <c r="BG138" s="47"/>
      <c r="BH138" s="47"/>
      <c r="BI138" s="47"/>
      <c r="BJ138" s="47"/>
      <c r="BK138" s="47"/>
      <c r="BL138" s="47"/>
      <c r="BM138" s="47"/>
      <c r="BN138" s="47"/>
      <c r="BO138" s="47"/>
      <c r="BP138" s="48">
        <f t="shared" si="33"/>
        <v>2.9213955443463641E-2</v>
      </c>
      <c r="BQ138" s="49">
        <f t="shared" si="36"/>
        <v>5.8427910886927281E-2</v>
      </c>
      <c r="BR138" s="50">
        <f t="shared" si="34"/>
        <v>1.3900000000000001</v>
      </c>
      <c r="BS138" s="49">
        <f t="shared" si="37"/>
        <v>2.7800000000000002</v>
      </c>
    </row>
    <row r="139" spans="1:71" s="9" customFormat="1" ht="17" x14ac:dyDescent="0.15">
      <c r="A139" s="34" t="s">
        <v>355</v>
      </c>
      <c r="B139" s="35" t="s">
        <v>233</v>
      </c>
      <c r="C139" s="35" t="s">
        <v>198</v>
      </c>
      <c r="D139" s="36" t="s">
        <v>334</v>
      </c>
      <c r="E139" s="37" t="s">
        <v>53</v>
      </c>
      <c r="F139" s="38">
        <v>46.199999999999996</v>
      </c>
      <c r="G139" s="38">
        <v>1.5385281385281384</v>
      </c>
      <c r="H139" s="38">
        <v>71.08</v>
      </c>
      <c r="I139" s="39">
        <v>3</v>
      </c>
      <c r="J139" s="40">
        <v>138.6</v>
      </c>
      <c r="K139" s="38"/>
      <c r="L139" s="41"/>
      <c r="M139" s="41"/>
      <c r="N139" s="41"/>
      <c r="O139" s="41"/>
      <c r="P139" s="41"/>
      <c r="Q139" s="41"/>
      <c r="R139" s="41"/>
      <c r="S139" s="41"/>
      <c r="T139" s="41"/>
      <c r="U139" s="43">
        <v>3</v>
      </c>
      <c r="V139" s="86">
        <f t="shared" si="26"/>
        <v>138.6</v>
      </c>
      <c r="W139" s="86"/>
      <c r="X139" s="86"/>
      <c r="Y139" s="86"/>
      <c r="Z139" s="86"/>
      <c r="AA139" s="86"/>
      <c r="AB139" s="86"/>
      <c r="AC139" s="44">
        <f t="shared" si="24"/>
        <v>3</v>
      </c>
      <c r="AD139" s="44">
        <f t="shared" si="24"/>
        <v>138.6</v>
      </c>
      <c r="AE139" s="45" t="s">
        <v>222</v>
      </c>
      <c r="AF139" s="45"/>
      <c r="AG139" s="45"/>
      <c r="AH139" s="45"/>
      <c r="AI139" s="45"/>
      <c r="AJ139" s="45"/>
      <c r="AK139" s="45"/>
      <c r="AL139" s="45"/>
      <c r="AM139" s="45"/>
      <c r="AN139" s="45"/>
      <c r="AO139" s="45"/>
      <c r="AP139" s="45"/>
      <c r="AQ139" s="45"/>
      <c r="AR139" s="45"/>
      <c r="AS139" s="45"/>
      <c r="AT139" s="45"/>
      <c r="AU139" s="45"/>
      <c r="AV139" s="45">
        <v>0.76926406926406921</v>
      </c>
      <c r="AW139" s="45">
        <v>35.54</v>
      </c>
      <c r="AX139" s="45"/>
      <c r="AY139" s="45"/>
      <c r="AZ139" s="85"/>
      <c r="BA139" s="47"/>
      <c r="BB139" s="47"/>
      <c r="BC139" s="47"/>
      <c r="BD139" s="47"/>
      <c r="BE139" s="47"/>
      <c r="BF139" s="47"/>
      <c r="BG139" s="47"/>
      <c r="BH139" s="47"/>
      <c r="BI139" s="47"/>
      <c r="BJ139" s="47"/>
      <c r="BK139" s="47"/>
      <c r="BL139" s="47"/>
      <c r="BM139" s="47"/>
      <c r="BN139" s="47"/>
      <c r="BO139" s="47"/>
      <c r="BP139" s="48">
        <f t="shared" si="33"/>
        <v>0.76926406926406921</v>
      </c>
      <c r="BQ139" s="49">
        <f t="shared" si="36"/>
        <v>1.5385281385281384</v>
      </c>
      <c r="BR139" s="50">
        <f t="shared" si="34"/>
        <v>35.54</v>
      </c>
      <c r="BS139" s="49">
        <f t="shared" si="37"/>
        <v>71.08</v>
      </c>
    </row>
    <row r="140" spans="1:71" s="9" customFormat="1" ht="17" x14ac:dyDescent="0.15">
      <c r="A140" s="34" t="s">
        <v>356</v>
      </c>
      <c r="B140" s="35" t="s">
        <v>357</v>
      </c>
      <c r="C140" s="89" t="s">
        <v>338</v>
      </c>
      <c r="D140" s="36" t="s">
        <v>351</v>
      </c>
      <c r="E140" s="37" t="s">
        <v>53</v>
      </c>
      <c r="F140" s="38">
        <v>95.16</v>
      </c>
      <c r="G140" s="38">
        <v>33.696156559899116</v>
      </c>
      <c r="H140" s="38">
        <v>3206.5262582399996</v>
      </c>
      <c r="I140" s="39">
        <v>18</v>
      </c>
      <c r="J140" s="40">
        <v>1712.8799999999999</v>
      </c>
      <c r="K140" s="38"/>
      <c r="L140" s="41"/>
      <c r="M140" s="41"/>
      <c r="N140" s="41"/>
      <c r="O140" s="41"/>
      <c r="P140" s="41"/>
      <c r="Q140" s="41"/>
      <c r="R140" s="41"/>
      <c r="S140" s="41"/>
      <c r="T140" s="41"/>
      <c r="U140" s="43">
        <v>18</v>
      </c>
      <c r="V140" s="86">
        <f t="shared" si="26"/>
        <v>1712.8799999999999</v>
      </c>
      <c r="W140" s="86"/>
      <c r="X140" s="86"/>
      <c r="Y140" s="86"/>
      <c r="Z140" s="86"/>
      <c r="AA140" s="86">
        <v>20</v>
      </c>
      <c r="AB140" s="86">
        <f>+AA140*F140</f>
        <v>1903.1999999999998</v>
      </c>
      <c r="AC140" s="44">
        <f t="shared" si="24"/>
        <v>38</v>
      </c>
      <c r="AD140" s="44">
        <f t="shared" si="24"/>
        <v>3616.08</v>
      </c>
      <c r="AE140" s="45" t="s">
        <v>54</v>
      </c>
      <c r="AF140" s="45"/>
      <c r="AG140" s="45"/>
      <c r="AH140" s="45"/>
      <c r="AI140" s="45"/>
      <c r="AJ140" s="45"/>
      <c r="AK140" s="45"/>
      <c r="AL140" s="45"/>
      <c r="AM140" s="45"/>
      <c r="AN140" s="45"/>
      <c r="AO140" s="45"/>
      <c r="AP140" s="45"/>
      <c r="AQ140" s="45"/>
      <c r="AR140" s="45"/>
      <c r="AS140" s="45"/>
      <c r="AT140" s="45"/>
      <c r="AU140" s="45"/>
      <c r="AV140" s="45"/>
      <c r="AW140" s="45"/>
      <c r="AX140" s="45"/>
      <c r="AY140" s="45"/>
      <c r="AZ140" s="85"/>
      <c r="BA140" s="47"/>
      <c r="BB140" s="47"/>
      <c r="BC140" s="47"/>
      <c r="BD140" s="47"/>
      <c r="BE140" s="47"/>
      <c r="BF140" s="47"/>
      <c r="BG140" s="47"/>
      <c r="BH140" s="47"/>
      <c r="BI140" s="47"/>
      <c r="BJ140" s="47"/>
      <c r="BK140" s="47"/>
      <c r="BL140" s="47">
        <v>16.848078279949558</v>
      </c>
      <c r="BM140" s="47">
        <v>1603.2631291199998</v>
      </c>
      <c r="BN140" s="47"/>
      <c r="BO140" s="47"/>
      <c r="BP140" s="48">
        <f t="shared" si="33"/>
        <v>16.848078279949558</v>
      </c>
      <c r="BQ140" s="49">
        <f t="shared" si="36"/>
        <v>33.696156559899116</v>
      </c>
      <c r="BR140" s="50">
        <f t="shared" si="34"/>
        <v>1603.2631291199998</v>
      </c>
      <c r="BS140" s="49">
        <f t="shared" si="37"/>
        <v>3206.5262582399996</v>
      </c>
    </row>
    <row r="141" spans="1:71" s="9" customFormat="1" ht="17" x14ac:dyDescent="0.15">
      <c r="A141" s="34" t="s">
        <v>358</v>
      </c>
      <c r="B141" s="69" t="s">
        <v>233</v>
      </c>
      <c r="C141" s="35" t="s">
        <v>305</v>
      </c>
      <c r="D141" s="36" t="s">
        <v>351</v>
      </c>
      <c r="E141" s="37" t="s">
        <v>53</v>
      </c>
      <c r="F141" s="38">
        <v>47.76</v>
      </c>
      <c r="G141" s="38">
        <f>+H141/F141</f>
        <v>10.288944723618091</v>
      </c>
      <c r="H141" s="38">
        <f>245.7*2</f>
        <v>491.4</v>
      </c>
      <c r="I141" s="39">
        <v>12</v>
      </c>
      <c r="J141" s="40">
        <v>573.12</v>
      </c>
      <c r="K141" s="38"/>
      <c r="L141" s="41"/>
      <c r="M141" s="41"/>
      <c r="N141" s="41"/>
      <c r="O141" s="41"/>
      <c r="P141" s="41"/>
      <c r="Q141" s="41"/>
      <c r="R141" s="41"/>
      <c r="S141" s="41"/>
      <c r="T141" s="41"/>
      <c r="U141" s="43"/>
      <c r="V141" s="86"/>
      <c r="W141" s="86">
        <v>12</v>
      </c>
      <c r="X141" s="86">
        <f>+W141*F141</f>
        <v>573.12</v>
      </c>
      <c r="Y141" s="86"/>
      <c r="Z141" s="86"/>
      <c r="AA141" s="86"/>
      <c r="AB141" s="86"/>
      <c r="AC141" s="44">
        <f t="shared" si="24"/>
        <v>12</v>
      </c>
      <c r="AD141" s="44">
        <f t="shared" si="24"/>
        <v>573.12</v>
      </c>
      <c r="AE141" s="45" t="s">
        <v>209</v>
      </c>
      <c r="AF141" s="45"/>
      <c r="AG141" s="45"/>
      <c r="AH141" s="45"/>
      <c r="AI141" s="45"/>
      <c r="AJ141" s="45"/>
      <c r="AK141" s="45"/>
      <c r="AL141" s="45"/>
      <c r="AM141" s="45"/>
      <c r="AN141" s="45"/>
      <c r="AO141" s="45"/>
      <c r="AP141" s="45"/>
      <c r="AQ141" s="45"/>
      <c r="AR141" s="45"/>
      <c r="AS141" s="45"/>
      <c r="AT141" s="45">
        <v>5.1640131147540984</v>
      </c>
      <c r="AU141" s="45">
        <v>245.70374399999997</v>
      </c>
      <c r="AV141" s="45"/>
      <c r="AW141" s="45"/>
      <c r="AX141" s="45"/>
      <c r="AY141" s="45"/>
      <c r="AZ141" s="85"/>
      <c r="BA141" s="47"/>
      <c r="BB141" s="47"/>
      <c r="BC141" s="47"/>
      <c r="BD141" s="47"/>
      <c r="BE141" s="47"/>
      <c r="BF141" s="47"/>
      <c r="BG141" s="47"/>
      <c r="BH141" s="47"/>
      <c r="BI141" s="47"/>
      <c r="BJ141" s="47"/>
      <c r="BK141" s="47"/>
      <c r="BL141" s="47"/>
      <c r="BM141" s="47"/>
      <c r="BN141" s="47"/>
      <c r="BO141" s="47"/>
      <c r="BP141" s="48">
        <f t="shared" si="33"/>
        <v>5.1640131147540984</v>
      </c>
      <c r="BQ141" s="49">
        <f t="shared" si="36"/>
        <v>10.328026229508197</v>
      </c>
      <c r="BR141" s="50">
        <f t="shared" si="34"/>
        <v>245.70374399999997</v>
      </c>
      <c r="BS141" s="49">
        <f t="shared" si="37"/>
        <v>491.40748799999994</v>
      </c>
    </row>
    <row r="142" spans="1:71" s="9" customFormat="1" ht="17" x14ac:dyDescent="0.15">
      <c r="A142" s="34" t="s">
        <v>359</v>
      </c>
      <c r="B142" s="69" t="s">
        <v>360</v>
      </c>
      <c r="C142" s="35" t="s">
        <v>361</v>
      </c>
      <c r="D142" s="36" t="s">
        <v>351</v>
      </c>
      <c r="E142" s="37" t="s">
        <v>53</v>
      </c>
      <c r="F142" s="38">
        <f>12*7.93</f>
        <v>95.16</v>
      </c>
      <c r="G142" s="38">
        <v>59.612801008827233</v>
      </c>
      <c r="H142" s="38">
        <v>5672.7541439999995</v>
      </c>
      <c r="I142" s="39">
        <v>50.577989949748748</v>
      </c>
      <c r="J142" s="40">
        <v>4831.2096000000001</v>
      </c>
      <c r="K142" s="38"/>
      <c r="L142" s="41"/>
      <c r="M142" s="41"/>
      <c r="N142" s="41"/>
      <c r="O142" s="41"/>
      <c r="P142" s="41"/>
      <c r="Q142" s="41"/>
      <c r="R142" s="41"/>
      <c r="S142" s="41"/>
      <c r="T142" s="41"/>
      <c r="U142" s="43"/>
      <c r="V142" s="86"/>
      <c r="W142" s="86">
        <f>+G142*1.12</f>
        <v>66.766337129886509</v>
      </c>
      <c r="X142" s="86">
        <f>+W142*F142</f>
        <v>6353.4846412799998</v>
      </c>
      <c r="Y142" s="86"/>
      <c r="Z142" s="86"/>
      <c r="AA142" s="86">
        <v>12.87</v>
      </c>
      <c r="AB142" s="86">
        <f>+AA142*F142</f>
        <v>1224.7091999999998</v>
      </c>
      <c r="AC142" s="44">
        <f t="shared" si="24"/>
        <v>63.447989949748745</v>
      </c>
      <c r="AD142" s="44">
        <f t="shared" si="24"/>
        <v>6055.9187999999995</v>
      </c>
      <c r="AE142" s="45" t="s">
        <v>54</v>
      </c>
      <c r="AF142" s="45"/>
      <c r="AG142" s="45"/>
      <c r="AH142" s="45"/>
      <c r="AI142" s="45"/>
      <c r="AJ142" s="45"/>
      <c r="AK142" s="45"/>
      <c r="AL142" s="45"/>
      <c r="AM142" s="45"/>
      <c r="AN142" s="45"/>
      <c r="AO142" s="45"/>
      <c r="AP142" s="45"/>
      <c r="AQ142" s="45"/>
      <c r="AR142" s="45"/>
      <c r="AS142" s="45"/>
      <c r="AT142" s="45">
        <v>29.806400504413617</v>
      </c>
      <c r="AU142" s="45">
        <v>2836.3770719999998</v>
      </c>
      <c r="AV142" s="45"/>
      <c r="AW142" s="45"/>
      <c r="AX142" s="45"/>
      <c r="AY142" s="45"/>
      <c r="AZ142" s="85"/>
      <c r="BA142" s="47"/>
      <c r="BB142" s="47"/>
      <c r="BC142" s="47"/>
      <c r="BD142" s="47"/>
      <c r="BE142" s="47"/>
      <c r="BF142" s="47"/>
      <c r="BG142" s="47"/>
      <c r="BH142" s="47"/>
      <c r="BI142" s="47"/>
      <c r="BJ142" s="47"/>
      <c r="BK142" s="47"/>
      <c r="BL142" s="47"/>
      <c r="BM142" s="47"/>
      <c r="BN142" s="47"/>
      <c r="BO142" s="47"/>
      <c r="BP142" s="48">
        <f t="shared" si="33"/>
        <v>29.806400504413617</v>
      </c>
      <c r="BQ142" s="49">
        <f t="shared" si="36"/>
        <v>59.612801008827233</v>
      </c>
      <c r="BR142" s="50">
        <f t="shared" si="34"/>
        <v>2836.3770719999998</v>
      </c>
      <c r="BS142" s="49">
        <f t="shared" si="37"/>
        <v>5672.7541439999995</v>
      </c>
    </row>
    <row r="143" spans="1:71" s="9" customFormat="1" ht="17" x14ac:dyDescent="0.15">
      <c r="A143" s="34" t="s">
        <v>362</v>
      </c>
      <c r="B143" s="35" t="s">
        <v>233</v>
      </c>
      <c r="C143" s="35" t="s">
        <v>338</v>
      </c>
      <c r="D143" s="36" t="s">
        <v>363</v>
      </c>
      <c r="E143" s="37" t="s">
        <v>53</v>
      </c>
      <c r="F143" s="38">
        <v>94.199999999999989</v>
      </c>
      <c r="G143" s="38">
        <v>19.180084815200001</v>
      </c>
      <c r="H143" s="38">
        <v>1825.176871014432</v>
      </c>
      <c r="I143" s="39">
        <v>27</v>
      </c>
      <c r="J143" s="40">
        <v>2543.3999999999996</v>
      </c>
      <c r="K143" s="38"/>
      <c r="L143" s="41"/>
      <c r="M143" s="41"/>
      <c r="N143" s="41"/>
      <c r="O143" s="41"/>
      <c r="P143" s="41"/>
      <c r="Q143" s="41"/>
      <c r="R143" s="41"/>
      <c r="S143" s="41"/>
      <c r="T143" s="41"/>
      <c r="U143" s="43"/>
      <c r="V143" s="86"/>
      <c r="W143" s="86">
        <v>27</v>
      </c>
      <c r="X143" s="86">
        <f>+W143*F143</f>
        <v>2543.3999999999996</v>
      </c>
      <c r="Y143" s="86"/>
      <c r="Z143" s="86"/>
      <c r="AA143" s="86"/>
      <c r="AB143" s="86"/>
      <c r="AC143" s="44">
        <f t="shared" si="24"/>
        <v>27</v>
      </c>
      <c r="AD143" s="44">
        <f t="shared" si="24"/>
        <v>2543.3999999999996</v>
      </c>
      <c r="AE143" s="45" t="s">
        <v>209</v>
      </c>
      <c r="AF143" s="45"/>
      <c r="AG143" s="45"/>
      <c r="AH143" s="45"/>
      <c r="AI143" s="45"/>
      <c r="AJ143" s="45"/>
      <c r="AK143" s="45"/>
      <c r="AL143" s="45"/>
      <c r="AM143" s="45"/>
      <c r="AN143" s="45"/>
      <c r="AO143" s="45"/>
      <c r="AP143" s="45"/>
      <c r="AQ143" s="45"/>
      <c r="AR143" s="45">
        <v>9.5900424076000004</v>
      </c>
      <c r="AS143" s="45">
        <v>912.58843550721599</v>
      </c>
      <c r="AT143" s="45"/>
      <c r="AU143" s="45"/>
      <c r="AV143" s="45"/>
      <c r="AW143" s="45"/>
      <c r="AX143" s="45"/>
      <c r="AY143" s="45"/>
      <c r="AZ143" s="85"/>
      <c r="BA143" s="47"/>
      <c r="BB143" s="47"/>
      <c r="BC143" s="47"/>
      <c r="BD143" s="47"/>
      <c r="BE143" s="47"/>
      <c r="BF143" s="47"/>
      <c r="BG143" s="47"/>
      <c r="BH143" s="47"/>
      <c r="BI143" s="47"/>
      <c r="BJ143" s="47"/>
      <c r="BK143" s="47"/>
      <c r="BL143" s="47"/>
      <c r="BM143" s="47"/>
      <c r="BN143" s="47"/>
      <c r="BO143" s="47"/>
      <c r="BP143" s="48">
        <f t="shared" si="33"/>
        <v>9.5900424076000004</v>
      </c>
      <c r="BQ143" s="49">
        <f t="shared" si="36"/>
        <v>19.180084815200001</v>
      </c>
      <c r="BR143" s="50">
        <f t="shared" si="34"/>
        <v>912.58843550721599</v>
      </c>
      <c r="BS143" s="49">
        <f t="shared" si="37"/>
        <v>1825.176871014432</v>
      </c>
    </row>
    <row r="144" spans="1:71" s="9" customFormat="1" ht="17" x14ac:dyDescent="0.15">
      <c r="A144" s="34" t="s">
        <v>364</v>
      </c>
      <c r="B144" s="35" t="s">
        <v>233</v>
      </c>
      <c r="C144" s="35" t="s">
        <v>365</v>
      </c>
      <c r="D144" s="36" t="s">
        <v>363</v>
      </c>
      <c r="E144" s="37" t="s">
        <v>53</v>
      </c>
      <c r="F144" s="38">
        <v>47.099999999999994</v>
      </c>
      <c r="G144" s="38">
        <v>2.4716644380000004</v>
      </c>
      <c r="H144" s="38">
        <v>117.60179396004</v>
      </c>
      <c r="I144" s="39">
        <v>4.5</v>
      </c>
      <c r="J144" s="40">
        <v>211.95</v>
      </c>
      <c r="K144" s="38"/>
      <c r="L144" s="41"/>
      <c r="M144" s="41"/>
      <c r="N144" s="41"/>
      <c r="O144" s="41"/>
      <c r="P144" s="41"/>
      <c r="Q144" s="41"/>
      <c r="R144" s="41"/>
      <c r="S144" s="41"/>
      <c r="T144" s="41"/>
      <c r="U144" s="43"/>
      <c r="V144" s="86"/>
      <c r="W144" s="86">
        <v>4.5</v>
      </c>
      <c r="X144" s="86">
        <f>+W144*F144</f>
        <v>211.95</v>
      </c>
      <c r="Y144" s="86"/>
      <c r="Z144" s="86"/>
      <c r="AA144" s="86"/>
      <c r="AB144" s="86"/>
      <c r="AC144" s="44">
        <f t="shared" si="24"/>
        <v>4.5</v>
      </c>
      <c r="AD144" s="44">
        <f t="shared" si="24"/>
        <v>211.95</v>
      </c>
      <c r="AE144" s="45" t="s">
        <v>209</v>
      </c>
      <c r="AF144" s="45"/>
      <c r="AG144" s="45"/>
      <c r="AH144" s="45"/>
      <c r="AI144" s="45"/>
      <c r="AJ144" s="45"/>
      <c r="AK144" s="45"/>
      <c r="AL144" s="45"/>
      <c r="AM144" s="45"/>
      <c r="AN144" s="45"/>
      <c r="AO144" s="45"/>
      <c r="AP144" s="45"/>
      <c r="AQ144" s="45"/>
      <c r="AR144" s="45">
        <v>1.2358322190000002</v>
      </c>
      <c r="AS144" s="45">
        <v>58.800896980019999</v>
      </c>
      <c r="AT144" s="45"/>
      <c r="AU144" s="45"/>
      <c r="AV144" s="45"/>
      <c r="AW144" s="45"/>
      <c r="AX144" s="45"/>
      <c r="AY144" s="45"/>
      <c r="AZ144" s="85"/>
      <c r="BA144" s="47"/>
      <c r="BB144" s="47"/>
      <c r="BC144" s="47"/>
      <c r="BD144" s="47"/>
      <c r="BE144" s="47"/>
      <c r="BF144" s="47"/>
      <c r="BG144" s="47"/>
      <c r="BH144" s="47"/>
      <c r="BI144" s="47"/>
      <c r="BJ144" s="47"/>
      <c r="BK144" s="47"/>
      <c r="BL144" s="47"/>
      <c r="BM144" s="47"/>
      <c r="BN144" s="47"/>
      <c r="BO144" s="47"/>
      <c r="BP144" s="48">
        <f t="shared" si="33"/>
        <v>1.2358322190000002</v>
      </c>
      <c r="BQ144" s="49">
        <f t="shared" si="36"/>
        <v>2.4716644380000004</v>
      </c>
      <c r="BR144" s="50">
        <f t="shared" si="34"/>
        <v>58.800896980019999</v>
      </c>
      <c r="BS144" s="49">
        <f t="shared" si="37"/>
        <v>117.60179396004</v>
      </c>
    </row>
    <row r="145" spans="1:71" s="9" customFormat="1" ht="17" x14ac:dyDescent="0.15">
      <c r="A145" s="34" t="s">
        <v>366</v>
      </c>
      <c r="B145" s="35" t="s">
        <v>320</v>
      </c>
      <c r="C145" s="35" t="s">
        <v>367</v>
      </c>
      <c r="D145" s="36" t="s">
        <v>321</v>
      </c>
      <c r="E145" s="37" t="s">
        <v>98</v>
      </c>
      <c r="F145" s="38">
        <v>60.61</v>
      </c>
      <c r="G145" s="38">
        <v>14.74</v>
      </c>
      <c r="H145" s="38">
        <v>893.36</v>
      </c>
      <c r="I145" s="39">
        <v>15.771800000000001</v>
      </c>
      <c r="J145" s="40">
        <v>955.92879800000003</v>
      </c>
      <c r="K145" s="38"/>
      <c r="L145" s="41"/>
      <c r="M145" s="41"/>
      <c r="N145" s="41"/>
      <c r="O145" s="41"/>
      <c r="P145" s="41"/>
      <c r="Q145" s="41"/>
      <c r="R145" s="41"/>
      <c r="S145" s="41"/>
      <c r="T145" s="41"/>
      <c r="U145" s="43"/>
      <c r="V145" s="86"/>
      <c r="W145" s="86"/>
      <c r="X145" s="86"/>
      <c r="Y145" s="86">
        <v>15.771800000000001</v>
      </c>
      <c r="Z145" s="42">
        <f t="shared" ref="Z145:Z146" si="38">+Y145*F145</f>
        <v>955.92879800000003</v>
      </c>
      <c r="AA145" s="42"/>
      <c r="AB145" s="42">
        <f>+AA145*F145</f>
        <v>0</v>
      </c>
      <c r="AC145" s="44">
        <f t="shared" si="24"/>
        <v>15.771800000000001</v>
      </c>
      <c r="AD145" s="44">
        <f t="shared" si="24"/>
        <v>955.92879800000003</v>
      </c>
      <c r="AE145" s="45" t="s">
        <v>116</v>
      </c>
      <c r="AF145" s="45"/>
      <c r="AG145" s="45"/>
      <c r="AH145" s="45"/>
      <c r="AI145" s="45"/>
      <c r="AJ145" s="59">
        <v>7.37</v>
      </c>
      <c r="AK145" s="59">
        <v>446.68</v>
      </c>
      <c r="AL145" s="59"/>
      <c r="AM145" s="59"/>
      <c r="AN145" s="59"/>
      <c r="AO145" s="59"/>
      <c r="AP145" s="59"/>
      <c r="AQ145" s="59"/>
      <c r="AR145" s="59"/>
      <c r="AS145" s="59"/>
      <c r="AT145" s="59"/>
      <c r="AU145" s="59"/>
      <c r="AV145" s="59"/>
      <c r="AW145" s="59"/>
      <c r="AX145" s="59"/>
      <c r="AY145" s="59"/>
      <c r="AZ145" s="85"/>
      <c r="BA145" s="47"/>
      <c r="BB145" s="47"/>
      <c r="BC145" s="47"/>
      <c r="BD145" s="47"/>
      <c r="BE145" s="47"/>
      <c r="BF145" s="47"/>
      <c r="BG145" s="47"/>
      <c r="BH145" s="47"/>
      <c r="BI145" s="47"/>
      <c r="BJ145" s="47"/>
      <c r="BK145" s="47"/>
      <c r="BL145" s="47"/>
      <c r="BM145" s="47"/>
      <c r="BN145" s="47"/>
      <c r="BO145" s="47"/>
      <c r="BP145" s="48">
        <f t="shared" si="33"/>
        <v>7.37</v>
      </c>
      <c r="BQ145" s="49">
        <f t="shared" si="36"/>
        <v>14.74</v>
      </c>
      <c r="BR145" s="50">
        <f t="shared" si="34"/>
        <v>446.68</v>
      </c>
      <c r="BS145" s="49">
        <f t="shared" si="37"/>
        <v>893.36</v>
      </c>
    </row>
    <row r="146" spans="1:71" s="9" customFormat="1" ht="17" x14ac:dyDescent="0.15">
      <c r="A146" s="34" t="s">
        <v>368</v>
      </c>
      <c r="B146" s="35" t="s">
        <v>233</v>
      </c>
      <c r="C146" s="35" t="s">
        <v>331</v>
      </c>
      <c r="D146" s="36" t="s">
        <v>369</v>
      </c>
      <c r="E146" s="37" t="s">
        <v>53</v>
      </c>
      <c r="F146" s="38">
        <v>11.895</v>
      </c>
      <c r="G146" s="38">
        <v>32.068936527952921</v>
      </c>
      <c r="H146" s="38">
        <v>381.46</v>
      </c>
      <c r="I146" s="39">
        <v>17.795460277427491</v>
      </c>
      <c r="J146" s="40">
        <v>211.67699999999999</v>
      </c>
      <c r="K146" s="38"/>
      <c r="L146" s="41"/>
      <c r="M146" s="41"/>
      <c r="N146" s="41"/>
      <c r="O146" s="41"/>
      <c r="P146" s="41"/>
      <c r="Q146" s="41"/>
      <c r="R146" s="41"/>
      <c r="S146" s="41"/>
      <c r="T146" s="41"/>
      <c r="U146" s="43"/>
      <c r="V146" s="86"/>
      <c r="W146" s="86"/>
      <c r="X146" s="86"/>
      <c r="Y146" s="86">
        <v>17.795460277427491</v>
      </c>
      <c r="Z146" s="42">
        <f t="shared" si="38"/>
        <v>211.67699999999999</v>
      </c>
      <c r="AA146" s="42">
        <v>19</v>
      </c>
      <c r="AB146" s="42">
        <f>+AA146*F146</f>
        <v>226.005</v>
      </c>
      <c r="AC146" s="44">
        <f t="shared" si="24"/>
        <v>36.795460277427495</v>
      </c>
      <c r="AD146" s="44">
        <f t="shared" si="24"/>
        <v>437.68200000000002</v>
      </c>
      <c r="AE146" s="45" t="s">
        <v>54</v>
      </c>
      <c r="AF146" s="45"/>
      <c r="AG146" s="45"/>
      <c r="AH146" s="45"/>
      <c r="AI146" s="45"/>
      <c r="AJ146" s="68">
        <v>8.0159730979403108</v>
      </c>
      <c r="AK146" s="68">
        <v>95.35</v>
      </c>
      <c r="AL146" s="68"/>
      <c r="AM146" s="68"/>
      <c r="AN146" s="68"/>
      <c r="AO146" s="68"/>
      <c r="AP146" s="68"/>
      <c r="AQ146" s="68"/>
      <c r="AR146" s="68"/>
      <c r="AS146" s="68"/>
      <c r="AT146" s="68">
        <v>8.0184951660361499</v>
      </c>
      <c r="AU146" s="68">
        <v>95.38</v>
      </c>
      <c r="AV146" s="68"/>
      <c r="AW146" s="68"/>
      <c r="AX146" s="68"/>
      <c r="AY146" s="68"/>
      <c r="AZ146" s="85"/>
      <c r="BA146" s="47"/>
      <c r="BB146" s="47"/>
      <c r="BC146" s="47"/>
      <c r="BD146" s="47"/>
      <c r="BE146" s="47"/>
      <c r="BF146" s="47"/>
      <c r="BG146" s="47"/>
      <c r="BH146" s="47"/>
      <c r="BI146" s="47"/>
      <c r="BJ146" s="47"/>
      <c r="BK146" s="47"/>
      <c r="BL146" s="47"/>
      <c r="BM146" s="47"/>
      <c r="BN146" s="47"/>
      <c r="BO146" s="47"/>
      <c r="BP146" s="48">
        <f t="shared" si="33"/>
        <v>16.034468263976461</v>
      </c>
      <c r="BQ146" s="49">
        <f t="shared" si="36"/>
        <v>32.068936527952921</v>
      </c>
      <c r="BR146" s="50">
        <f t="shared" si="34"/>
        <v>190.73</v>
      </c>
      <c r="BS146" s="49">
        <f t="shared" si="37"/>
        <v>381.46</v>
      </c>
    </row>
    <row r="147" spans="1:71" s="9" customFormat="1" ht="17" x14ac:dyDescent="0.15">
      <c r="A147" s="34" t="s">
        <v>370</v>
      </c>
      <c r="B147" s="35" t="s">
        <v>233</v>
      </c>
      <c r="C147" s="35" t="s">
        <v>371</v>
      </c>
      <c r="D147" s="36" t="s">
        <v>369</v>
      </c>
      <c r="E147" s="37" t="s">
        <v>53</v>
      </c>
      <c r="F147" s="38">
        <v>79.3</v>
      </c>
      <c r="G147" s="38">
        <v>0.10390920554854982</v>
      </c>
      <c r="H147" s="38">
        <v>8.24</v>
      </c>
      <c r="I147" s="39"/>
      <c r="J147" s="40"/>
      <c r="K147" s="38"/>
      <c r="L147" s="41"/>
      <c r="M147" s="41"/>
      <c r="N147" s="41"/>
      <c r="O147" s="41"/>
      <c r="P147" s="41"/>
      <c r="Q147" s="41"/>
      <c r="R147" s="41"/>
      <c r="S147" s="41"/>
      <c r="T147" s="41"/>
      <c r="U147" s="43"/>
      <c r="V147" s="86"/>
      <c r="W147" s="86"/>
      <c r="X147" s="86"/>
      <c r="Y147" s="86"/>
      <c r="Z147" s="86"/>
      <c r="AA147" s="86">
        <v>1</v>
      </c>
      <c r="AB147" s="86">
        <f>+AA147*F147</f>
        <v>79.3</v>
      </c>
      <c r="AC147" s="44">
        <f t="shared" si="24"/>
        <v>1</v>
      </c>
      <c r="AD147" s="44">
        <f t="shared" si="24"/>
        <v>79.3</v>
      </c>
      <c r="AE147" s="45" t="s">
        <v>54</v>
      </c>
      <c r="AF147" s="45"/>
      <c r="AG147" s="45"/>
      <c r="AH147" s="45"/>
      <c r="AI147" s="45"/>
      <c r="AJ147" s="59">
        <v>2.5977301387137455E-2</v>
      </c>
      <c r="AK147" s="59">
        <v>2.06</v>
      </c>
      <c r="AL147" s="59"/>
      <c r="AM147" s="59"/>
      <c r="AN147" s="59"/>
      <c r="AO147" s="59"/>
      <c r="AP147" s="59"/>
      <c r="AQ147" s="59"/>
      <c r="AR147" s="59"/>
      <c r="AS147" s="59"/>
      <c r="AT147" s="59">
        <v>2.5977301387137455E-2</v>
      </c>
      <c r="AU147" s="59">
        <v>2.06</v>
      </c>
      <c r="AV147" s="59"/>
      <c r="AW147" s="59"/>
      <c r="AX147" s="59"/>
      <c r="AY147" s="59"/>
      <c r="AZ147" s="85"/>
      <c r="BA147" s="47"/>
      <c r="BB147" s="47"/>
      <c r="BC147" s="47"/>
      <c r="BD147" s="47"/>
      <c r="BE147" s="47"/>
      <c r="BF147" s="47"/>
      <c r="BG147" s="47"/>
      <c r="BH147" s="47"/>
      <c r="BI147" s="47"/>
      <c r="BJ147" s="47"/>
      <c r="BK147" s="47"/>
      <c r="BL147" s="47"/>
      <c r="BM147" s="47"/>
      <c r="BN147" s="47"/>
      <c r="BO147" s="47"/>
      <c r="BP147" s="48">
        <f t="shared" si="33"/>
        <v>5.1954602774274911E-2</v>
      </c>
      <c r="BQ147" s="49">
        <f t="shared" si="36"/>
        <v>0.10390920554854982</v>
      </c>
      <c r="BR147" s="50">
        <f t="shared" si="34"/>
        <v>4.12</v>
      </c>
      <c r="BS147" s="49">
        <f t="shared" si="37"/>
        <v>8.24</v>
      </c>
    </row>
    <row r="148" spans="1:71" s="9" customFormat="1" ht="17" x14ac:dyDescent="0.15">
      <c r="A148" s="34" t="s">
        <v>372</v>
      </c>
      <c r="B148" s="35" t="s">
        <v>330</v>
      </c>
      <c r="C148" s="35" t="s">
        <v>373</v>
      </c>
      <c r="D148" s="36" t="s">
        <v>354</v>
      </c>
      <c r="E148" s="37" t="s">
        <v>53</v>
      </c>
      <c r="F148" s="38">
        <v>111.02</v>
      </c>
      <c r="G148" s="38">
        <v>0.85624211853720056</v>
      </c>
      <c r="H148" s="38">
        <v>95.06</v>
      </c>
      <c r="I148" s="39">
        <v>3</v>
      </c>
      <c r="J148" s="40">
        <v>333.06</v>
      </c>
      <c r="K148" s="38"/>
      <c r="L148" s="41"/>
      <c r="M148" s="41"/>
      <c r="N148" s="41"/>
      <c r="O148" s="41"/>
      <c r="P148" s="41"/>
      <c r="Q148" s="41"/>
      <c r="R148" s="41"/>
      <c r="S148" s="41"/>
      <c r="T148" s="41"/>
      <c r="U148" s="43"/>
      <c r="V148" s="86"/>
      <c r="W148" s="86"/>
      <c r="X148" s="86"/>
      <c r="Y148" s="86">
        <v>3</v>
      </c>
      <c r="Z148" s="42">
        <f t="shared" ref="Z148:Z156" si="39">+Y148*F148</f>
        <v>333.06</v>
      </c>
      <c r="AA148" s="42"/>
      <c r="AB148" s="42"/>
      <c r="AC148" s="44">
        <f t="shared" si="24"/>
        <v>3</v>
      </c>
      <c r="AD148" s="44">
        <f t="shared" si="24"/>
        <v>333.06</v>
      </c>
      <c r="AE148" s="45" t="s">
        <v>116</v>
      </c>
      <c r="AF148" s="45"/>
      <c r="AG148" s="45"/>
      <c r="AH148" s="45"/>
      <c r="AI148" s="45"/>
      <c r="AJ148" s="59">
        <v>0.42812105926860028</v>
      </c>
      <c r="AK148" s="59">
        <v>47.53</v>
      </c>
      <c r="AL148" s="59"/>
      <c r="AM148" s="59"/>
      <c r="AN148" s="59"/>
      <c r="AO148" s="59"/>
      <c r="AP148" s="59"/>
      <c r="AQ148" s="59"/>
      <c r="AR148" s="59"/>
      <c r="AS148" s="59"/>
      <c r="AT148" s="59"/>
      <c r="AU148" s="59"/>
      <c r="AV148" s="59"/>
      <c r="AW148" s="59"/>
      <c r="AX148" s="59"/>
      <c r="AY148" s="59"/>
      <c r="AZ148" s="85"/>
      <c r="BA148" s="47"/>
      <c r="BB148" s="47"/>
      <c r="BC148" s="47"/>
      <c r="BD148" s="47"/>
      <c r="BE148" s="47"/>
      <c r="BF148" s="47"/>
      <c r="BG148" s="47"/>
      <c r="BH148" s="47"/>
      <c r="BI148" s="47"/>
      <c r="BJ148" s="47"/>
      <c r="BK148" s="47"/>
      <c r="BL148" s="47"/>
      <c r="BM148" s="47"/>
      <c r="BN148" s="47"/>
      <c r="BO148" s="47"/>
      <c r="BP148" s="48">
        <f t="shared" si="33"/>
        <v>0.42812105926860028</v>
      </c>
      <c r="BQ148" s="49">
        <f t="shared" si="36"/>
        <v>0.85624211853720056</v>
      </c>
      <c r="BR148" s="50">
        <f t="shared" si="34"/>
        <v>47.53</v>
      </c>
      <c r="BS148" s="49">
        <f t="shared" si="37"/>
        <v>95.06</v>
      </c>
    </row>
    <row r="149" spans="1:71" s="9" customFormat="1" ht="17" x14ac:dyDescent="0.15">
      <c r="A149" s="34" t="s">
        <v>374</v>
      </c>
      <c r="B149" s="35" t="s">
        <v>233</v>
      </c>
      <c r="C149" s="35" t="s">
        <v>375</v>
      </c>
      <c r="D149" s="36" t="s">
        <v>369</v>
      </c>
      <c r="E149" s="37" t="s">
        <v>53</v>
      </c>
      <c r="F149" s="38">
        <v>47.58</v>
      </c>
      <c r="G149" s="38">
        <v>44.456494325346789</v>
      </c>
      <c r="H149" s="38">
        <v>2115.2400000000002</v>
      </c>
      <c r="I149" s="39">
        <v>49.346708701134943</v>
      </c>
      <c r="J149" s="40">
        <v>2347.9164000000005</v>
      </c>
      <c r="K149" s="38"/>
      <c r="L149" s="41"/>
      <c r="M149" s="41"/>
      <c r="N149" s="41"/>
      <c r="O149" s="41"/>
      <c r="P149" s="41"/>
      <c r="Q149" s="41"/>
      <c r="R149" s="41"/>
      <c r="S149" s="41"/>
      <c r="T149" s="41"/>
      <c r="U149" s="43"/>
      <c r="V149" s="86"/>
      <c r="W149" s="86"/>
      <c r="X149" s="86"/>
      <c r="Y149" s="86">
        <v>49.346708701134943</v>
      </c>
      <c r="Z149" s="42">
        <f t="shared" si="39"/>
        <v>2347.9164000000005</v>
      </c>
      <c r="AA149" s="42">
        <v>2</v>
      </c>
      <c r="AB149" s="42">
        <f>+AA149*F149</f>
        <v>95.16</v>
      </c>
      <c r="AC149" s="44">
        <f t="shared" si="24"/>
        <v>51.346708701134943</v>
      </c>
      <c r="AD149" s="44">
        <f t="shared" si="24"/>
        <v>2443.0764000000004</v>
      </c>
      <c r="AE149" s="45" t="s">
        <v>54</v>
      </c>
      <c r="AF149" s="45"/>
      <c r="AG149" s="45"/>
      <c r="AH149" s="45"/>
      <c r="AI149" s="45"/>
      <c r="AJ149" s="59">
        <v>22.228247162673394</v>
      </c>
      <c r="AK149" s="59">
        <v>1057.6200000000001</v>
      </c>
      <c r="AL149" s="59"/>
      <c r="AM149" s="59"/>
      <c r="AN149" s="59"/>
      <c r="AO149" s="59"/>
      <c r="AP149" s="59"/>
      <c r="AQ149" s="59"/>
      <c r="AR149" s="59"/>
      <c r="AS149" s="59"/>
      <c r="AT149" s="59"/>
      <c r="AU149" s="59"/>
      <c r="AV149" s="59"/>
      <c r="AW149" s="59"/>
      <c r="AX149" s="59"/>
      <c r="AY149" s="59"/>
      <c r="AZ149" s="85"/>
      <c r="BA149" s="47"/>
      <c r="BB149" s="47"/>
      <c r="BC149" s="47"/>
      <c r="BD149" s="47"/>
      <c r="BE149" s="47"/>
      <c r="BF149" s="47"/>
      <c r="BG149" s="47"/>
      <c r="BH149" s="47"/>
      <c r="BI149" s="47"/>
      <c r="BJ149" s="47"/>
      <c r="BK149" s="47"/>
      <c r="BL149" s="47"/>
      <c r="BM149" s="47"/>
      <c r="BN149" s="47"/>
      <c r="BO149" s="47"/>
      <c r="BP149" s="48">
        <f t="shared" si="33"/>
        <v>22.228247162673394</v>
      </c>
      <c r="BQ149" s="49">
        <f t="shared" si="36"/>
        <v>44.456494325346789</v>
      </c>
      <c r="BR149" s="50">
        <f t="shared" si="34"/>
        <v>1057.6200000000001</v>
      </c>
      <c r="BS149" s="49">
        <f t="shared" si="37"/>
        <v>2115.2400000000002</v>
      </c>
    </row>
    <row r="150" spans="1:71" s="9" customFormat="1" ht="17" x14ac:dyDescent="0.15">
      <c r="A150" s="34" t="s">
        <v>376</v>
      </c>
      <c r="B150" s="35" t="s">
        <v>377</v>
      </c>
      <c r="C150" s="35" t="s">
        <v>378</v>
      </c>
      <c r="D150" s="36" t="s">
        <v>369</v>
      </c>
      <c r="E150" s="37" t="s">
        <v>98</v>
      </c>
      <c r="F150" s="38">
        <v>0.88800000000000001</v>
      </c>
      <c r="G150" s="38">
        <v>2.8479999999999999</v>
      </c>
      <c r="H150" s="38">
        <v>2.2999999999999998</v>
      </c>
      <c r="I150" s="39">
        <v>3</v>
      </c>
      <c r="J150" s="40">
        <v>2.6640000000000001</v>
      </c>
      <c r="K150" s="38"/>
      <c r="L150" s="41"/>
      <c r="M150" s="41"/>
      <c r="N150" s="41"/>
      <c r="O150" s="41"/>
      <c r="P150" s="41"/>
      <c r="Q150" s="41"/>
      <c r="R150" s="41"/>
      <c r="S150" s="41"/>
      <c r="T150" s="41"/>
      <c r="U150" s="43"/>
      <c r="V150" s="86"/>
      <c r="W150" s="86"/>
      <c r="X150" s="86"/>
      <c r="Y150" s="86">
        <v>3</v>
      </c>
      <c r="Z150" s="42">
        <f t="shared" si="39"/>
        <v>2.6640000000000001</v>
      </c>
      <c r="AA150" s="42"/>
      <c r="AB150" s="42"/>
      <c r="AC150" s="44">
        <f t="shared" si="24"/>
        <v>3</v>
      </c>
      <c r="AD150" s="44">
        <f t="shared" si="24"/>
        <v>2.6640000000000001</v>
      </c>
      <c r="AE150" s="45" t="s">
        <v>116</v>
      </c>
      <c r="AF150" s="45"/>
      <c r="AG150" s="45"/>
      <c r="AH150" s="45"/>
      <c r="AI150" s="45"/>
      <c r="AJ150" s="68">
        <v>0.71199999999999997</v>
      </c>
      <c r="AK150" s="68">
        <v>0.56999999999999995</v>
      </c>
      <c r="AL150" s="68"/>
      <c r="AM150" s="68"/>
      <c r="AN150" s="68"/>
      <c r="AO150" s="68"/>
      <c r="AP150" s="68"/>
      <c r="AQ150" s="68"/>
      <c r="AR150" s="68"/>
      <c r="AS150" s="68"/>
      <c r="AT150" s="68">
        <v>0.71199999999999997</v>
      </c>
      <c r="AU150" s="68">
        <v>0.57999999999999996</v>
      </c>
      <c r="AV150" s="68"/>
      <c r="AW150" s="68"/>
      <c r="AX150" s="68"/>
      <c r="AY150" s="68"/>
      <c r="AZ150" s="85"/>
      <c r="BA150" s="47"/>
      <c r="BB150" s="47"/>
      <c r="BC150" s="47"/>
      <c r="BD150" s="47"/>
      <c r="BE150" s="47"/>
      <c r="BF150" s="47"/>
      <c r="BG150" s="47"/>
      <c r="BH150" s="47"/>
      <c r="BI150" s="47"/>
      <c r="BJ150" s="47"/>
      <c r="BK150" s="47"/>
      <c r="BL150" s="47"/>
      <c r="BM150" s="47"/>
      <c r="BN150" s="47"/>
      <c r="BO150" s="47"/>
      <c r="BP150" s="48">
        <f t="shared" si="33"/>
        <v>1.4239999999999999</v>
      </c>
      <c r="BQ150" s="49">
        <f t="shared" si="36"/>
        <v>2.8479999999999999</v>
      </c>
      <c r="BR150" s="50">
        <f t="shared" si="34"/>
        <v>1.1499999999999999</v>
      </c>
      <c r="BS150" s="49">
        <f t="shared" si="37"/>
        <v>2.2999999999999998</v>
      </c>
    </row>
    <row r="151" spans="1:71" s="9" customFormat="1" ht="17" x14ac:dyDescent="0.15">
      <c r="A151" s="34" t="s">
        <v>379</v>
      </c>
      <c r="B151" s="35" t="s">
        <v>377</v>
      </c>
      <c r="C151" s="35" t="s">
        <v>380</v>
      </c>
      <c r="D151" s="36" t="s">
        <v>369</v>
      </c>
      <c r="E151" s="37" t="s">
        <v>98</v>
      </c>
      <c r="F151" s="38">
        <v>6.1999999999999998E-3</v>
      </c>
      <c r="G151" s="38">
        <v>551.54</v>
      </c>
      <c r="H151" s="38">
        <v>2.34</v>
      </c>
      <c r="I151" s="39">
        <v>1500</v>
      </c>
      <c r="J151" s="40">
        <v>9.2999999999999989</v>
      </c>
      <c r="K151" s="38"/>
      <c r="L151" s="41"/>
      <c r="M151" s="41"/>
      <c r="N151" s="41"/>
      <c r="O151" s="41"/>
      <c r="P151" s="41"/>
      <c r="Q151" s="41"/>
      <c r="R151" s="41"/>
      <c r="S151" s="41"/>
      <c r="T151" s="41"/>
      <c r="U151" s="43"/>
      <c r="V151" s="86"/>
      <c r="W151" s="86"/>
      <c r="X151" s="86"/>
      <c r="Y151" s="86">
        <v>1500</v>
      </c>
      <c r="Z151" s="42">
        <f t="shared" si="39"/>
        <v>9.2999999999999989</v>
      </c>
      <c r="AA151" s="42"/>
      <c r="AB151" s="42"/>
      <c r="AC151" s="44">
        <f t="shared" si="24"/>
        <v>1500</v>
      </c>
      <c r="AD151" s="44">
        <f t="shared" si="24"/>
        <v>9.2999999999999989</v>
      </c>
      <c r="AE151" s="45" t="s">
        <v>116</v>
      </c>
      <c r="AF151" s="45"/>
      <c r="AG151" s="45"/>
      <c r="AH151" s="45"/>
      <c r="AI151" s="45"/>
      <c r="AJ151" s="68">
        <v>275.77</v>
      </c>
      <c r="AK151" s="68">
        <v>1.17</v>
      </c>
      <c r="AL151" s="68"/>
      <c r="AM151" s="68"/>
      <c r="AN151" s="68"/>
      <c r="AO151" s="68"/>
      <c r="AP151" s="68"/>
      <c r="AQ151" s="68"/>
      <c r="AR151" s="68"/>
      <c r="AS151" s="68"/>
      <c r="AT151" s="68"/>
      <c r="AU151" s="68"/>
      <c r="AV151" s="68"/>
      <c r="AW151" s="68"/>
      <c r="AX151" s="68"/>
      <c r="AY151" s="68"/>
      <c r="AZ151" s="85"/>
      <c r="BA151" s="47"/>
      <c r="BB151" s="47"/>
      <c r="BC151" s="47"/>
      <c r="BD151" s="47"/>
      <c r="BE151" s="47"/>
      <c r="BF151" s="47"/>
      <c r="BG151" s="47"/>
      <c r="BH151" s="47"/>
      <c r="BI151" s="47"/>
      <c r="BJ151" s="47"/>
      <c r="BK151" s="47"/>
      <c r="BL151" s="47"/>
      <c r="BM151" s="47"/>
      <c r="BN151" s="47"/>
      <c r="BO151" s="47"/>
      <c r="BP151" s="48">
        <f t="shared" si="33"/>
        <v>275.77</v>
      </c>
      <c r="BQ151" s="49">
        <f t="shared" si="36"/>
        <v>551.54</v>
      </c>
      <c r="BR151" s="50">
        <f t="shared" si="34"/>
        <v>1.17</v>
      </c>
      <c r="BS151" s="49">
        <f t="shared" si="37"/>
        <v>2.34</v>
      </c>
    </row>
    <row r="152" spans="1:71" s="9" customFormat="1" ht="17" x14ac:dyDescent="0.15">
      <c r="A152" s="34" t="s">
        <v>381</v>
      </c>
      <c r="B152" s="35" t="s">
        <v>377</v>
      </c>
      <c r="C152" s="35" t="s">
        <v>380</v>
      </c>
      <c r="D152" s="36" t="s">
        <v>382</v>
      </c>
      <c r="E152" s="37" t="s">
        <v>98</v>
      </c>
      <c r="F152" s="38">
        <v>6.1999999999999998E-3</v>
      </c>
      <c r="G152" s="38">
        <v>225.45599999999999</v>
      </c>
      <c r="H152" s="38">
        <v>1</v>
      </c>
      <c r="I152" s="39">
        <v>1500</v>
      </c>
      <c r="J152" s="40">
        <v>9.2999999999999989</v>
      </c>
      <c r="K152" s="38"/>
      <c r="L152" s="41"/>
      <c r="M152" s="41"/>
      <c r="N152" s="41"/>
      <c r="O152" s="41"/>
      <c r="P152" s="41"/>
      <c r="Q152" s="41"/>
      <c r="R152" s="41"/>
      <c r="S152" s="41"/>
      <c r="T152" s="41"/>
      <c r="U152" s="43"/>
      <c r="V152" s="86"/>
      <c r="W152" s="86"/>
      <c r="X152" s="86"/>
      <c r="Y152" s="86">
        <v>1500</v>
      </c>
      <c r="Z152" s="42">
        <f t="shared" si="39"/>
        <v>9.2999999999999989</v>
      </c>
      <c r="AA152" s="42"/>
      <c r="AB152" s="42"/>
      <c r="AC152" s="44">
        <f t="shared" si="24"/>
        <v>1500</v>
      </c>
      <c r="AD152" s="44">
        <f t="shared" si="24"/>
        <v>9.2999999999999989</v>
      </c>
      <c r="AE152" s="45" t="s">
        <v>116</v>
      </c>
      <c r="AF152" s="45"/>
      <c r="AG152" s="45"/>
      <c r="AH152" s="45">
        <v>112.72799999999999</v>
      </c>
      <c r="AI152" s="45">
        <v>0.5</v>
      </c>
      <c r="AJ152" s="68"/>
      <c r="AK152" s="68"/>
      <c r="AL152" s="68"/>
      <c r="AM152" s="68"/>
      <c r="AN152" s="68"/>
      <c r="AO152" s="68"/>
      <c r="AP152" s="68"/>
      <c r="AQ152" s="68"/>
      <c r="AR152" s="68"/>
      <c r="AS152" s="68"/>
      <c r="AT152" s="68"/>
      <c r="AU152" s="68"/>
      <c r="AV152" s="68"/>
      <c r="AW152" s="68"/>
      <c r="AX152" s="68"/>
      <c r="AY152" s="68"/>
      <c r="AZ152" s="85"/>
      <c r="BA152" s="47"/>
      <c r="BB152" s="47"/>
      <c r="BC152" s="47"/>
      <c r="BD152" s="47"/>
      <c r="BE152" s="47"/>
      <c r="BF152" s="47"/>
      <c r="BG152" s="47"/>
      <c r="BH152" s="47"/>
      <c r="BI152" s="47"/>
      <c r="BJ152" s="47"/>
      <c r="BK152" s="47"/>
      <c r="BL152" s="47"/>
      <c r="BM152" s="47"/>
      <c r="BN152" s="47"/>
      <c r="BO152" s="47"/>
      <c r="BP152" s="48">
        <f t="shared" si="33"/>
        <v>112.72799999999999</v>
      </c>
      <c r="BQ152" s="49">
        <f t="shared" si="36"/>
        <v>225.45599999999999</v>
      </c>
      <c r="BR152" s="50">
        <f t="shared" si="34"/>
        <v>0.5</v>
      </c>
      <c r="BS152" s="49">
        <f t="shared" si="37"/>
        <v>1</v>
      </c>
    </row>
    <row r="153" spans="1:71" s="9" customFormat="1" ht="17" x14ac:dyDescent="0.15">
      <c r="A153" s="34" t="s">
        <v>383</v>
      </c>
      <c r="B153" s="35" t="s">
        <v>320</v>
      </c>
      <c r="C153" s="35" t="s">
        <v>384</v>
      </c>
      <c r="D153" s="36" t="s">
        <v>321</v>
      </c>
      <c r="E153" s="37" t="s">
        <v>98</v>
      </c>
      <c r="F153" s="38">
        <v>42.705382436260621</v>
      </c>
      <c r="G153" s="38">
        <v>2.8239999999999998</v>
      </c>
      <c r="H153" s="38">
        <v>120.6</v>
      </c>
      <c r="I153" s="39">
        <v>4</v>
      </c>
      <c r="J153" s="40">
        <v>170.82152974504248</v>
      </c>
      <c r="K153" s="38"/>
      <c r="L153" s="41"/>
      <c r="M153" s="41"/>
      <c r="N153" s="41"/>
      <c r="O153" s="41"/>
      <c r="P153" s="41"/>
      <c r="Q153" s="41"/>
      <c r="R153" s="41"/>
      <c r="S153" s="41"/>
      <c r="T153" s="41"/>
      <c r="U153" s="43"/>
      <c r="V153" s="86"/>
      <c r="W153" s="86"/>
      <c r="X153" s="86"/>
      <c r="Y153" s="86">
        <v>4</v>
      </c>
      <c r="Z153" s="42">
        <f t="shared" si="39"/>
        <v>170.82152974504248</v>
      </c>
      <c r="AA153" s="42"/>
      <c r="AB153" s="42"/>
      <c r="AC153" s="44">
        <f t="shared" si="24"/>
        <v>4</v>
      </c>
      <c r="AD153" s="44">
        <f t="shared" si="24"/>
        <v>170.82152974504248</v>
      </c>
      <c r="AE153" s="45" t="s">
        <v>116</v>
      </c>
      <c r="AF153" s="45"/>
      <c r="AG153" s="45"/>
      <c r="AH153" s="45">
        <v>1.4119999999999999</v>
      </c>
      <c r="AI153" s="45">
        <v>60.3</v>
      </c>
      <c r="AJ153" s="45"/>
      <c r="AK153" s="45"/>
      <c r="AL153" s="45"/>
      <c r="AM153" s="45"/>
      <c r="AN153" s="45"/>
      <c r="AO153" s="45"/>
      <c r="AP153" s="45"/>
      <c r="AQ153" s="45"/>
      <c r="AR153" s="45"/>
      <c r="AS153" s="45"/>
      <c r="AT153" s="45"/>
      <c r="AU153" s="45"/>
      <c r="AV153" s="45"/>
      <c r="AW153" s="45"/>
      <c r="AX153" s="45"/>
      <c r="AY153" s="45"/>
      <c r="AZ153" s="85"/>
      <c r="BA153" s="47"/>
      <c r="BB153" s="47"/>
      <c r="BC153" s="47"/>
      <c r="BD153" s="47"/>
      <c r="BE153" s="47"/>
      <c r="BF153" s="47"/>
      <c r="BG153" s="47"/>
      <c r="BH153" s="47"/>
      <c r="BI153" s="47"/>
      <c r="BJ153" s="47"/>
      <c r="BK153" s="47"/>
      <c r="BL153" s="47"/>
      <c r="BM153" s="47"/>
      <c r="BN153" s="47"/>
      <c r="BO153" s="47"/>
      <c r="BP153" s="48">
        <f t="shared" si="33"/>
        <v>1.4119999999999999</v>
      </c>
      <c r="BQ153" s="49">
        <f t="shared" si="36"/>
        <v>2.8239999999999998</v>
      </c>
      <c r="BR153" s="50">
        <f t="shared" si="34"/>
        <v>60.3</v>
      </c>
      <c r="BS153" s="49">
        <f t="shared" si="37"/>
        <v>120.6</v>
      </c>
    </row>
    <row r="154" spans="1:71" s="9" customFormat="1" ht="17" x14ac:dyDescent="0.15">
      <c r="A154" s="34" t="s">
        <v>385</v>
      </c>
      <c r="B154" s="35" t="s">
        <v>320</v>
      </c>
      <c r="C154" s="35" t="s">
        <v>386</v>
      </c>
      <c r="D154" s="36" t="s">
        <v>387</v>
      </c>
      <c r="E154" s="37" t="s">
        <v>98</v>
      </c>
      <c r="F154" s="38">
        <v>2.1099290780141846</v>
      </c>
      <c r="G154" s="38">
        <v>1.1279999999999999</v>
      </c>
      <c r="H154" s="38">
        <v>2.38</v>
      </c>
      <c r="I154" s="39">
        <v>2</v>
      </c>
      <c r="J154" s="40">
        <v>4.2198581560283692</v>
      </c>
      <c r="K154" s="38"/>
      <c r="L154" s="41"/>
      <c r="M154" s="41"/>
      <c r="N154" s="41"/>
      <c r="O154" s="41"/>
      <c r="P154" s="41"/>
      <c r="Q154" s="41"/>
      <c r="R154" s="41"/>
      <c r="S154" s="41"/>
      <c r="T154" s="41"/>
      <c r="U154" s="43"/>
      <c r="V154" s="86"/>
      <c r="W154" s="86"/>
      <c r="X154" s="86"/>
      <c r="Y154" s="86">
        <v>2</v>
      </c>
      <c r="Z154" s="42">
        <f t="shared" si="39"/>
        <v>4.2198581560283692</v>
      </c>
      <c r="AA154" s="42"/>
      <c r="AB154" s="42"/>
      <c r="AC154" s="44">
        <f t="shared" si="24"/>
        <v>2</v>
      </c>
      <c r="AD154" s="44">
        <f t="shared" si="24"/>
        <v>4.2198581560283692</v>
      </c>
      <c r="AE154" s="45" t="s">
        <v>116</v>
      </c>
      <c r="AF154" s="45"/>
      <c r="AG154" s="45"/>
      <c r="AH154" s="45">
        <v>0.56399999999999995</v>
      </c>
      <c r="AI154" s="45">
        <v>1.19</v>
      </c>
      <c r="AJ154" s="45"/>
      <c r="AK154" s="45"/>
      <c r="AL154" s="45"/>
      <c r="AM154" s="45"/>
      <c r="AN154" s="45"/>
      <c r="AO154" s="45"/>
      <c r="AP154" s="45"/>
      <c r="AQ154" s="45"/>
      <c r="AR154" s="45"/>
      <c r="AS154" s="45"/>
      <c r="AT154" s="45"/>
      <c r="AU154" s="45"/>
      <c r="AV154" s="45"/>
      <c r="AW154" s="45"/>
      <c r="AX154" s="45"/>
      <c r="AY154" s="45"/>
      <c r="AZ154" s="85"/>
      <c r="BA154" s="47"/>
      <c r="BB154" s="47"/>
      <c r="BC154" s="47"/>
      <c r="BD154" s="47"/>
      <c r="BE154" s="47"/>
      <c r="BF154" s="47"/>
      <c r="BG154" s="47"/>
      <c r="BH154" s="47"/>
      <c r="BI154" s="47"/>
      <c r="BJ154" s="47"/>
      <c r="BK154" s="47"/>
      <c r="BL154" s="47"/>
      <c r="BM154" s="47"/>
      <c r="BN154" s="47"/>
      <c r="BO154" s="47"/>
      <c r="BP154" s="48">
        <f t="shared" si="33"/>
        <v>0.56399999999999995</v>
      </c>
      <c r="BQ154" s="49">
        <f t="shared" si="36"/>
        <v>1.1279999999999999</v>
      </c>
      <c r="BR154" s="50">
        <f t="shared" si="34"/>
        <v>1.19</v>
      </c>
      <c r="BS154" s="49">
        <f t="shared" si="37"/>
        <v>2.38</v>
      </c>
    </row>
    <row r="155" spans="1:71" s="9" customFormat="1" ht="17" x14ac:dyDescent="0.15">
      <c r="A155" s="34" t="s">
        <v>388</v>
      </c>
      <c r="B155" s="35" t="s">
        <v>320</v>
      </c>
      <c r="C155" s="35" t="s">
        <v>389</v>
      </c>
      <c r="D155" s="36" t="s">
        <v>387</v>
      </c>
      <c r="E155" s="37" t="s">
        <v>98</v>
      </c>
      <c r="F155" s="38">
        <v>73.908996897621506</v>
      </c>
      <c r="G155" s="38">
        <v>1.9339999999999999</v>
      </c>
      <c r="H155" s="38">
        <v>142.94</v>
      </c>
      <c r="I155" s="39">
        <v>2.5</v>
      </c>
      <c r="J155" s="40">
        <v>184.77249224405375</v>
      </c>
      <c r="K155" s="38"/>
      <c r="L155" s="41"/>
      <c r="M155" s="41"/>
      <c r="N155" s="41"/>
      <c r="O155" s="41"/>
      <c r="P155" s="41"/>
      <c r="Q155" s="41"/>
      <c r="R155" s="41"/>
      <c r="S155" s="41"/>
      <c r="T155" s="41"/>
      <c r="U155" s="43"/>
      <c r="V155" s="86"/>
      <c r="W155" s="86"/>
      <c r="X155" s="86"/>
      <c r="Y155" s="86">
        <v>2.5</v>
      </c>
      <c r="Z155" s="42">
        <f t="shared" si="39"/>
        <v>184.77249224405375</v>
      </c>
      <c r="AA155" s="42"/>
      <c r="AB155" s="42"/>
      <c r="AC155" s="44">
        <f t="shared" si="24"/>
        <v>2.5</v>
      </c>
      <c r="AD155" s="44">
        <f t="shared" si="24"/>
        <v>184.77249224405375</v>
      </c>
      <c r="AE155" s="45" t="s">
        <v>116</v>
      </c>
      <c r="AF155" s="45"/>
      <c r="AG155" s="45"/>
      <c r="AH155" s="45">
        <v>0.96699999999999997</v>
      </c>
      <c r="AI155" s="45">
        <v>71.47</v>
      </c>
      <c r="AJ155" s="45"/>
      <c r="AK155" s="45"/>
      <c r="AL155" s="45"/>
      <c r="AM155" s="45"/>
      <c r="AN155" s="45"/>
      <c r="AO155" s="45"/>
      <c r="AP155" s="45"/>
      <c r="AQ155" s="45"/>
      <c r="AR155" s="45"/>
      <c r="AS155" s="45"/>
      <c r="AT155" s="45"/>
      <c r="AU155" s="45"/>
      <c r="AV155" s="45"/>
      <c r="AW155" s="45"/>
      <c r="AX155" s="45"/>
      <c r="AY155" s="45"/>
      <c r="AZ155" s="85"/>
      <c r="BA155" s="47"/>
      <c r="BB155" s="47"/>
      <c r="BC155" s="47"/>
      <c r="BD155" s="47"/>
      <c r="BE155" s="47"/>
      <c r="BF155" s="47"/>
      <c r="BG155" s="47"/>
      <c r="BH155" s="47"/>
      <c r="BI155" s="47"/>
      <c r="BJ155" s="47"/>
      <c r="BK155" s="47"/>
      <c r="BL155" s="47"/>
      <c r="BM155" s="47"/>
      <c r="BN155" s="47"/>
      <c r="BO155" s="47"/>
      <c r="BP155" s="48">
        <f t="shared" si="33"/>
        <v>0.96699999999999997</v>
      </c>
      <c r="BQ155" s="49">
        <f t="shared" si="36"/>
        <v>1.9339999999999999</v>
      </c>
      <c r="BR155" s="50">
        <f t="shared" si="34"/>
        <v>71.47</v>
      </c>
      <c r="BS155" s="49">
        <f t="shared" si="37"/>
        <v>142.94</v>
      </c>
    </row>
    <row r="156" spans="1:71" s="9" customFormat="1" ht="17" x14ac:dyDescent="0.15">
      <c r="A156" s="34" t="s">
        <v>390</v>
      </c>
      <c r="B156" s="35" t="s">
        <v>320</v>
      </c>
      <c r="C156" s="35" t="s">
        <v>391</v>
      </c>
      <c r="D156" s="36" t="s">
        <v>387</v>
      </c>
      <c r="E156" s="37" t="s">
        <v>98</v>
      </c>
      <c r="F156" s="38">
        <v>8.5605524079320112</v>
      </c>
      <c r="G156" s="38">
        <v>22.591999999999999</v>
      </c>
      <c r="H156" s="38">
        <v>193.4</v>
      </c>
      <c r="I156" s="39">
        <v>26</v>
      </c>
      <c r="J156" s="40">
        <v>222.57436260623228</v>
      </c>
      <c r="K156" s="38"/>
      <c r="L156" s="41"/>
      <c r="M156" s="41"/>
      <c r="N156" s="41"/>
      <c r="O156" s="41"/>
      <c r="P156" s="41"/>
      <c r="Q156" s="41"/>
      <c r="R156" s="41"/>
      <c r="S156" s="41"/>
      <c r="T156" s="41"/>
      <c r="U156" s="43"/>
      <c r="V156" s="86"/>
      <c r="W156" s="86"/>
      <c r="X156" s="86"/>
      <c r="Y156" s="86">
        <v>26</v>
      </c>
      <c r="Z156" s="42">
        <f t="shared" si="39"/>
        <v>222.57436260623228</v>
      </c>
      <c r="AA156" s="42"/>
      <c r="AB156" s="42"/>
      <c r="AC156" s="44">
        <f t="shared" si="24"/>
        <v>26</v>
      </c>
      <c r="AD156" s="44">
        <f t="shared" si="24"/>
        <v>222.57436260623228</v>
      </c>
      <c r="AE156" s="45" t="s">
        <v>116</v>
      </c>
      <c r="AF156" s="45"/>
      <c r="AG156" s="45"/>
      <c r="AH156" s="45">
        <v>11.295999999999999</v>
      </c>
      <c r="AI156" s="45">
        <v>96.7</v>
      </c>
      <c r="AJ156" s="45"/>
      <c r="AK156" s="45"/>
      <c r="AL156" s="45"/>
      <c r="AM156" s="45"/>
      <c r="AN156" s="45"/>
      <c r="AO156" s="45"/>
      <c r="AP156" s="45"/>
      <c r="AQ156" s="45"/>
      <c r="AR156" s="45"/>
      <c r="AS156" s="45"/>
      <c r="AT156" s="45"/>
      <c r="AU156" s="45"/>
      <c r="AV156" s="45"/>
      <c r="AW156" s="45"/>
      <c r="AX156" s="45"/>
      <c r="AY156" s="45"/>
      <c r="AZ156" s="85"/>
      <c r="BA156" s="47"/>
      <c r="BB156" s="47"/>
      <c r="BC156" s="47"/>
      <c r="BD156" s="47"/>
      <c r="BE156" s="47"/>
      <c r="BF156" s="47"/>
      <c r="BG156" s="47"/>
      <c r="BH156" s="47"/>
      <c r="BI156" s="47"/>
      <c r="BJ156" s="47"/>
      <c r="BK156" s="47"/>
      <c r="BL156" s="47"/>
      <c r="BM156" s="47"/>
      <c r="BN156" s="47"/>
      <c r="BO156" s="47"/>
      <c r="BP156" s="48">
        <f t="shared" si="33"/>
        <v>11.295999999999999</v>
      </c>
      <c r="BQ156" s="49">
        <f t="shared" si="36"/>
        <v>22.591999999999999</v>
      </c>
      <c r="BR156" s="50">
        <f t="shared" si="34"/>
        <v>96.7</v>
      </c>
      <c r="BS156" s="49">
        <f t="shared" si="37"/>
        <v>193.4</v>
      </c>
    </row>
    <row r="157" spans="1:71" s="9" customFormat="1" ht="17" x14ac:dyDescent="0.15">
      <c r="A157" s="34" t="s">
        <v>392</v>
      </c>
      <c r="B157" s="71" t="s">
        <v>393</v>
      </c>
      <c r="C157" s="34" t="s">
        <v>394</v>
      </c>
      <c r="D157" s="37" t="s">
        <v>382</v>
      </c>
      <c r="E157" s="36" t="s">
        <v>53</v>
      </c>
      <c r="F157" s="73">
        <v>1.369</v>
      </c>
      <c r="G157" s="38">
        <v>1500</v>
      </c>
      <c r="H157" s="38">
        <v>2053.5</v>
      </c>
      <c r="I157" s="39"/>
      <c r="J157" s="40"/>
      <c r="K157" s="38"/>
      <c r="L157" s="41"/>
      <c r="M157" s="41"/>
      <c r="N157" s="41"/>
      <c r="O157" s="41"/>
      <c r="P157" s="41"/>
      <c r="Q157" s="41"/>
      <c r="R157" s="41"/>
      <c r="S157" s="41"/>
      <c r="T157" s="41"/>
      <c r="U157" s="43"/>
      <c r="V157" s="86"/>
      <c r="W157" s="86"/>
      <c r="X157" s="86"/>
      <c r="Y157" s="86"/>
      <c r="Z157" s="42"/>
      <c r="AA157" s="42">
        <v>1600</v>
      </c>
      <c r="AB157" s="42">
        <f>+AA157*F157</f>
        <v>2190.4</v>
      </c>
      <c r="AC157" s="44">
        <f t="shared" si="24"/>
        <v>1600</v>
      </c>
      <c r="AD157" s="44">
        <f t="shared" si="24"/>
        <v>2190.4</v>
      </c>
      <c r="AE157" s="45" t="s">
        <v>54</v>
      </c>
      <c r="AF157" s="45">
        <v>750</v>
      </c>
      <c r="AG157" s="45">
        <v>1026.75</v>
      </c>
      <c r="AH157" s="45"/>
      <c r="AI157" s="45"/>
      <c r="AJ157" s="45"/>
      <c r="AK157" s="45"/>
      <c r="AL157" s="45"/>
      <c r="AM157" s="45"/>
      <c r="AN157" s="45"/>
      <c r="AO157" s="45"/>
      <c r="AP157" s="45"/>
      <c r="AQ157" s="45"/>
      <c r="AR157" s="45"/>
      <c r="AS157" s="45"/>
      <c r="AT157" s="45"/>
      <c r="AU157" s="45"/>
      <c r="AV157" s="45"/>
      <c r="AW157" s="45"/>
      <c r="AX157" s="45"/>
      <c r="AY157" s="45"/>
      <c r="AZ157" s="85"/>
      <c r="BA157" s="47"/>
      <c r="BB157" s="47"/>
      <c r="BC157" s="47"/>
      <c r="BD157" s="47"/>
      <c r="BE157" s="47"/>
      <c r="BF157" s="47"/>
      <c r="BG157" s="47"/>
      <c r="BH157" s="47"/>
      <c r="BI157" s="47"/>
      <c r="BJ157" s="47"/>
      <c r="BK157" s="47"/>
      <c r="BL157" s="47"/>
      <c r="BM157" s="47"/>
      <c r="BN157" s="47"/>
      <c r="BO157" s="47"/>
      <c r="BP157" s="48">
        <f t="shared" si="33"/>
        <v>750</v>
      </c>
      <c r="BQ157" s="49">
        <f t="shared" si="36"/>
        <v>1500</v>
      </c>
      <c r="BR157" s="50">
        <f t="shared" si="34"/>
        <v>1026.75</v>
      </c>
      <c r="BS157" s="49">
        <f t="shared" si="37"/>
        <v>2053.5</v>
      </c>
    </row>
    <row r="158" spans="1:71" s="9" customFormat="1" ht="17" x14ac:dyDescent="0.15">
      <c r="A158" s="34" t="s">
        <v>395</v>
      </c>
      <c r="B158" s="35" t="s">
        <v>330</v>
      </c>
      <c r="C158" s="35" t="s">
        <v>338</v>
      </c>
      <c r="D158" s="37" t="s">
        <v>382</v>
      </c>
      <c r="E158" s="36" t="s">
        <v>53</v>
      </c>
      <c r="F158" s="38">
        <f>12*7.93</f>
        <v>95.16</v>
      </c>
      <c r="G158" s="38">
        <v>22.667597999999998</v>
      </c>
      <c r="H158" s="38">
        <v>2157.0486256799995</v>
      </c>
      <c r="I158" s="39"/>
      <c r="J158" s="40"/>
      <c r="K158" s="38"/>
      <c r="L158" s="41"/>
      <c r="M158" s="41"/>
      <c r="N158" s="41"/>
      <c r="O158" s="41"/>
      <c r="P158" s="41"/>
      <c r="Q158" s="41"/>
      <c r="R158" s="41"/>
      <c r="S158" s="41"/>
      <c r="T158" s="41"/>
      <c r="U158" s="43"/>
      <c r="V158" s="86"/>
      <c r="W158" s="86"/>
      <c r="X158" s="86"/>
      <c r="Y158" s="86"/>
      <c r="Z158" s="42"/>
      <c r="AA158" s="42">
        <v>27</v>
      </c>
      <c r="AB158" s="42">
        <f>+AA158*F158</f>
        <v>2569.3199999999997</v>
      </c>
      <c r="AC158" s="44">
        <f t="shared" ref="AC158:AD158" si="40">+I158+AA158</f>
        <v>27</v>
      </c>
      <c r="AD158" s="44">
        <f t="shared" si="40"/>
        <v>2569.3199999999997</v>
      </c>
      <c r="AE158" s="45" t="s">
        <v>54</v>
      </c>
      <c r="AF158" s="45"/>
      <c r="AG158" s="45"/>
      <c r="AH158" s="45"/>
      <c r="AI158" s="45"/>
      <c r="AJ158" s="45"/>
      <c r="AK158" s="45"/>
      <c r="AL158" s="45"/>
      <c r="AM158" s="45"/>
      <c r="AN158" s="45"/>
      <c r="AO158" s="45"/>
      <c r="AP158" s="45"/>
      <c r="AQ158" s="45"/>
      <c r="AR158" s="45"/>
      <c r="AS158" s="45"/>
      <c r="AT158" s="45"/>
      <c r="AU158" s="45"/>
      <c r="AV158" s="45"/>
      <c r="AW158" s="45"/>
      <c r="AX158" s="45"/>
      <c r="AY158" s="45"/>
      <c r="AZ158" s="85"/>
      <c r="BA158" s="47"/>
      <c r="BB158" s="47"/>
      <c r="BC158" s="47"/>
      <c r="BD158" s="47"/>
      <c r="BE158" s="47"/>
      <c r="BF158" s="47"/>
      <c r="BG158" s="47"/>
      <c r="BH158" s="47"/>
      <c r="BI158" s="47"/>
      <c r="BJ158" s="47"/>
      <c r="BK158" s="47"/>
      <c r="BL158" s="47">
        <v>11.333798999999999</v>
      </c>
      <c r="BM158" s="47">
        <v>1078.5243128399998</v>
      </c>
      <c r="BN158" s="47"/>
      <c r="BO158" s="47"/>
      <c r="BP158" s="48">
        <f t="shared" si="33"/>
        <v>11.333798999999999</v>
      </c>
      <c r="BQ158" s="49">
        <f t="shared" si="36"/>
        <v>22.667597999999998</v>
      </c>
      <c r="BR158" s="50">
        <f t="shared" si="34"/>
        <v>1078.5243128399998</v>
      </c>
      <c r="BS158" s="49">
        <f t="shared" si="37"/>
        <v>2157.0486256799995</v>
      </c>
    </row>
    <row r="159" spans="1:71" s="9" customFormat="1" ht="17" x14ac:dyDescent="0.15">
      <c r="A159" s="74" t="s">
        <v>396</v>
      </c>
      <c r="B159" s="214" t="s">
        <v>397</v>
      </c>
      <c r="C159" s="215"/>
      <c r="D159" s="90"/>
      <c r="E159" s="76"/>
      <c r="F159" s="77"/>
      <c r="G159" s="77"/>
      <c r="H159" s="79">
        <f>+SUM(H160:H161)</f>
        <v>17380.2</v>
      </c>
      <c r="I159" s="80"/>
      <c r="J159" s="91"/>
      <c r="K159" s="77"/>
      <c r="L159" s="81"/>
      <c r="M159" s="81"/>
      <c r="N159" s="81"/>
      <c r="O159" s="81"/>
      <c r="P159" s="81"/>
      <c r="Q159" s="81"/>
      <c r="R159" s="81"/>
      <c r="S159" s="81"/>
      <c r="T159" s="81"/>
      <c r="U159" s="82"/>
      <c r="V159" s="81"/>
      <c r="W159" s="81"/>
      <c r="X159" s="81"/>
      <c r="Y159" s="81"/>
      <c r="Z159" s="81"/>
      <c r="AA159" s="81"/>
      <c r="AB159" s="79">
        <f>+SUM(AB160:AB161)</f>
        <v>17380.2</v>
      </c>
      <c r="AC159" s="83"/>
      <c r="AD159" s="79">
        <f>+SUM(AD160:AD161)</f>
        <v>17380.2</v>
      </c>
      <c r="AE159" s="84"/>
      <c r="AF159" s="84"/>
      <c r="AG159" s="84"/>
      <c r="AH159" s="84"/>
      <c r="AI159" s="84"/>
      <c r="AJ159" s="84"/>
      <c r="AK159" s="84"/>
      <c r="AL159" s="84"/>
      <c r="AM159" s="84"/>
      <c r="AN159" s="84"/>
      <c r="AO159" s="84"/>
      <c r="AP159" s="84"/>
      <c r="AQ159" s="84"/>
      <c r="AR159" s="84"/>
      <c r="AS159" s="84"/>
      <c r="AT159" s="84"/>
      <c r="AU159" s="84"/>
      <c r="AV159" s="84"/>
      <c r="AW159" s="84"/>
      <c r="AX159" s="84"/>
      <c r="AY159" s="84"/>
      <c r="AZ159" s="85"/>
      <c r="BA159" s="47"/>
      <c r="BB159" s="47"/>
      <c r="BC159" s="47"/>
      <c r="BD159" s="47"/>
      <c r="BE159" s="47"/>
      <c r="BF159" s="47"/>
      <c r="BG159" s="47"/>
      <c r="BH159" s="47"/>
      <c r="BI159" s="47"/>
      <c r="BJ159" s="47"/>
      <c r="BK159" s="47"/>
      <c r="BL159" s="47"/>
      <c r="BM159" s="47"/>
      <c r="BN159" s="47"/>
      <c r="BO159" s="47"/>
      <c r="BP159" s="48">
        <f t="shared" si="33"/>
        <v>0</v>
      </c>
      <c r="BQ159" s="49">
        <f t="shared" si="36"/>
        <v>0</v>
      </c>
      <c r="BR159" s="50">
        <f t="shared" si="34"/>
        <v>0</v>
      </c>
      <c r="BS159" s="49">
        <f t="shared" si="37"/>
        <v>0</v>
      </c>
    </row>
    <row r="160" spans="1:71" s="9" customFormat="1" ht="17" x14ac:dyDescent="0.15">
      <c r="A160" s="35" t="s">
        <v>398</v>
      </c>
      <c r="B160" s="35" t="s">
        <v>399</v>
      </c>
      <c r="C160" s="35" t="s">
        <v>400</v>
      </c>
      <c r="D160" s="36" t="s">
        <v>401</v>
      </c>
      <c r="E160" s="37" t="s">
        <v>402</v>
      </c>
      <c r="F160" s="38"/>
      <c r="G160" s="38"/>
      <c r="H160" s="38">
        <v>6586.42</v>
      </c>
      <c r="I160" s="39"/>
      <c r="J160" s="40"/>
      <c r="K160" s="38"/>
      <c r="L160" s="41"/>
      <c r="M160" s="41"/>
      <c r="N160" s="41"/>
      <c r="O160" s="41"/>
      <c r="P160" s="41"/>
      <c r="Q160" s="41"/>
      <c r="R160" s="41"/>
      <c r="S160" s="41"/>
      <c r="T160" s="41"/>
      <c r="U160" s="43"/>
      <c r="V160" s="41"/>
      <c r="W160" s="41"/>
      <c r="X160" s="41"/>
      <c r="Y160" s="41"/>
      <c r="Z160" s="41"/>
      <c r="AA160" s="41"/>
      <c r="AB160" s="41">
        <v>6586.42</v>
      </c>
      <c r="AC160" s="44">
        <f t="shared" ref="AC160:AD161" si="41">+I160+AA160</f>
        <v>0</v>
      </c>
      <c r="AD160" s="44">
        <f t="shared" si="41"/>
        <v>6586.42</v>
      </c>
      <c r="AE160" s="45" t="s">
        <v>54</v>
      </c>
      <c r="AF160" s="45"/>
      <c r="AG160" s="45"/>
      <c r="AH160" s="45"/>
      <c r="AI160" s="45"/>
      <c r="AJ160" s="45"/>
      <c r="AK160" s="45"/>
      <c r="AL160" s="45"/>
      <c r="AM160" s="45"/>
      <c r="AN160" s="45"/>
      <c r="AO160" s="45"/>
      <c r="AP160" s="45"/>
      <c r="AQ160" s="45"/>
      <c r="AR160" s="45"/>
      <c r="AS160" s="45"/>
      <c r="AT160" s="45"/>
      <c r="AU160" s="45"/>
      <c r="AV160" s="45"/>
      <c r="AW160" s="45"/>
      <c r="AX160" s="45"/>
      <c r="AY160" s="45"/>
      <c r="AZ160" s="85"/>
      <c r="BA160" s="47"/>
      <c r="BB160" s="47"/>
      <c r="BC160" s="47"/>
      <c r="BD160" s="47"/>
      <c r="BE160" s="47"/>
      <c r="BF160" s="47"/>
      <c r="BG160" s="47">
        <v>3293.21</v>
      </c>
      <c r="BH160" s="47"/>
      <c r="BI160" s="47"/>
      <c r="BJ160" s="47"/>
      <c r="BK160" s="47"/>
      <c r="BL160" s="47"/>
      <c r="BM160" s="47"/>
      <c r="BN160" s="47"/>
      <c r="BO160" s="47"/>
      <c r="BP160" s="48">
        <f t="shared" si="33"/>
        <v>0</v>
      </c>
      <c r="BQ160" s="49">
        <f t="shared" si="36"/>
        <v>0</v>
      </c>
      <c r="BR160" s="50">
        <f t="shared" si="34"/>
        <v>3293.21</v>
      </c>
      <c r="BS160" s="49">
        <f t="shared" si="37"/>
        <v>6586.42</v>
      </c>
    </row>
    <row r="161" spans="1:71" s="9" customFormat="1" ht="17" x14ac:dyDescent="0.15">
      <c r="A161" s="35" t="s">
        <v>403</v>
      </c>
      <c r="B161" s="35" t="s">
        <v>404</v>
      </c>
      <c r="C161" s="35" t="s">
        <v>405</v>
      </c>
      <c r="D161" s="36" t="s">
        <v>401</v>
      </c>
      <c r="E161" s="37" t="s">
        <v>402</v>
      </c>
      <c r="F161" s="38"/>
      <c r="G161" s="38"/>
      <c r="H161" s="38">
        <v>10793.78</v>
      </c>
      <c r="I161" s="39"/>
      <c r="J161" s="40"/>
      <c r="K161" s="38"/>
      <c r="L161" s="41"/>
      <c r="M161" s="41"/>
      <c r="N161" s="41"/>
      <c r="O161" s="41"/>
      <c r="P161" s="41"/>
      <c r="Q161" s="41"/>
      <c r="R161" s="41"/>
      <c r="S161" s="41"/>
      <c r="T161" s="41"/>
      <c r="U161" s="43"/>
      <c r="V161" s="41"/>
      <c r="W161" s="41"/>
      <c r="X161" s="41"/>
      <c r="Y161" s="41"/>
      <c r="Z161" s="41"/>
      <c r="AA161" s="41"/>
      <c r="AB161" s="41">
        <v>10793.78</v>
      </c>
      <c r="AC161" s="44">
        <f t="shared" si="41"/>
        <v>0</v>
      </c>
      <c r="AD161" s="44">
        <f t="shared" si="41"/>
        <v>10793.78</v>
      </c>
      <c r="AE161" s="45" t="s">
        <v>54</v>
      </c>
      <c r="AF161" s="45"/>
      <c r="AG161" s="45"/>
      <c r="AH161" s="45"/>
      <c r="AI161" s="45"/>
      <c r="AJ161" s="45"/>
      <c r="AK161" s="45"/>
      <c r="AL161" s="45"/>
      <c r="AM161" s="45"/>
      <c r="AN161" s="45"/>
      <c r="AO161" s="45"/>
      <c r="AP161" s="45"/>
      <c r="AQ161" s="45"/>
      <c r="AR161" s="45"/>
      <c r="AS161" s="45"/>
      <c r="AT161" s="45"/>
      <c r="AU161" s="45"/>
      <c r="AV161" s="45"/>
      <c r="AW161" s="45"/>
      <c r="AX161" s="45"/>
      <c r="AY161" s="45"/>
      <c r="AZ161" s="85"/>
      <c r="BA161" s="47"/>
      <c r="BB161" s="47"/>
      <c r="BC161" s="47"/>
      <c r="BD161" s="47"/>
      <c r="BE161" s="47"/>
      <c r="BF161" s="47"/>
      <c r="BG161" s="47">
        <v>5396.89</v>
      </c>
      <c r="BH161" s="47"/>
      <c r="BI161" s="47"/>
      <c r="BJ161" s="47"/>
      <c r="BK161" s="47"/>
      <c r="BL161" s="47"/>
      <c r="BM161" s="47"/>
      <c r="BN161" s="47"/>
      <c r="BO161" s="47"/>
      <c r="BP161" s="48">
        <f t="shared" si="33"/>
        <v>0</v>
      </c>
      <c r="BQ161" s="49">
        <f t="shared" si="36"/>
        <v>0</v>
      </c>
      <c r="BR161" s="50">
        <f t="shared" si="34"/>
        <v>5396.89</v>
      </c>
      <c r="BS161" s="49">
        <f t="shared" si="37"/>
        <v>10793.78</v>
      </c>
    </row>
    <row r="162" spans="1:71" s="9" customFormat="1" ht="17" x14ac:dyDescent="0.15">
      <c r="A162" s="74" t="s">
        <v>406</v>
      </c>
      <c r="B162" s="214" t="s">
        <v>407</v>
      </c>
      <c r="C162" s="215"/>
      <c r="D162" s="90"/>
      <c r="E162" s="76"/>
      <c r="F162" s="77"/>
      <c r="G162" s="77"/>
      <c r="H162" s="79">
        <f>+SUM(H163:H211)</f>
        <v>201133.43934062592</v>
      </c>
      <c r="I162" s="80"/>
      <c r="J162" s="79">
        <f>+SUM(J163:J211)</f>
        <v>222094.69781659389</v>
      </c>
      <c r="K162" s="77"/>
      <c r="L162" s="81"/>
      <c r="M162" s="81"/>
      <c r="N162" s="81"/>
      <c r="O162" s="81"/>
      <c r="P162" s="81"/>
      <c r="Q162" s="81"/>
      <c r="R162" s="81"/>
      <c r="S162" s="81"/>
      <c r="T162" s="81"/>
      <c r="U162" s="82"/>
      <c r="V162" s="79">
        <f>+SUM(V163:V201)</f>
        <v>196873.49781659388</v>
      </c>
      <c r="W162" s="79"/>
      <c r="X162" s="79"/>
      <c r="Y162" s="79"/>
      <c r="Z162" s="79">
        <f>+SUM(Z163:Z211)</f>
        <v>25221.200000000001</v>
      </c>
      <c r="AA162" s="79"/>
      <c r="AB162" s="79">
        <f>+SUM(AB163:AB211)</f>
        <v>0</v>
      </c>
      <c r="AC162" s="83"/>
      <c r="AD162" s="79">
        <f>+SUM(AD163:AD211)</f>
        <v>222094.69781659389</v>
      </c>
      <c r="AE162" s="84"/>
      <c r="AF162" s="84"/>
      <c r="AG162" s="84"/>
      <c r="AH162" s="84"/>
      <c r="AI162" s="84"/>
      <c r="AJ162" s="84"/>
      <c r="AK162" s="84"/>
      <c r="AL162" s="84"/>
      <c r="AM162" s="84"/>
      <c r="AN162" s="84"/>
      <c r="AO162" s="84"/>
      <c r="AP162" s="84"/>
      <c r="AQ162" s="84"/>
      <c r="AR162" s="84"/>
      <c r="AS162" s="84"/>
      <c r="AT162" s="84"/>
      <c r="AU162" s="84"/>
      <c r="AV162" s="84"/>
      <c r="AW162" s="84"/>
      <c r="AX162" s="84"/>
      <c r="AY162" s="84"/>
      <c r="AZ162" s="85"/>
      <c r="BA162" s="47"/>
      <c r="BB162" s="47"/>
      <c r="BC162" s="47"/>
      <c r="BD162" s="47"/>
      <c r="BE162" s="47"/>
      <c r="BF162" s="47"/>
      <c r="BG162" s="47"/>
      <c r="BH162" s="47"/>
      <c r="BI162" s="47"/>
      <c r="BJ162" s="47"/>
      <c r="BK162" s="47"/>
      <c r="BL162" s="47"/>
      <c r="BM162" s="47"/>
      <c r="BN162" s="47"/>
      <c r="BO162" s="47"/>
      <c r="BP162" s="48">
        <f t="shared" si="33"/>
        <v>0</v>
      </c>
      <c r="BQ162" s="49">
        <f t="shared" si="36"/>
        <v>0</v>
      </c>
      <c r="BR162" s="50">
        <f t="shared" si="34"/>
        <v>0</v>
      </c>
      <c r="BS162" s="49">
        <f t="shared" si="37"/>
        <v>0</v>
      </c>
    </row>
    <row r="163" spans="1:71" s="9" customFormat="1" ht="17" x14ac:dyDescent="0.15">
      <c r="A163" s="35" t="s">
        <v>408</v>
      </c>
      <c r="B163" s="35" t="s">
        <v>409</v>
      </c>
      <c r="C163" s="35" t="s">
        <v>410</v>
      </c>
      <c r="D163" s="36" t="s">
        <v>411</v>
      </c>
      <c r="E163" s="37" t="s">
        <v>53</v>
      </c>
      <c r="F163" s="38">
        <v>0.37991266375545851</v>
      </c>
      <c r="G163" s="38">
        <v>17.125828241113133</v>
      </c>
      <c r="H163" s="38">
        <v>6.5079627776000013</v>
      </c>
      <c r="I163" s="39">
        <v>25</v>
      </c>
      <c r="J163" s="40">
        <v>9.497816593886462</v>
      </c>
      <c r="K163" s="38"/>
      <c r="L163" s="41"/>
      <c r="M163" s="41"/>
      <c r="N163" s="41"/>
      <c r="O163" s="41"/>
      <c r="P163" s="41"/>
      <c r="Q163" s="41"/>
      <c r="R163" s="41"/>
      <c r="S163" s="41"/>
      <c r="T163" s="41"/>
      <c r="U163" s="43">
        <v>25</v>
      </c>
      <c r="V163" s="86">
        <f>+U163*F163</f>
        <v>9.497816593886462</v>
      </c>
      <c r="W163" s="86"/>
      <c r="X163" s="86"/>
      <c r="Y163" s="86"/>
      <c r="Z163" s="86"/>
      <c r="AA163" s="86"/>
      <c r="AB163" s="86"/>
      <c r="AC163" s="44">
        <f t="shared" ref="AC163:AD211" si="42">+I163+AA163</f>
        <v>25</v>
      </c>
      <c r="AD163" s="44">
        <f t="shared" si="42"/>
        <v>9.497816593886462</v>
      </c>
      <c r="AE163" s="45" t="s">
        <v>222</v>
      </c>
      <c r="AF163" s="45"/>
      <c r="AG163" s="45"/>
      <c r="AH163" s="45"/>
      <c r="AI163" s="45"/>
      <c r="AJ163" s="45"/>
      <c r="AK163" s="45"/>
      <c r="AL163" s="45"/>
      <c r="AM163" s="45"/>
      <c r="AN163" s="45"/>
      <c r="AO163" s="45"/>
      <c r="AP163" s="45"/>
      <c r="AQ163" s="45"/>
      <c r="AR163" s="45"/>
      <c r="AS163" s="45"/>
      <c r="AT163" s="45"/>
      <c r="AU163" s="45"/>
      <c r="AV163" s="45"/>
      <c r="AW163" s="45"/>
      <c r="AX163" s="45">
        <v>0.52600000000000002</v>
      </c>
      <c r="AY163" s="45">
        <v>0.2</v>
      </c>
      <c r="AZ163" s="92">
        <v>0.52643678160919538</v>
      </c>
      <c r="BA163" s="58">
        <v>0.2</v>
      </c>
      <c r="BB163" s="58"/>
      <c r="BC163" s="58"/>
      <c r="BD163" s="58"/>
      <c r="BE163" s="58"/>
      <c r="BF163" s="58"/>
      <c r="BG163" s="58"/>
      <c r="BH163" s="58"/>
      <c r="BI163" s="58"/>
      <c r="BJ163" s="58"/>
      <c r="BK163" s="58"/>
      <c r="BL163" s="58">
        <v>7.5104773389473705</v>
      </c>
      <c r="BM163" s="58">
        <v>2.8539813888000007</v>
      </c>
      <c r="BN163" s="58"/>
      <c r="BO163" s="58"/>
      <c r="BP163" s="48">
        <f t="shared" si="33"/>
        <v>8.5629141205565666</v>
      </c>
      <c r="BQ163" s="49">
        <f t="shared" si="36"/>
        <v>17.125828241113133</v>
      </c>
      <c r="BR163" s="50">
        <f t="shared" si="34"/>
        <v>3.2539813888000007</v>
      </c>
      <c r="BS163" s="49">
        <f t="shared" si="37"/>
        <v>6.5079627776000013</v>
      </c>
    </row>
    <row r="164" spans="1:71" s="9" customFormat="1" ht="17" x14ac:dyDescent="0.15">
      <c r="A164" s="35" t="s">
        <v>412</v>
      </c>
      <c r="B164" s="35" t="s">
        <v>409</v>
      </c>
      <c r="C164" s="35" t="s">
        <v>413</v>
      </c>
      <c r="D164" s="36" t="s">
        <v>414</v>
      </c>
      <c r="E164" s="37" t="s">
        <v>415</v>
      </c>
      <c r="F164" s="38">
        <v>128</v>
      </c>
      <c r="G164" s="38">
        <v>6.6691376294400007</v>
      </c>
      <c r="H164" s="38">
        <v>853.64961656832008</v>
      </c>
      <c r="I164" s="39">
        <v>8</v>
      </c>
      <c r="J164" s="40">
        <v>1024</v>
      </c>
      <c r="K164" s="38"/>
      <c r="L164" s="41"/>
      <c r="M164" s="41"/>
      <c r="N164" s="41"/>
      <c r="O164" s="41"/>
      <c r="P164" s="41"/>
      <c r="Q164" s="41"/>
      <c r="R164" s="41"/>
      <c r="S164" s="41"/>
      <c r="T164" s="41"/>
      <c r="U164" s="43">
        <v>8</v>
      </c>
      <c r="V164" s="86">
        <f>+U164*F164</f>
        <v>1024</v>
      </c>
      <c r="W164" s="86"/>
      <c r="X164" s="86"/>
      <c r="Y164" s="86"/>
      <c r="Z164" s="86"/>
      <c r="AA164" s="86"/>
      <c r="AB164" s="86"/>
      <c r="AC164" s="44">
        <f t="shared" si="42"/>
        <v>8</v>
      </c>
      <c r="AD164" s="44">
        <f t="shared" si="42"/>
        <v>1024</v>
      </c>
      <c r="AE164" s="45" t="s">
        <v>222</v>
      </c>
      <c r="AF164" s="45"/>
      <c r="AG164" s="45"/>
      <c r="AH164" s="45"/>
      <c r="AI164" s="45"/>
      <c r="AJ164" s="45"/>
      <c r="AK164" s="45"/>
      <c r="AL164" s="45"/>
      <c r="AM164" s="45"/>
      <c r="AN164" s="45"/>
      <c r="AO164" s="45"/>
      <c r="AP164" s="45"/>
      <c r="AQ164" s="45"/>
      <c r="AR164" s="45"/>
      <c r="AS164" s="45"/>
      <c r="AT164" s="45"/>
      <c r="AU164" s="45"/>
      <c r="AV164" s="45"/>
      <c r="AW164" s="45"/>
      <c r="AX164" s="45"/>
      <c r="AY164" s="45"/>
      <c r="AZ164" s="85"/>
      <c r="BA164" s="47"/>
      <c r="BB164" s="47">
        <v>2.6220024979200005</v>
      </c>
      <c r="BC164" s="47">
        <v>335.61631973376006</v>
      </c>
      <c r="BD164" s="47"/>
      <c r="BE164" s="47"/>
      <c r="BF164" s="47"/>
      <c r="BG164" s="47"/>
      <c r="BH164" s="47"/>
      <c r="BI164" s="47"/>
      <c r="BJ164" s="47"/>
      <c r="BK164" s="47"/>
      <c r="BL164" s="47">
        <v>0.62198585279999996</v>
      </c>
      <c r="BM164" s="47">
        <v>79.614189158399995</v>
      </c>
      <c r="BN164" s="47">
        <v>9.0580463999999999E-2</v>
      </c>
      <c r="BO164" s="47">
        <v>11.594299392</v>
      </c>
      <c r="BP164" s="48">
        <f t="shared" si="33"/>
        <v>3.3345688147200003</v>
      </c>
      <c r="BQ164" s="49">
        <f t="shared" si="36"/>
        <v>6.6691376294400007</v>
      </c>
      <c r="BR164" s="50">
        <f t="shared" si="34"/>
        <v>426.82480828416004</v>
      </c>
      <c r="BS164" s="49">
        <f t="shared" si="37"/>
        <v>853.64961656832008</v>
      </c>
    </row>
    <row r="165" spans="1:71" s="9" customFormat="1" ht="17" x14ac:dyDescent="0.15">
      <c r="A165" s="35" t="s">
        <v>416</v>
      </c>
      <c r="B165" s="35" t="s">
        <v>409</v>
      </c>
      <c r="C165" s="35" t="s">
        <v>417</v>
      </c>
      <c r="D165" s="36" t="s">
        <v>414</v>
      </c>
      <c r="E165" s="37" t="s">
        <v>415</v>
      </c>
      <c r="F165" s="38">
        <v>128</v>
      </c>
      <c r="G165" s="38">
        <v>122.10875467538462</v>
      </c>
      <c r="H165" s="38">
        <v>15629.920598449231</v>
      </c>
      <c r="I165" s="39">
        <v>134</v>
      </c>
      <c r="J165" s="40">
        <v>17152</v>
      </c>
      <c r="K165" s="38"/>
      <c r="L165" s="41"/>
      <c r="M165" s="41"/>
      <c r="N165" s="41"/>
      <c r="O165" s="41"/>
      <c r="P165" s="41"/>
      <c r="Q165" s="41"/>
      <c r="R165" s="41"/>
      <c r="S165" s="41"/>
      <c r="T165" s="41"/>
      <c r="U165" s="43">
        <v>100</v>
      </c>
      <c r="V165" s="86">
        <f t="shared" ref="V165:V166" si="43">+U165*F165</f>
        <v>12800</v>
      </c>
      <c r="W165" s="86"/>
      <c r="X165" s="86"/>
      <c r="Y165" s="86">
        <v>34</v>
      </c>
      <c r="Z165" s="86">
        <f>+Y165*F165</f>
        <v>4352</v>
      </c>
      <c r="AA165" s="86"/>
      <c r="AB165" s="86"/>
      <c r="AC165" s="44">
        <f t="shared" si="42"/>
        <v>134</v>
      </c>
      <c r="AD165" s="44">
        <f t="shared" si="42"/>
        <v>17152</v>
      </c>
      <c r="AE165" s="45" t="s">
        <v>222</v>
      </c>
      <c r="AF165" s="45">
        <v>17.998551682692309</v>
      </c>
      <c r="AG165" s="45">
        <v>2303.8146153846155</v>
      </c>
      <c r="AH165" s="45">
        <v>13.346781249999999</v>
      </c>
      <c r="AI165" s="45">
        <v>1708.3879999999999</v>
      </c>
      <c r="AJ165" s="45"/>
      <c r="AK165" s="45"/>
      <c r="AL165" s="45"/>
      <c r="AM165" s="45"/>
      <c r="AN165" s="45"/>
      <c r="AO165" s="45"/>
      <c r="AP165" s="45"/>
      <c r="AQ165" s="45"/>
      <c r="AR165" s="45">
        <v>3.1803125000000003</v>
      </c>
      <c r="AS165" s="45">
        <v>407.08000000000004</v>
      </c>
      <c r="AT165" s="45"/>
      <c r="AU165" s="45"/>
      <c r="AV165" s="45">
        <v>4.8310468750000002</v>
      </c>
      <c r="AW165" s="45">
        <v>618.37400000000002</v>
      </c>
      <c r="AX165" s="45">
        <v>0.8153125</v>
      </c>
      <c r="AY165" s="45">
        <v>104.36</v>
      </c>
      <c r="AZ165" s="87">
        <f>+BA165/128</f>
        <v>10.07078125</v>
      </c>
      <c r="BA165" s="47">
        <v>1289.06</v>
      </c>
      <c r="BB165" s="47">
        <v>5.0539253760000005</v>
      </c>
      <c r="BC165" s="47">
        <v>646.90244812800006</v>
      </c>
      <c r="BD165" s="47"/>
      <c r="BE165" s="47"/>
      <c r="BF165" s="47"/>
      <c r="BG165" s="47"/>
      <c r="BH165" s="47"/>
      <c r="BI165" s="47"/>
      <c r="BJ165" s="47"/>
      <c r="BK165" s="47"/>
      <c r="BL165" s="47">
        <v>5.2304411520000009</v>
      </c>
      <c r="BM165" s="47">
        <v>669.49646745600012</v>
      </c>
      <c r="BN165" s="47">
        <v>0.52722475200000007</v>
      </c>
      <c r="BO165" s="47">
        <v>67.48476825600001</v>
      </c>
      <c r="BP165" s="48">
        <f t="shared" si="33"/>
        <v>61.054377337692308</v>
      </c>
      <c r="BQ165" s="49">
        <f t="shared" si="36"/>
        <v>122.10875467538462</v>
      </c>
      <c r="BR165" s="50">
        <f t="shared" si="34"/>
        <v>7814.9602992246155</v>
      </c>
      <c r="BS165" s="49">
        <f t="shared" si="37"/>
        <v>15629.920598449231</v>
      </c>
    </row>
    <row r="166" spans="1:71" s="9" customFormat="1" ht="17" x14ac:dyDescent="0.15">
      <c r="A166" s="35" t="s">
        <v>418</v>
      </c>
      <c r="B166" s="35" t="s">
        <v>409</v>
      </c>
      <c r="C166" s="35" t="s">
        <v>419</v>
      </c>
      <c r="D166" s="36" t="s">
        <v>414</v>
      </c>
      <c r="E166" s="37" t="s">
        <v>415</v>
      </c>
      <c r="F166" s="38">
        <v>128</v>
      </c>
      <c r="G166" s="38">
        <v>1442.5262590846153</v>
      </c>
      <c r="H166" s="38">
        <v>184643.36116283076</v>
      </c>
      <c r="I166" s="39">
        <v>1593.0406250000001</v>
      </c>
      <c r="J166" s="40">
        <v>203909.2</v>
      </c>
      <c r="K166" s="38"/>
      <c r="L166" s="41"/>
      <c r="M166" s="41"/>
      <c r="N166" s="41"/>
      <c r="O166" s="41"/>
      <c r="P166" s="41"/>
      <c r="Q166" s="41"/>
      <c r="R166" s="41"/>
      <c r="S166" s="41"/>
      <c r="T166" s="41"/>
      <c r="U166" s="43">
        <v>1430</v>
      </c>
      <c r="V166" s="86">
        <f t="shared" si="43"/>
        <v>183040</v>
      </c>
      <c r="W166" s="86"/>
      <c r="X166" s="86"/>
      <c r="Y166" s="86">
        <f>+Z166/F166</f>
        <v>163.04062500000001</v>
      </c>
      <c r="Z166" s="86">
        <v>20869.2</v>
      </c>
      <c r="AA166" s="86"/>
      <c r="AB166" s="86"/>
      <c r="AC166" s="44">
        <f t="shared" si="42"/>
        <v>1593.0406250000001</v>
      </c>
      <c r="AD166" s="44">
        <f t="shared" si="42"/>
        <v>203909.2</v>
      </c>
      <c r="AE166" s="45" t="s">
        <v>222</v>
      </c>
      <c r="AF166" s="45">
        <v>215.98262019230771</v>
      </c>
      <c r="AG166" s="45">
        <v>27645.775384615386</v>
      </c>
      <c r="AH166" s="45">
        <v>57.15625</v>
      </c>
      <c r="AI166" s="45">
        <v>7316</v>
      </c>
      <c r="AJ166" s="45">
        <v>202.272734375</v>
      </c>
      <c r="AK166" s="45">
        <v>25890.91</v>
      </c>
      <c r="AL166" s="45"/>
      <c r="AM166" s="45"/>
      <c r="AN166" s="45"/>
      <c r="AO166" s="45"/>
      <c r="AP166" s="45"/>
      <c r="AQ166" s="45"/>
      <c r="AR166" s="45">
        <v>38.786249999999995</v>
      </c>
      <c r="AS166" s="45">
        <v>4964.6399999999994</v>
      </c>
      <c r="AT166" s="45">
        <v>104.45468750000001</v>
      </c>
      <c r="AU166" s="45">
        <v>13370.2</v>
      </c>
      <c r="AV166" s="45">
        <v>19.324187500000001</v>
      </c>
      <c r="AW166" s="45">
        <v>2473.4960000000001</v>
      </c>
      <c r="AX166" s="45">
        <v>20.925234374999999</v>
      </c>
      <c r="AY166" s="45">
        <v>2678.43</v>
      </c>
      <c r="AZ166" s="85"/>
      <c r="BA166" s="47"/>
      <c r="BB166" s="47"/>
      <c r="BC166" s="47"/>
      <c r="BD166" s="47"/>
      <c r="BE166" s="47"/>
      <c r="BF166" s="47"/>
      <c r="BG166" s="47"/>
      <c r="BH166" s="47"/>
      <c r="BI166" s="47"/>
      <c r="BJ166" s="47"/>
      <c r="BK166" s="47"/>
      <c r="BL166" s="47">
        <v>61.659747648</v>
      </c>
      <c r="BM166" s="47">
        <v>7892.447698944</v>
      </c>
      <c r="BN166" s="47">
        <v>0.70141795200000012</v>
      </c>
      <c r="BO166" s="47">
        <v>89.781497856000016</v>
      </c>
      <c r="BP166" s="48">
        <f t="shared" si="33"/>
        <v>721.26312954230764</v>
      </c>
      <c r="BQ166" s="49">
        <f t="shared" si="36"/>
        <v>1442.5262590846153</v>
      </c>
      <c r="BR166" s="50">
        <f t="shared" si="34"/>
        <v>92321.680581415378</v>
      </c>
      <c r="BS166" s="49">
        <f t="shared" si="37"/>
        <v>184643.36116283076</v>
      </c>
    </row>
    <row r="167" spans="1:71" s="9" customFormat="1" ht="17" x14ac:dyDescent="0.2">
      <c r="A167" s="35" t="s">
        <v>420</v>
      </c>
      <c r="B167" s="35" t="s">
        <v>421</v>
      </c>
      <c r="C167" s="93" t="s">
        <v>422</v>
      </c>
      <c r="D167" s="36" t="s">
        <v>423</v>
      </c>
      <c r="E167" s="37" t="s">
        <v>424</v>
      </c>
      <c r="F167" s="38"/>
      <c r="G167" s="94">
        <v>49936</v>
      </c>
      <c r="H167" s="38"/>
      <c r="I167" s="39">
        <v>52105</v>
      </c>
      <c r="J167" s="40">
        <v>0</v>
      </c>
      <c r="K167" s="38"/>
      <c r="L167" s="41"/>
      <c r="M167" s="41"/>
      <c r="N167" s="41"/>
      <c r="O167" s="41"/>
      <c r="P167" s="41"/>
      <c r="Q167" s="41"/>
      <c r="R167" s="41"/>
      <c r="S167" s="41"/>
      <c r="T167" s="41"/>
      <c r="U167" s="95">
        <f>+ROUNDUP(G167*1.05,0)</f>
        <v>52433</v>
      </c>
      <c r="V167" s="41"/>
      <c r="W167" s="41"/>
      <c r="X167" s="41"/>
      <c r="Y167" s="41">
        <v>19500</v>
      </c>
      <c r="Z167" s="41"/>
      <c r="AA167" s="41"/>
      <c r="AB167" s="41"/>
      <c r="AC167" s="44">
        <f t="shared" si="42"/>
        <v>52105</v>
      </c>
      <c r="AD167" s="44">
        <f t="shared" si="42"/>
        <v>0</v>
      </c>
      <c r="AE167" s="45" t="s">
        <v>116</v>
      </c>
      <c r="AF167" s="45">
        <v>24</v>
      </c>
      <c r="AG167" s="45"/>
      <c r="AH167" s="45">
        <f>4460*2</f>
        <v>8920</v>
      </c>
      <c r="AI167" s="45"/>
      <c r="AJ167" s="45"/>
      <c r="AK167" s="45"/>
      <c r="AL167" s="45"/>
      <c r="AM167" s="45"/>
      <c r="AN167" s="45"/>
      <c r="AO167" s="45"/>
      <c r="AP167" s="45"/>
      <c r="AQ167" s="45"/>
      <c r="AR167" s="45">
        <v>24</v>
      </c>
      <c r="AS167" s="45"/>
      <c r="AT167" s="45"/>
      <c r="AU167" s="45"/>
      <c r="AV167" s="45">
        <f>1632*2</f>
        <v>3264</v>
      </c>
      <c r="AW167" s="45"/>
      <c r="AX167" s="45">
        <f>1649*2</f>
        <v>3298</v>
      </c>
      <c r="AY167" s="45"/>
      <c r="AZ167" s="85">
        <f>1467*2</f>
        <v>2934</v>
      </c>
      <c r="BA167" s="47"/>
      <c r="BB167" s="47">
        <v>4314</v>
      </c>
      <c r="BC167" s="47"/>
      <c r="BD167" s="47"/>
      <c r="BE167" s="47"/>
      <c r="BF167" s="47"/>
      <c r="BG167" s="47"/>
      <c r="BH167" s="47"/>
      <c r="BI167" s="47"/>
      <c r="BJ167" s="47"/>
      <c r="BK167" s="47"/>
      <c r="BL167" s="47">
        <v>1614</v>
      </c>
      <c r="BM167" s="47"/>
      <c r="BN167" s="47">
        <v>576</v>
      </c>
      <c r="BO167" s="47"/>
      <c r="BP167" s="48">
        <f t="shared" si="33"/>
        <v>24968</v>
      </c>
      <c r="BQ167" s="49">
        <f t="shared" si="36"/>
        <v>49936</v>
      </c>
      <c r="BR167" s="50">
        <f t="shared" si="34"/>
        <v>0</v>
      </c>
      <c r="BS167" s="49">
        <f t="shared" si="37"/>
        <v>0</v>
      </c>
    </row>
    <row r="168" spans="1:71" s="9" customFormat="1" ht="17" x14ac:dyDescent="0.2">
      <c r="A168" s="35" t="s">
        <v>425</v>
      </c>
      <c r="B168" s="35" t="s">
        <v>426</v>
      </c>
      <c r="C168" s="93" t="s">
        <v>427</v>
      </c>
      <c r="D168" s="36" t="s">
        <v>423</v>
      </c>
      <c r="E168" s="37" t="s">
        <v>424</v>
      </c>
      <c r="F168" s="38"/>
      <c r="G168" s="96">
        <v>45992</v>
      </c>
      <c r="H168" s="38"/>
      <c r="I168" s="39">
        <v>47960</v>
      </c>
      <c r="J168" s="40">
        <v>0</v>
      </c>
      <c r="K168" s="38"/>
      <c r="L168" s="41"/>
      <c r="M168" s="41"/>
      <c r="N168" s="41"/>
      <c r="O168" s="41"/>
      <c r="P168" s="41"/>
      <c r="Q168" s="41"/>
      <c r="R168" s="41"/>
      <c r="S168" s="41"/>
      <c r="T168" s="41"/>
      <c r="U168" s="95">
        <f t="shared" ref="U168:U201" si="44">+ROUNDUP(G168*1.05,0)</f>
        <v>48292</v>
      </c>
      <c r="V168" s="41"/>
      <c r="W168" s="41"/>
      <c r="X168" s="41"/>
      <c r="Y168" s="41"/>
      <c r="Z168" s="41"/>
      <c r="AA168" s="41"/>
      <c r="AB168" s="41"/>
      <c r="AC168" s="44">
        <f t="shared" si="42"/>
        <v>47960</v>
      </c>
      <c r="AD168" s="44">
        <f t="shared" si="42"/>
        <v>0</v>
      </c>
      <c r="AE168" s="45" t="s">
        <v>222</v>
      </c>
      <c r="AF168" s="45">
        <f>9730*2</f>
        <v>19460</v>
      </c>
      <c r="AG168" s="45"/>
      <c r="AH168" s="45"/>
      <c r="AI168" s="45"/>
      <c r="AJ168" s="45"/>
      <c r="AK168" s="45"/>
      <c r="AL168" s="45"/>
      <c r="AM168" s="45"/>
      <c r="AN168" s="45"/>
      <c r="AO168" s="45"/>
      <c r="AP168" s="45"/>
      <c r="AQ168" s="45"/>
      <c r="AR168" s="45">
        <v>2162</v>
      </c>
      <c r="AS168" s="45"/>
      <c r="AT168" s="45"/>
      <c r="AU168" s="45"/>
      <c r="AV168" s="45"/>
      <c r="AW168" s="45"/>
      <c r="AX168" s="45"/>
      <c r="AY168" s="45"/>
      <c r="AZ168" s="85"/>
      <c r="BA168" s="47"/>
      <c r="BB168" s="47"/>
      <c r="BC168" s="47"/>
      <c r="BD168" s="47"/>
      <c r="BE168" s="47"/>
      <c r="BF168" s="47"/>
      <c r="BG168" s="47"/>
      <c r="BH168" s="47"/>
      <c r="BI168" s="47"/>
      <c r="BJ168" s="47"/>
      <c r="BK168" s="47"/>
      <c r="BL168" s="47">
        <v>1374</v>
      </c>
      <c r="BM168" s="47"/>
      <c r="BN168" s="47"/>
      <c r="BO168" s="47"/>
      <c r="BP168" s="48">
        <f t="shared" si="33"/>
        <v>22996</v>
      </c>
      <c r="BQ168" s="49">
        <f t="shared" si="36"/>
        <v>45992</v>
      </c>
      <c r="BR168" s="50">
        <f t="shared" si="34"/>
        <v>0</v>
      </c>
      <c r="BS168" s="49">
        <f t="shared" si="37"/>
        <v>0</v>
      </c>
    </row>
    <row r="169" spans="1:71" s="9" customFormat="1" ht="17" x14ac:dyDescent="0.2">
      <c r="A169" s="35" t="s">
        <v>428</v>
      </c>
      <c r="B169" s="35" t="s">
        <v>429</v>
      </c>
      <c r="C169" s="93" t="s">
        <v>430</v>
      </c>
      <c r="D169" s="36" t="s">
        <v>431</v>
      </c>
      <c r="E169" s="37" t="s">
        <v>424</v>
      </c>
      <c r="F169" s="38"/>
      <c r="G169" s="96">
        <v>20516</v>
      </c>
      <c r="H169" s="38"/>
      <c r="I169" s="39">
        <v>21423</v>
      </c>
      <c r="J169" s="40">
        <v>0</v>
      </c>
      <c r="K169" s="38"/>
      <c r="L169" s="41"/>
      <c r="M169" s="41"/>
      <c r="N169" s="41"/>
      <c r="O169" s="41"/>
      <c r="P169" s="41"/>
      <c r="Q169" s="41"/>
      <c r="R169" s="41"/>
      <c r="S169" s="41"/>
      <c r="T169" s="41"/>
      <c r="U169" s="95">
        <f t="shared" si="44"/>
        <v>21542</v>
      </c>
      <c r="V169" s="41"/>
      <c r="W169" s="41"/>
      <c r="X169" s="41"/>
      <c r="Y169" s="41">
        <v>11800</v>
      </c>
      <c r="Z169" s="41"/>
      <c r="AA169" s="41"/>
      <c r="AB169" s="41"/>
      <c r="AC169" s="44">
        <f t="shared" si="42"/>
        <v>21423</v>
      </c>
      <c r="AD169" s="44">
        <f t="shared" si="42"/>
        <v>0</v>
      </c>
      <c r="AE169" s="45" t="s">
        <v>116</v>
      </c>
      <c r="AF169" s="45"/>
      <c r="AG169" s="45"/>
      <c r="AH169" s="45"/>
      <c r="AI169" s="45"/>
      <c r="AJ169" s="45">
        <f>5672+24</f>
        <v>5696</v>
      </c>
      <c r="AK169" s="45"/>
      <c r="AL169" s="45"/>
      <c r="AM169" s="45"/>
      <c r="AN169" s="45"/>
      <c r="AO169" s="45"/>
      <c r="AP169" s="45"/>
      <c r="AQ169" s="45"/>
      <c r="AR169" s="45"/>
      <c r="AS169" s="45"/>
      <c r="AT169" s="45">
        <f>1566*2</f>
        <v>3132</v>
      </c>
      <c r="AU169" s="45"/>
      <c r="AV169" s="45"/>
      <c r="AW169" s="45"/>
      <c r="AX169" s="45"/>
      <c r="AY169" s="45"/>
      <c r="AZ169" s="85"/>
      <c r="BA169" s="47"/>
      <c r="BB169" s="47"/>
      <c r="BC169" s="47"/>
      <c r="BD169" s="47"/>
      <c r="BE169" s="47"/>
      <c r="BF169" s="47"/>
      <c r="BG169" s="47"/>
      <c r="BH169" s="47"/>
      <c r="BI169" s="47"/>
      <c r="BJ169" s="47"/>
      <c r="BK169" s="47"/>
      <c r="BL169" s="47">
        <v>1430</v>
      </c>
      <c r="BM169" s="47"/>
      <c r="BN169" s="47"/>
      <c r="BO169" s="47"/>
      <c r="BP169" s="48">
        <f t="shared" si="33"/>
        <v>10258</v>
      </c>
      <c r="BQ169" s="49">
        <f t="shared" si="36"/>
        <v>20516</v>
      </c>
      <c r="BR169" s="50">
        <f t="shared" si="34"/>
        <v>0</v>
      </c>
      <c r="BS169" s="49">
        <f t="shared" si="37"/>
        <v>0</v>
      </c>
    </row>
    <row r="170" spans="1:71" s="9" customFormat="1" ht="17" x14ac:dyDescent="0.2">
      <c r="A170" s="35" t="s">
        <v>432</v>
      </c>
      <c r="B170" s="35" t="s">
        <v>433</v>
      </c>
      <c r="C170" s="93" t="s">
        <v>434</v>
      </c>
      <c r="D170" s="36" t="s">
        <v>435</v>
      </c>
      <c r="E170" s="37" t="s">
        <v>424</v>
      </c>
      <c r="F170" s="38"/>
      <c r="G170" s="96">
        <v>49840</v>
      </c>
      <c r="H170" s="38"/>
      <c r="I170" s="39">
        <v>52105</v>
      </c>
      <c r="J170" s="40">
        <v>0</v>
      </c>
      <c r="K170" s="38"/>
      <c r="L170" s="41"/>
      <c r="M170" s="41"/>
      <c r="N170" s="41"/>
      <c r="O170" s="41"/>
      <c r="P170" s="41"/>
      <c r="Q170" s="41"/>
      <c r="R170" s="41"/>
      <c r="S170" s="41"/>
      <c r="T170" s="41"/>
      <c r="U170" s="95">
        <f t="shared" si="44"/>
        <v>52332</v>
      </c>
      <c r="V170" s="41"/>
      <c r="W170" s="41"/>
      <c r="X170" s="41"/>
      <c r="Y170" s="41">
        <v>19500</v>
      </c>
      <c r="Z170" s="41"/>
      <c r="AA170" s="41"/>
      <c r="AB170" s="41"/>
      <c r="AC170" s="44">
        <f t="shared" si="42"/>
        <v>52105</v>
      </c>
      <c r="AD170" s="44">
        <f t="shared" si="42"/>
        <v>0</v>
      </c>
      <c r="AE170" s="45" t="s">
        <v>116</v>
      </c>
      <c r="AF170" s="45"/>
      <c r="AG170" s="45"/>
      <c r="AH170" s="45">
        <v>8920</v>
      </c>
      <c r="AI170" s="45"/>
      <c r="AJ170" s="45"/>
      <c r="AK170" s="45"/>
      <c r="AL170" s="45"/>
      <c r="AM170" s="45"/>
      <c r="AN170" s="45"/>
      <c r="AO170" s="45"/>
      <c r="AP170" s="45"/>
      <c r="AQ170" s="45"/>
      <c r="AR170" s="45"/>
      <c r="AS170" s="45"/>
      <c r="AT170" s="45"/>
      <c r="AU170" s="45"/>
      <c r="AV170" s="45">
        <v>3264</v>
      </c>
      <c r="AW170" s="45"/>
      <c r="AX170" s="45">
        <v>3298</v>
      </c>
      <c r="AY170" s="45"/>
      <c r="AZ170" s="85">
        <v>2934</v>
      </c>
      <c r="BA170" s="47"/>
      <c r="BB170" s="47">
        <v>4314</v>
      </c>
      <c r="BC170" s="47"/>
      <c r="BD170" s="47"/>
      <c r="BE170" s="47"/>
      <c r="BF170" s="47"/>
      <c r="BG170" s="47"/>
      <c r="BH170" s="47"/>
      <c r="BI170" s="47"/>
      <c r="BJ170" s="47"/>
      <c r="BK170" s="47"/>
      <c r="BL170" s="47">
        <v>1614</v>
      </c>
      <c r="BM170" s="47"/>
      <c r="BN170" s="47">
        <v>576</v>
      </c>
      <c r="BO170" s="47"/>
      <c r="BP170" s="48">
        <f t="shared" si="33"/>
        <v>24920</v>
      </c>
      <c r="BQ170" s="49">
        <f t="shared" si="36"/>
        <v>49840</v>
      </c>
      <c r="BR170" s="50">
        <f t="shared" si="34"/>
        <v>0</v>
      </c>
      <c r="BS170" s="49">
        <f t="shared" si="37"/>
        <v>0</v>
      </c>
    </row>
    <row r="171" spans="1:71" s="9" customFormat="1" ht="17" x14ac:dyDescent="0.2">
      <c r="A171" s="35" t="s">
        <v>436</v>
      </c>
      <c r="B171" s="35" t="s">
        <v>437</v>
      </c>
      <c r="C171" s="93" t="s">
        <v>438</v>
      </c>
      <c r="D171" s="36" t="s">
        <v>423</v>
      </c>
      <c r="E171" s="37" t="s">
        <v>424</v>
      </c>
      <c r="F171" s="38"/>
      <c r="G171" s="96">
        <v>7120</v>
      </c>
      <c r="H171" s="38"/>
      <c r="I171" s="39">
        <v>7426</v>
      </c>
      <c r="J171" s="40">
        <v>0</v>
      </c>
      <c r="K171" s="38"/>
      <c r="L171" s="41"/>
      <c r="M171" s="41"/>
      <c r="N171" s="41"/>
      <c r="O171" s="41"/>
      <c r="P171" s="41"/>
      <c r="Q171" s="41"/>
      <c r="R171" s="41"/>
      <c r="S171" s="41"/>
      <c r="T171" s="41"/>
      <c r="U171" s="95">
        <f t="shared" si="44"/>
        <v>7476</v>
      </c>
      <c r="V171" s="41"/>
      <c r="W171" s="41"/>
      <c r="X171" s="41"/>
      <c r="Y171" s="41"/>
      <c r="Z171" s="41"/>
      <c r="AA171" s="41"/>
      <c r="AB171" s="41"/>
      <c r="AC171" s="44">
        <f t="shared" si="42"/>
        <v>7426</v>
      </c>
      <c r="AD171" s="44">
        <f t="shared" si="42"/>
        <v>0</v>
      </c>
      <c r="AE171" s="45" t="s">
        <v>222</v>
      </c>
      <c r="AF171" s="45">
        <v>24</v>
      </c>
      <c r="AG171" s="45"/>
      <c r="AH171" s="45"/>
      <c r="AI171" s="45"/>
      <c r="AJ171" s="45"/>
      <c r="AK171" s="45"/>
      <c r="AL171" s="45"/>
      <c r="AM171" s="45"/>
      <c r="AN171" s="45"/>
      <c r="AO171" s="45"/>
      <c r="AP171" s="45"/>
      <c r="AQ171" s="45"/>
      <c r="AR171" s="45">
        <v>2162</v>
      </c>
      <c r="AS171" s="45"/>
      <c r="AT171" s="45"/>
      <c r="AU171" s="45"/>
      <c r="AV171" s="45"/>
      <c r="AW171" s="45"/>
      <c r="AX171" s="45"/>
      <c r="AY171" s="45"/>
      <c r="AZ171" s="85"/>
      <c r="BA171" s="47"/>
      <c r="BB171" s="47"/>
      <c r="BC171" s="47"/>
      <c r="BD171" s="47"/>
      <c r="BE171" s="47"/>
      <c r="BF171" s="47"/>
      <c r="BG171" s="47"/>
      <c r="BH171" s="47"/>
      <c r="BI171" s="47"/>
      <c r="BJ171" s="47"/>
      <c r="BK171" s="47"/>
      <c r="BL171" s="47">
        <v>1374</v>
      </c>
      <c r="BM171" s="47"/>
      <c r="BN171" s="47"/>
      <c r="BO171" s="47"/>
      <c r="BP171" s="48">
        <f t="shared" si="33"/>
        <v>3560</v>
      </c>
      <c r="BQ171" s="49">
        <f t="shared" si="36"/>
        <v>7120</v>
      </c>
      <c r="BR171" s="50">
        <f t="shared" si="34"/>
        <v>0</v>
      </c>
      <c r="BS171" s="49">
        <f t="shared" si="37"/>
        <v>0</v>
      </c>
    </row>
    <row r="172" spans="1:71" s="9" customFormat="1" ht="17" x14ac:dyDescent="0.2">
      <c r="A172" s="35" t="s">
        <v>439</v>
      </c>
      <c r="B172" s="35" t="s">
        <v>433</v>
      </c>
      <c r="C172" s="93" t="s">
        <v>440</v>
      </c>
      <c r="D172" s="36" t="s">
        <v>431</v>
      </c>
      <c r="E172" s="37" t="s">
        <v>424</v>
      </c>
      <c r="F172" s="38"/>
      <c r="G172" s="96">
        <v>20468</v>
      </c>
      <c r="H172" s="38"/>
      <c r="I172" s="39">
        <v>21423</v>
      </c>
      <c r="J172" s="40">
        <v>0</v>
      </c>
      <c r="K172" s="38"/>
      <c r="L172" s="41"/>
      <c r="M172" s="41"/>
      <c r="N172" s="41"/>
      <c r="O172" s="41"/>
      <c r="P172" s="41"/>
      <c r="Q172" s="41"/>
      <c r="R172" s="41"/>
      <c r="S172" s="41"/>
      <c r="T172" s="41"/>
      <c r="U172" s="95">
        <f t="shared" si="44"/>
        <v>21492</v>
      </c>
      <c r="V172" s="41"/>
      <c r="W172" s="41"/>
      <c r="X172" s="41"/>
      <c r="Y172" s="41">
        <v>11800</v>
      </c>
      <c r="Z172" s="41"/>
      <c r="AA172" s="41"/>
      <c r="AB172" s="41"/>
      <c r="AC172" s="44">
        <f t="shared" si="42"/>
        <v>21423</v>
      </c>
      <c r="AD172" s="44">
        <f t="shared" si="42"/>
        <v>0</v>
      </c>
      <c r="AE172" s="45" t="s">
        <v>116</v>
      </c>
      <c r="AF172" s="45"/>
      <c r="AG172" s="45"/>
      <c r="AH172" s="45"/>
      <c r="AI172" s="45"/>
      <c r="AJ172" s="45">
        <v>5672</v>
      </c>
      <c r="AK172" s="45"/>
      <c r="AL172" s="45"/>
      <c r="AM172" s="45"/>
      <c r="AN172" s="45"/>
      <c r="AO172" s="45"/>
      <c r="AP172" s="45"/>
      <c r="AQ172" s="45"/>
      <c r="AR172" s="45"/>
      <c r="AS172" s="45"/>
      <c r="AT172" s="45">
        <v>3132</v>
      </c>
      <c r="AU172" s="45"/>
      <c r="AV172" s="45"/>
      <c r="AW172" s="45"/>
      <c r="AX172" s="45"/>
      <c r="AY172" s="45"/>
      <c r="AZ172" s="85"/>
      <c r="BA172" s="47"/>
      <c r="BB172" s="47"/>
      <c r="BC172" s="47"/>
      <c r="BD172" s="47"/>
      <c r="BE172" s="47"/>
      <c r="BF172" s="47"/>
      <c r="BG172" s="47"/>
      <c r="BH172" s="47"/>
      <c r="BI172" s="47"/>
      <c r="BJ172" s="47"/>
      <c r="BK172" s="47"/>
      <c r="BL172" s="47">
        <v>1430</v>
      </c>
      <c r="BM172" s="47"/>
      <c r="BN172" s="47"/>
      <c r="BO172" s="47"/>
      <c r="BP172" s="48">
        <f t="shared" si="33"/>
        <v>10234</v>
      </c>
      <c r="BQ172" s="49">
        <f t="shared" si="36"/>
        <v>20468</v>
      </c>
      <c r="BR172" s="50">
        <f t="shared" si="34"/>
        <v>0</v>
      </c>
      <c r="BS172" s="49">
        <f t="shared" si="37"/>
        <v>0</v>
      </c>
    </row>
    <row r="173" spans="1:71" s="9" customFormat="1" ht="17" x14ac:dyDescent="0.2">
      <c r="A173" s="35" t="s">
        <v>441</v>
      </c>
      <c r="B173" s="35" t="s">
        <v>442</v>
      </c>
      <c r="C173" s="93" t="s">
        <v>443</v>
      </c>
      <c r="D173" s="36" t="s">
        <v>423</v>
      </c>
      <c r="E173" s="37" t="s">
        <v>424</v>
      </c>
      <c r="F173" s="38"/>
      <c r="G173" s="96">
        <f>38476+324</f>
        <v>38800</v>
      </c>
      <c r="H173" s="38"/>
      <c r="I173" s="39">
        <v>40400</v>
      </c>
      <c r="J173" s="40">
        <v>0</v>
      </c>
      <c r="K173" s="38"/>
      <c r="L173" s="41"/>
      <c r="M173" s="41"/>
      <c r="N173" s="41"/>
      <c r="O173" s="41"/>
      <c r="P173" s="41"/>
      <c r="Q173" s="41"/>
      <c r="R173" s="41"/>
      <c r="S173" s="41"/>
      <c r="T173" s="41"/>
      <c r="U173" s="95">
        <f t="shared" si="44"/>
        <v>40740</v>
      </c>
      <c r="V173" s="41"/>
      <c r="W173" s="41"/>
      <c r="X173" s="41"/>
      <c r="Y173" s="41"/>
      <c r="Z173" s="41"/>
      <c r="AA173" s="41"/>
      <c r="AB173" s="41"/>
      <c r="AC173" s="44">
        <f t="shared" si="42"/>
        <v>40400</v>
      </c>
      <c r="AD173" s="44">
        <f t="shared" si="42"/>
        <v>0</v>
      </c>
      <c r="AE173" s="45" t="s">
        <v>222</v>
      </c>
      <c r="AF173" s="45">
        <f>9700*2</f>
        <v>19400</v>
      </c>
      <c r="AG173" s="45"/>
      <c r="AH173" s="45"/>
      <c r="AI173" s="45"/>
      <c r="AJ173" s="45"/>
      <c r="AK173" s="45"/>
      <c r="AL173" s="45"/>
      <c r="AM173" s="45"/>
      <c r="AN173" s="45"/>
      <c r="AO173" s="45"/>
      <c r="AP173" s="45"/>
      <c r="AQ173" s="45"/>
      <c r="AR173" s="45"/>
      <c r="AS173" s="45"/>
      <c r="AT173" s="45"/>
      <c r="AU173" s="45"/>
      <c r="AV173" s="45"/>
      <c r="AW173" s="45"/>
      <c r="AX173" s="45"/>
      <c r="AY173" s="45"/>
      <c r="AZ173" s="85"/>
      <c r="BA173" s="47"/>
      <c r="BB173" s="47"/>
      <c r="BC173" s="47"/>
      <c r="BD173" s="47"/>
      <c r="BE173" s="47"/>
      <c r="BF173" s="47"/>
      <c r="BG173" s="47"/>
      <c r="BH173" s="47"/>
      <c r="BI173" s="47"/>
      <c r="BJ173" s="47"/>
      <c r="BK173" s="47"/>
      <c r="BL173" s="47"/>
      <c r="BM173" s="47"/>
      <c r="BN173" s="47"/>
      <c r="BO173" s="47"/>
      <c r="BP173" s="48">
        <f t="shared" si="33"/>
        <v>19400</v>
      </c>
      <c r="BQ173" s="49">
        <f t="shared" si="36"/>
        <v>38800</v>
      </c>
      <c r="BR173" s="50">
        <f t="shared" si="34"/>
        <v>0</v>
      </c>
      <c r="BS173" s="49">
        <f t="shared" si="37"/>
        <v>0</v>
      </c>
    </row>
    <row r="174" spans="1:71" s="9" customFormat="1" ht="17" x14ac:dyDescent="0.2">
      <c r="A174" s="35" t="s">
        <v>444</v>
      </c>
      <c r="B174" s="35" t="s">
        <v>445</v>
      </c>
      <c r="C174" s="93" t="s">
        <v>446</v>
      </c>
      <c r="D174" s="36" t="s">
        <v>423</v>
      </c>
      <c r="E174" s="37" t="s">
        <v>424</v>
      </c>
      <c r="F174" s="38"/>
      <c r="G174" s="96">
        <v>20</v>
      </c>
      <c r="H174" s="38"/>
      <c r="I174" s="39">
        <v>21</v>
      </c>
      <c r="J174" s="40">
        <v>0</v>
      </c>
      <c r="K174" s="38"/>
      <c r="L174" s="41"/>
      <c r="M174" s="41"/>
      <c r="N174" s="41"/>
      <c r="O174" s="41"/>
      <c r="P174" s="41"/>
      <c r="Q174" s="41"/>
      <c r="R174" s="41"/>
      <c r="S174" s="41"/>
      <c r="T174" s="41"/>
      <c r="U174" s="95">
        <f t="shared" si="44"/>
        <v>21</v>
      </c>
      <c r="V174" s="41"/>
      <c r="W174" s="41"/>
      <c r="X174" s="41"/>
      <c r="Y174" s="41"/>
      <c r="Z174" s="41"/>
      <c r="AA174" s="41"/>
      <c r="AB174" s="41"/>
      <c r="AC174" s="44">
        <f t="shared" si="42"/>
        <v>21</v>
      </c>
      <c r="AD174" s="44">
        <f t="shared" si="42"/>
        <v>0</v>
      </c>
      <c r="AE174" s="45" t="s">
        <v>222</v>
      </c>
      <c r="AF174" s="45"/>
      <c r="AG174" s="45"/>
      <c r="AH174" s="45"/>
      <c r="AI174" s="45"/>
      <c r="AJ174" s="45"/>
      <c r="AK174" s="45"/>
      <c r="AL174" s="45"/>
      <c r="AM174" s="45"/>
      <c r="AN174" s="45"/>
      <c r="AO174" s="45"/>
      <c r="AP174" s="45"/>
      <c r="AQ174" s="45"/>
      <c r="AR174" s="45"/>
      <c r="AS174" s="45"/>
      <c r="AT174" s="45"/>
      <c r="AU174" s="45"/>
      <c r="AV174" s="45"/>
      <c r="AW174" s="45"/>
      <c r="AX174" s="45">
        <v>10</v>
      </c>
      <c r="AY174" s="45"/>
      <c r="AZ174" s="85"/>
      <c r="BA174" s="47"/>
      <c r="BB174" s="47"/>
      <c r="BC174" s="47"/>
      <c r="BD174" s="47"/>
      <c r="BE174" s="47"/>
      <c r="BF174" s="47"/>
      <c r="BG174" s="47"/>
      <c r="BH174" s="47"/>
      <c r="BI174" s="47"/>
      <c r="BJ174" s="47"/>
      <c r="BK174" s="47"/>
      <c r="BL174" s="47"/>
      <c r="BM174" s="47"/>
      <c r="BN174" s="47"/>
      <c r="BO174" s="47"/>
      <c r="BP174" s="48">
        <f t="shared" si="33"/>
        <v>10</v>
      </c>
      <c r="BQ174" s="49">
        <f t="shared" si="36"/>
        <v>20</v>
      </c>
      <c r="BR174" s="50">
        <f t="shared" si="34"/>
        <v>0</v>
      </c>
      <c r="BS174" s="49">
        <f t="shared" si="37"/>
        <v>0</v>
      </c>
    </row>
    <row r="175" spans="1:71" s="9" customFormat="1" ht="17" x14ac:dyDescent="0.2">
      <c r="A175" s="35" t="s">
        <v>447</v>
      </c>
      <c r="B175" s="35" t="s">
        <v>445</v>
      </c>
      <c r="C175" s="93" t="s">
        <v>448</v>
      </c>
      <c r="D175" s="36" t="s">
        <v>423</v>
      </c>
      <c r="E175" s="37" t="s">
        <v>424</v>
      </c>
      <c r="F175" s="38"/>
      <c r="G175" s="96">
        <v>2004</v>
      </c>
      <c r="H175" s="38"/>
      <c r="I175" s="39">
        <v>2105</v>
      </c>
      <c r="J175" s="40">
        <v>0</v>
      </c>
      <c r="K175" s="38"/>
      <c r="L175" s="41"/>
      <c r="M175" s="41"/>
      <c r="N175" s="41"/>
      <c r="O175" s="41"/>
      <c r="P175" s="41"/>
      <c r="Q175" s="41"/>
      <c r="R175" s="41"/>
      <c r="S175" s="41"/>
      <c r="T175" s="41"/>
      <c r="U175" s="95">
        <f t="shared" si="44"/>
        <v>2105</v>
      </c>
      <c r="V175" s="41"/>
      <c r="W175" s="41"/>
      <c r="X175" s="41"/>
      <c r="Y175" s="41"/>
      <c r="Z175" s="41"/>
      <c r="AA175" s="41"/>
      <c r="AB175" s="41"/>
      <c r="AC175" s="44">
        <f t="shared" si="42"/>
        <v>2105</v>
      </c>
      <c r="AD175" s="44">
        <f t="shared" si="42"/>
        <v>0</v>
      </c>
      <c r="AE175" s="45" t="s">
        <v>222</v>
      </c>
      <c r="AF175" s="45"/>
      <c r="AG175" s="45"/>
      <c r="AH175" s="45"/>
      <c r="AI175" s="45"/>
      <c r="AJ175" s="45"/>
      <c r="AK175" s="45"/>
      <c r="AL175" s="45"/>
      <c r="AM175" s="45"/>
      <c r="AN175" s="45"/>
      <c r="AO175" s="45"/>
      <c r="AP175" s="45"/>
      <c r="AQ175" s="45"/>
      <c r="AR175" s="45"/>
      <c r="AS175" s="45"/>
      <c r="AT175" s="45"/>
      <c r="AU175" s="45"/>
      <c r="AV175" s="45"/>
      <c r="AW175" s="45"/>
      <c r="AX175" s="45">
        <v>906</v>
      </c>
      <c r="AY175" s="45"/>
      <c r="AZ175" s="85"/>
      <c r="BA175" s="47"/>
      <c r="BB175" s="47"/>
      <c r="BC175" s="47"/>
      <c r="BD175" s="47"/>
      <c r="BE175" s="47"/>
      <c r="BF175" s="47"/>
      <c r="BG175" s="47"/>
      <c r="BH175" s="47"/>
      <c r="BI175" s="47"/>
      <c r="BJ175" s="47"/>
      <c r="BK175" s="47"/>
      <c r="BL175" s="47"/>
      <c r="BM175" s="47"/>
      <c r="BN175" s="47">
        <v>96</v>
      </c>
      <c r="BO175" s="47"/>
      <c r="BP175" s="48">
        <f t="shared" si="33"/>
        <v>1002</v>
      </c>
      <c r="BQ175" s="49">
        <f t="shared" si="36"/>
        <v>2004</v>
      </c>
      <c r="BR175" s="50">
        <f t="shared" si="34"/>
        <v>0</v>
      </c>
      <c r="BS175" s="49">
        <f t="shared" si="37"/>
        <v>0</v>
      </c>
    </row>
    <row r="176" spans="1:71" s="9" customFormat="1" ht="17" x14ac:dyDescent="0.2">
      <c r="A176" s="35" t="s">
        <v>449</v>
      </c>
      <c r="B176" s="35" t="s">
        <v>445</v>
      </c>
      <c r="C176" s="93" t="s">
        <v>450</v>
      </c>
      <c r="D176" s="36" t="s">
        <v>423</v>
      </c>
      <c r="E176" s="37" t="s">
        <v>424</v>
      </c>
      <c r="F176" s="38"/>
      <c r="G176" s="96">
        <v>558</v>
      </c>
      <c r="H176" s="38"/>
      <c r="I176" s="39">
        <v>586</v>
      </c>
      <c r="J176" s="40">
        <v>0</v>
      </c>
      <c r="K176" s="38"/>
      <c r="L176" s="41"/>
      <c r="M176" s="41"/>
      <c r="N176" s="41"/>
      <c r="O176" s="41"/>
      <c r="P176" s="41"/>
      <c r="Q176" s="41"/>
      <c r="R176" s="41"/>
      <c r="S176" s="41"/>
      <c r="T176" s="41"/>
      <c r="U176" s="95">
        <f t="shared" si="44"/>
        <v>586</v>
      </c>
      <c r="V176" s="41"/>
      <c r="W176" s="41"/>
      <c r="X176" s="41"/>
      <c r="Y176" s="41"/>
      <c r="Z176" s="41"/>
      <c r="AA176" s="41"/>
      <c r="AB176" s="41"/>
      <c r="AC176" s="44">
        <f t="shared" si="42"/>
        <v>586</v>
      </c>
      <c r="AD176" s="44">
        <f t="shared" si="42"/>
        <v>0</v>
      </c>
      <c r="AE176" s="45" t="s">
        <v>222</v>
      </c>
      <c r="AF176" s="45"/>
      <c r="AG176" s="45"/>
      <c r="AH176" s="45"/>
      <c r="AI176" s="45"/>
      <c r="AJ176" s="45"/>
      <c r="AK176" s="45"/>
      <c r="AL176" s="45"/>
      <c r="AM176" s="45"/>
      <c r="AN176" s="45"/>
      <c r="AO176" s="45"/>
      <c r="AP176" s="45"/>
      <c r="AQ176" s="45"/>
      <c r="AR176" s="45"/>
      <c r="AS176" s="45"/>
      <c r="AT176" s="45"/>
      <c r="AU176" s="45"/>
      <c r="AV176" s="45"/>
      <c r="AW176" s="45"/>
      <c r="AX176" s="45">
        <v>279</v>
      </c>
      <c r="AY176" s="45"/>
      <c r="AZ176" s="85"/>
      <c r="BA176" s="47"/>
      <c r="BB176" s="47"/>
      <c r="BC176" s="47"/>
      <c r="BD176" s="47"/>
      <c r="BE176" s="47"/>
      <c r="BF176" s="47"/>
      <c r="BG176" s="47"/>
      <c r="BH176" s="47"/>
      <c r="BI176" s="47"/>
      <c r="BJ176" s="47"/>
      <c r="BK176" s="47"/>
      <c r="BL176" s="47"/>
      <c r="BM176" s="47"/>
      <c r="BN176" s="47"/>
      <c r="BO176" s="47"/>
      <c r="BP176" s="48">
        <f t="shared" si="33"/>
        <v>279</v>
      </c>
      <c r="BQ176" s="49">
        <f t="shared" si="36"/>
        <v>558</v>
      </c>
      <c r="BR176" s="50">
        <f t="shared" si="34"/>
        <v>0</v>
      </c>
      <c r="BS176" s="49">
        <f t="shared" si="37"/>
        <v>0</v>
      </c>
    </row>
    <row r="177" spans="1:71" s="9" customFormat="1" ht="17" x14ac:dyDescent="0.2">
      <c r="A177" s="35" t="s">
        <v>451</v>
      </c>
      <c r="B177" s="35" t="s">
        <v>445</v>
      </c>
      <c r="C177" s="93" t="s">
        <v>452</v>
      </c>
      <c r="D177" s="36" t="s">
        <v>423</v>
      </c>
      <c r="E177" s="37" t="s">
        <v>424</v>
      </c>
      <c r="F177" s="38"/>
      <c r="G177" s="96">
        <v>908</v>
      </c>
      <c r="H177" s="38"/>
      <c r="I177" s="39">
        <v>954</v>
      </c>
      <c r="J177" s="40">
        <v>0</v>
      </c>
      <c r="K177" s="38"/>
      <c r="L177" s="41"/>
      <c r="M177" s="41"/>
      <c r="N177" s="41"/>
      <c r="O177" s="41"/>
      <c r="P177" s="41"/>
      <c r="Q177" s="41"/>
      <c r="R177" s="41"/>
      <c r="S177" s="41"/>
      <c r="T177" s="41"/>
      <c r="U177" s="95">
        <f t="shared" si="44"/>
        <v>954</v>
      </c>
      <c r="V177" s="41"/>
      <c r="W177" s="41"/>
      <c r="X177" s="41"/>
      <c r="Y177" s="41"/>
      <c r="Z177" s="41"/>
      <c r="AA177" s="41"/>
      <c r="AB177" s="41"/>
      <c r="AC177" s="44">
        <f t="shared" si="42"/>
        <v>954</v>
      </c>
      <c r="AD177" s="44">
        <f t="shared" si="42"/>
        <v>0</v>
      </c>
      <c r="AE177" s="45" t="s">
        <v>222</v>
      </c>
      <c r="AF177" s="45"/>
      <c r="AG177" s="45"/>
      <c r="AH177" s="45"/>
      <c r="AI177" s="45"/>
      <c r="AJ177" s="45"/>
      <c r="AK177" s="45"/>
      <c r="AL177" s="45"/>
      <c r="AM177" s="45"/>
      <c r="AN177" s="45"/>
      <c r="AO177" s="45"/>
      <c r="AP177" s="45"/>
      <c r="AQ177" s="45"/>
      <c r="AR177" s="45"/>
      <c r="AS177" s="45"/>
      <c r="AT177" s="45"/>
      <c r="AU177" s="45"/>
      <c r="AV177" s="45"/>
      <c r="AW177" s="45"/>
      <c r="AX177" s="45">
        <v>154</v>
      </c>
      <c r="AY177" s="45"/>
      <c r="AZ177" s="85">
        <v>300</v>
      </c>
      <c r="BA177" s="47"/>
      <c r="BB177" s="47"/>
      <c r="BC177" s="47"/>
      <c r="BD177" s="47"/>
      <c r="BE177" s="47"/>
      <c r="BF177" s="47"/>
      <c r="BG177" s="47"/>
      <c r="BH177" s="47"/>
      <c r="BI177" s="47"/>
      <c r="BJ177" s="47"/>
      <c r="BK177" s="47"/>
      <c r="BL177" s="47"/>
      <c r="BM177" s="47"/>
      <c r="BN177" s="47"/>
      <c r="BO177" s="47"/>
      <c r="BP177" s="48">
        <f t="shared" si="33"/>
        <v>454</v>
      </c>
      <c r="BQ177" s="49">
        <f t="shared" si="36"/>
        <v>908</v>
      </c>
      <c r="BR177" s="50">
        <f t="shared" si="34"/>
        <v>0</v>
      </c>
      <c r="BS177" s="49">
        <f t="shared" si="37"/>
        <v>0</v>
      </c>
    </row>
    <row r="178" spans="1:71" s="9" customFormat="1" ht="17" x14ac:dyDescent="0.2">
      <c r="A178" s="35" t="s">
        <v>453</v>
      </c>
      <c r="B178" s="35" t="s">
        <v>445</v>
      </c>
      <c r="C178" s="93" t="s">
        <v>454</v>
      </c>
      <c r="D178" s="36" t="s">
        <v>423</v>
      </c>
      <c r="E178" s="37" t="s">
        <v>424</v>
      </c>
      <c r="F178" s="38"/>
      <c r="G178" s="96">
        <f>2778+7040</f>
        <v>9818</v>
      </c>
      <c r="H178" s="38"/>
      <c r="I178" s="39">
        <v>10217</v>
      </c>
      <c r="J178" s="40">
        <v>0</v>
      </c>
      <c r="K178" s="38"/>
      <c r="L178" s="41"/>
      <c r="M178" s="41"/>
      <c r="N178" s="41"/>
      <c r="O178" s="41"/>
      <c r="P178" s="41"/>
      <c r="Q178" s="41"/>
      <c r="R178" s="41"/>
      <c r="S178" s="41"/>
      <c r="T178" s="41"/>
      <c r="U178" s="95">
        <f t="shared" si="44"/>
        <v>10309</v>
      </c>
      <c r="V178" s="41"/>
      <c r="W178" s="41"/>
      <c r="X178" s="41"/>
      <c r="Y178" s="41">
        <v>7300</v>
      </c>
      <c r="Z178" s="41"/>
      <c r="AA178" s="41"/>
      <c r="AB178" s="41"/>
      <c r="AC178" s="44">
        <f t="shared" si="42"/>
        <v>10217</v>
      </c>
      <c r="AD178" s="44">
        <f t="shared" si="42"/>
        <v>0</v>
      </c>
      <c r="AE178" s="45" t="s">
        <v>116</v>
      </c>
      <c r="AF178" s="45"/>
      <c r="AG178" s="45"/>
      <c r="AH178" s="45">
        <v>3520</v>
      </c>
      <c r="AI178" s="45"/>
      <c r="AJ178" s="45"/>
      <c r="AK178" s="45"/>
      <c r="AL178" s="45"/>
      <c r="AM178" s="45"/>
      <c r="AN178" s="45"/>
      <c r="AO178" s="45"/>
      <c r="AP178" s="45"/>
      <c r="AQ178" s="45"/>
      <c r="AR178" s="45"/>
      <c r="AS178" s="45"/>
      <c r="AT178" s="45"/>
      <c r="AU178" s="45"/>
      <c r="AV178" s="45">
        <v>1032</v>
      </c>
      <c r="AW178" s="45"/>
      <c r="AX178" s="45"/>
      <c r="AY178" s="45"/>
      <c r="AZ178" s="85"/>
      <c r="BA178" s="47"/>
      <c r="BB178" s="47"/>
      <c r="BC178" s="47"/>
      <c r="BD178" s="47"/>
      <c r="BE178" s="47"/>
      <c r="BF178" s="47"/>
      <c r="BG178" s="47"/>
      <c r="BH178" s="47"/>
      <c r="BI178" s="47"/>
      <c r="BJ178" s="47"/>
      <c r="BK178" s="47"/>
      <c r="BL178" s="47">
        <v>357</v>
      </c>
      <c r="BM178" s="47"/>
      <c r="BN178" s="47"/>
      <c r="BO178" s="47"/>
      <c r="BP178" s="48">
        <f t="shared" si="33"/>
        <v>4909</v>
      </c>
      <c r="BQ178" s="49">
        <f t="shared" si="36"/>
        <v>9818</v>
      </c>
      <c r="BR178" s="50">
        <f t="shared" si="34"/>
        <v>0</v>
      </c>
      <c r="BS178" s="49">
        <f t="shared" si="37"/>
        <v>0</v>
      </c>
    </row>
    <row r="179" spans="1:71" s="9" customFormat="1" ht="17" x14ac:dyDescent="0.2">
      <c r="A179" s="35" t="s">
        <v>455</v>
      </c>
      <c r="B179" s="35" t="s">
        <v>445</v>
      </c>
      <c r="C179" s="93" t="s">
        <v>456</v>
      </c>
      <c r="D179" s="36" t="s">
        <v>423</v>
      </c>
      <c r="E179" s="37" t="s">
        <v>424</v>
      </c>
      <c r="F179" s="38"/>
      <c r="G179" s="96">
        <f>556+1468</f>
        <v>2024</v>
      </c>
      <c r="H179" s="38"/>
      <c r="I179" s="39">
        <v>2114</v>
      </c>
      <c r="J179" s="40">
        <v>0</v>
      </c>
      <c r="K179" s="38"/>
      <c r="L179" s="41"/>
      <c r="M179" s="41"/>
      <c r="N179" s="41"/>
      <c r="O179" s="41"/>
      <c r="P179" s="41"/>
      <c r="Q179" s="41"/>
      <c r="R179" s="41"/>
      <c r="S179" s="41"/>
      <c r="T179" s="41"/>
      <c r="U179" s="95">
        <f t="shared" si="44"/>
        <v>2126</v>
      </c>
      <c r="V179" s="41"/>
      <c r="W179" s="41"/>
      <c r="X179" s="41"/>
      <c r="Y179" s="41">
        <v>1530</v>
      </c>
      <c r="Z179" s="41"/>
      <c r="AA179" s="41"/>
      <c r="AB179" s="41"/>
      <c r="AC179" s="44">
        <f t="shared" si="42"/>
        <v>2114</v>
      </c>
      <c r="AD179" s="44">
        <f t="shared" si="42"/>
        <v>0</v>
      </c>
      <c r="AE179" s="45" t="s">
        <v>116</v>
      </c>
      <c r="AF179" s="45"/>
      <c r="AG179" s="45"/>
      <c r="AH179" s="45">
        <v>734</v>
      </c>
      <c r="AI179" s="45"/>
      <c r="AJ179" s="45"/>
      <c r="AK179" s="45"/>
      <c r="AL179" s="45"/>
      <c r="AM179" s="45"/>
      <c r="AN179" s="45"/>
      <c r="AO179" s="45"/>
      <c r="AP179" s="45"/>
      <c r="AQ179" s="45"/>
      <c r="AR179" s="45"/>
      <c r="AS179" s="45"/>
      <c r="AT179" s="45"/>
      <c r="AU179" s="45"/>
      <c r="AV179" s="45">
        <v>278</v>
      </c>
      <c r="AW179" s="45"/>
      <c r="AX179" s="45"/>
      <c r="AY179" s="45"/>
      <c r="AZ179" s="85"/>
      <c r="BA179" s="47"/>
      <c r="BB179" s="47"/>
      <c r="BC179" s="47"/>
      <c r="BD179" s="47"/>
      <c r="BE179" s="47"/>
      <c r="BF179" s="47"/>
      <c r="BG179" s="47"/>
      <c r="BH179" s="47"/>
      <c r="BI179" s="47"/>
      <c r="BJ179" s="47"/>
      <c r="BK179" s="47"/>
      <c r="BL179" s="47"/>
      <c r="BM179" s="47"/>
      <c r="BN179" s="47"/>
      <c r="BO179" s="47"/>
      <c r="BP179" s="48">
        <f t="shared" si="33"/>
        <v>1012</v>
      </c>
      <c r="BQ179" s="49">
        <f t="shared" si="36"/>
        <v>2024</v>
      </c>
      <c r="BR179" s="50">
        <f t="shared" si="34"/>
        <v>0</v>
      </c>
      <c r="BS179" s="49">
        <f t="shared" si="37"/>
        <v>0</v>
      </c>
    </row>
    <row r="180" spans="1:71" s="9" customFormat="1" ht="17" x14ac:dyDescent="0.2">
      <c r="A180" s="35" t="s">
        <v>457</v>
      </c>
      <c r="B180" s="35" t="s">
        <v>445</v>
      </c>
      <c r="C180" s="93" t="s">
        <v>458</v>
      </c>
      <c r="D180" s="36" t="s">
        <v>423</v>
      </c>
      <c r="E180" s="37" t="s">
        <v>424</v>
      </c>
      <c r="F180" s="38"/>
      <c r="G180" s="96">
        <v>624</v>
      </c>
      <c r="H180" s="38"/>
      <c r="I180" s="39">
        <v>656</v>
      </c>
      <c r="J180" s="40">
        <v>0</v>
      </c>
      <c r="K180" s="38"/>
      <c r="L180" s="41"/>
      <c r="M180" s="41"/>
      <c r="N180" s="41"/>
      <c r="O180" s="41"/>
      <c r="P180" s="41"/>
      <c r="Q180" s="41"/>
      <c r="R180" s="41"/>
      <c r="S180" s="41"/>
      <c r="T180" s="41"/>
      <c r="U180" s="95">
        <f t="shared" si="44"/>
        <v>656</v>
      </c>
      <c r="V180" s="41"/>
      <c r="W180" s="41"/>
      <c r="X180" s="41"/>
      <c r="Y180" s="41"/>
      <c r="Z180" s="41"/>
      <c r="AA180" s="41"/>
      <c r="AB180" s="41"/>
      <c r="AC180" s="44">
        <f t="shared" si="42"/>
        <v>656</v>
      </c>
      <c r="AD180" s="44">
        <f t="shared" si="42"/>
        <v>0</v>
      </c>
      <c r="AE180" s="45" t="s">
        <v>222</v>
      </c>
      <c r="AF180" s="45"/>
      <c r="AG180" s="45"/>
      <c r="AH180" s="45"/>
      <c r="AI180" s="45"/>
      <c r="AJ180" s="45"/>
      <c r="AK180" s="45"/>
      <c r="AL180" s="45"/>
      <c r="AM180" s="45"/>
      <c r="AN180" s="45"/>
      <c r="AO180" s="45"/>
      <c r="AP180" s="45"/>
      <c r="AQ180" s="45"/>
      <c r="AR180" s="45"/>
      <c r="AS180" s="45"/>
      <c r="AT180" s="45"/>
      <c r="AU180" s="45"/>
      <c r="AV180" s="45">
        <v>312</v>
      </c>
      <c r="AW180" s="45"/>
      <c r="AX180" s="45"/>
      <c r="AY180" s="45"/>
      <c r="AZ180" s="85"/>
      <c r="BA180" s="47"/>
      <c r="BB180" s="47"/>
      <c r="BC180" s="47"/>
      <c r="BD180" s="47"/>
      <c r="BE180" s="47"/>
      <c r="BF180" s="47"/>
      <c r="BG180" s="47"/>
      <c r="BH180" s="47"/>
      <c r="BI180" s="47"/>
      <c r="BJ180" s="47"/>
      <c r="BK180" s="47"/>
      <c r="BL180" s="47"/>
      <c r="BM180" s="47"/>
      <c r="BN180" s="47"/>
      <c r="BO180" s="47"/>
      <c r="BP180" s="48">
        <f t="shared" si="33"/>
        <v>312</v>
      </c>
      <c r="BQ180" s="49">
        <f t="shared" si="36"/>
        <v>624</v>
      </c>
      <c r="BR180" s="50">
        <f t="shared" si="34"/>
        <v>0</v>
      </c>
      <c r="BS180" s="49">
        <f t="shared" si="37"/>
        <v>0</v>
      </c>
    </row>
    <row r="181" spans="1:71" s="9" customFormat="1" ht="17" x14ac:dyDescent="0.2">
      <c r="A181" s="35" t="s">
        <v>459</v>
      </c>
      <c r="B181" s="35" t="s">
        <v>445</v>
      </c>
      <c r="C181" s="93" t="s">
        <v>460</v>
      </c>
      <c r="D181" s="36" t="s">
        <v>423</v>
      </c>
      <c r="E181" s="37" t="s">
        <v>424</v>
      </c>
      <c r="F181" s="38"/>
      <c r="G181" s="96">
        <v>600</v>
      </c>
      <c r="H181" s="38"/>
      <c r="I181" s="39">
        <v>630</v>
      </c>
      <c r="J181" s="40">
        <v>0</v>
      </c>
      <c r="K181" s="38"/>
      <c r="L181" s="41"/>
      <c r="M181" s="41"/>
      <c r="N181" s="41"/>
      <c r="O181" s="41"/>
      <c r="P181" s="41"/>
      <c r="Q181" s="41"/>
      <c r="R181" s="41"/>
      <c r="S181" s="41"/>
      <c r="T181" s="41"/>
      <c r="U181" s="95">
        <f t="shared" si="44"/>
        <v>630</v>
      </c>
      <c r="V181" s="41"/>
      <c r="W181" s="41"/>
      <c r="X181" s="41"/>
      <c r="Y181" s="41"/>
      <c r="Z181" s="41"/>
      <c r="AA181" s="41"/>
      <c r="AB181" s="41"/>
      <c r="AC181" s="44">
        <f t="shared" si="42"/>
        <v>630</v>
      </c>
      <c r="AD181" s="44">
        <f t="shared" si="42"/>
        <v>0</v>
      </c>
      <c r="AE181" s="45" t="s">
        <v>222</v>
      </c>
      <c r="AF181" s="45"/>
      <c r="AG181" s="45"/>
      <c r="AH181" s="45"/>
      <c r="AI181" s="45"/>
      <c r="AJ181" s="45"/>
      <c r="AK181" s="45"/>
      <c r="AL181" s="45"/>
      <c r="AM181" s="45"/>
      <c r="AN181" s="45"/>
      <c r="AO181" s="45"/>
      <c r="AP181" s="45"/>
      <c r="AQ181" s="45"/>
      <c r="AR181" s="45"/>
      <c r="AS181" s="45"/>
      <c r="AT181" s="45"/>
      <c r="AU181" s="45"/>
      <c r="AV181" s="45"/>
      <c r="AW181" s="45"/>
      <c r="AX181" s="45">
        <v>300</v>
      </c>
      <c r="AY181" s="45"/>
      <c r="AZ181" s="85"/>
      <c r="BA181" s="47"/>
      <c r="BB181" s="47"/>
      <c r="BC181" s="47"/>
      <c r="BD181" s="47"/>
      <c r="BE181" s="47"/>
      <c r="BF181" s="47"/>
      <c r="BG181" s="47"/>
      <c r="BH181" s="47"/>
      <c r="BI181" s="47"/>
      <c r="BJ181" s="47"/>
      <c r="BK181" s="47"/>
      <c r="BL181" s="47"/>
      <c r="BM181" s="47"/>
      <c r="BN181" s="47"/>
      <c r="BO181" s="47"/>
      <c r="BP181" s="48">
        <f t="shared" si="33"/>
        <v>300</v>
      </c>
      <c r="BQ181" s="49">
        <f t="shared" si="36"/>
        <v>600</v>
      </c>
      <c r="BR181" s="50">
        <f t="shared" si="34"/>
        <v>0</v>
      </c>
      <c r="BS181" s="49">
        <f t="shared" si="37"/>
        <v>0</v>
      </c>
    </row>
    <row r="182" spans="1:71" s="9" customFormat="1" ht="17" x14ac:dyDescent="0.2">
      <c r="A182" s="35" t="s">
        <v>461</v>
      </c>
      <c r="B182" s="35" t="s">
        <v>445</v>
      </c>
      <c r="C182" s="93" t="s">
        <v>462</v>
      </c>
      <c r="D182" s="36" t="s">
        <v>423</v>
      </c>
      <c r="E182" s="37" t="s">
        <v>424</v>
      </c>
      <c r="F182" s="38"/>
      <c r="G182" s="96">
        <f>40+72+20</f>
        <v>132</v>
      </c>
      <c r="H182" s="38"/>
      <c r="I182" s="39">
        <v>118</v>
      </c>
      <c r="J182" s="40">
        <v>0</v>
      </c>
      <c r="K182" s="38"/>
      <c r="L182" s="41"/>
      <c r="M182" s="41"/>
      <c r="N182" s="41"/>
      <c r="O182" s="41"/>
      <c r="P182" s="41"/>
      <c r="Q182" s="41"/>
      <c r="R182" s="41"/>
      <c r="S182" s="41"/>
      <c r="T182" s="41"/>
      <c r="U182" s="95">
        <f t="shared" si="44"/>
        <v>139</v>
      </c>
      <c r="V182" s="41"/>
      <c r="W182" s="41"/>
      <c r="X182" s="41"/>
      <c r="Y182" s="41">
        <v>76</v>
      </c>
      <c r="Z182" s="41"/>
      <c r="AA182" s="41">
        <v>20</v>
      </c>
      <c r="AB182" s="41"/>
      <c r="AC182" s="44">
        <f t="shared" si="42"/>
        <v>138</v>
      </c>
      <c r="AD182" s="44">
        <f t="shared" si="42"/>
        <v>0</v>
      </c>
      <c r="AE182" s="45" t="s">
        <v>54</v>
      </c>
      <c r="AF182" s="45">
        <v>10</v>
      </c>
      <c r="AG182" s="45"/>
      <c r="AH182" s="45">
        <v>36</v>
      </c>
      <c r="AI182" s="45"/>
      <c r="AJ182" s="45"/>
      <c r="AK182" s="45"/>
      <c r="AL182" s="45"/>
      <c r="AM182" s="45"/>
      <c r="AN182" s="45"/>
      <c r="AO182" s="45"/>
      <c r="AP182" s="45"/>
      <c r="AQ182" s="45"/>
      <c r="AR182" s="45">
        <v>10</v>
      </c>
      <c r="AS182" s="45"/>
      <c r="AT182" s="45"/>
      <c r="AU182" s="45"/>
      <c r="AV182" s="45">
        <v>10</v>
      </c>
      <c r="AW182" s="45"/>
      <c r="AX182" s="45"/>
      <c r="AY182" s="45"/>
      <c r="AZ182" s="85"/>
      <c r="BA182" s="47"/>
      <c r="BB182" s="47"/>
      <c r="BC182" s="47"/>
      <c r="BD182" s="47"/>
      <c r="BE182" s="47"/>
      <c r="BF182" s="47"/>
      <c r="BG182" s="47"/>
      <c r="BH182" s="47"/>
      <c r="BI182" s="47"/>
      <c r="BJ182" s="47"/>
      <c r="BK182" s="47"/>
      <c r="BL182" s="47"/>
      <c r="BM182" s="47"/>
      <c r="BN182" s="47"/>
      <c r="BO182" s="47"/>
      <c r="BP182" s="48">
        <f t="shared" si="33"/>
        <v>66</v>
      </c>
      <c r="BQ182" s="49">
        <f t="shared" si="36"/>
        <v>132</v>
      </c>
      <c r="BR182" s="50">
        <f t="shared" si="34"/>
        <v>0</v>
      </c>
      <c r="BS182" s="49">
        <f t="shared" si="37"/>
        <v>0</v>
      </c>
    </row>
    <row r="183" spans="1:71" s="9" customFormat="1" ht="17" x14ac:dyDescent="0.2">
      <c r="A183" s="35" t="s">
        <v>463</v>
      </c>
      <c r="B183" s="35" t="s">
        <v>445</v>
      </c>
      <c r="C183" s="93" t="s">
        <v>464</v>
      </c>
      <c r="D183" s="36" t="s">
        <v>423</v>
      </c>
      <c r="E183" s="37" t="s">
        <v>424</v>
      </c>
      <c r="F183" s="38"/>
      <c r="G183" s="96">
        <v>8</v>
      </c>
      <c r="H183" s="38"/>
      <c r="I183" s="39">
        <v>5</v>
      </c>
      <c r="J183" s="40">
        <v>0</v>
      </c>
      <c r="K183" s="38"/>
      <c r="L183" s="41"/>
      <c r="M183" s="41"/>
      <c r="N183" s="41"/>
      <c r="O183" s="41"/>
      <c r="P183" s="41"/>
      <c r="Q183" s="41"/>
      <c r="R183" s="41"/>
      <c r="S183" s="41"/>
      <c r="T183" s="41"/>
      <c r="U183" s="95">
        <f t="shared" si="44"/>
        <v>9</v>
      </c>
      <c r="V183" s="41"/>
      <c r="W183" s="41"/>
      <c r="X183" s="41"/>
      <c r="Y183" s="41"/>
      <c r="Z183" s="41"/>
      <c r="AA183" s="41">
        <v>5</v>
      </c>
      <c r="AB183" s="41"/>
      <c r="AC183" s="44">
        <f t="shared" si="42"/>
        <v>10</v>
      </c>
      <c r="AD183" s="44">
        <f t="shared" si="42"/>
        <v>0</v>
      </c>
      <c r="AE183" s="45" t="s">
        <v>54</v>
      </c>
      <c r="AF183" s="45">
        <v>2</v>
      </c>
      <c r="AG183" s="45"/>
      <c r="AH183" s="45"/>
      <c r="AI183" s="45"/>
      <c r="AJ183" s="45"/>
      <c r="AK183" s="45"/>
      <c r="AL183" s="45"/>
      <c r="AM183" s="45"/>
      <c r="AN183" s="45"/>
      <c r="AO183" s="45"/>
      <c r="AP183" s="45"/>
      <c r="AQ183" s="45"/>
      <c r="AR183" s="45">
        <v>2</v>
      </c>
      <c r="AS183" s="45"/>
      <c r="AT183" s="45"/>
      <c r="AU183" s="45"/>
      <c r="AV183" s="45"/>
      <c r="AW183" s="45"/>
      <c r="AX183" s="45"/>
      <c r="AY183" s="45"/>
      <c r="AZ183" s="85"/>
      <c r="BA183" s="47"/>
      <c r="BB183" s="47"/>
      <c r="BC183" s="47"/>
      <c r="BD183" s="47"/>
      <c r="BE183" s="47"/>
      <c r="BF183" s="47"/>
      <c r="BG183" s="47"/>
      <c r="BH183" s="47"/>
      <c r="BI183" s="47"/>
      <c r="BJ183" s="47"/>
      <c r="BK183" s="47"/>
      <c r="BL183" s="47"/>
      <c r="BM183" s="47"/>
      <c r="BN183" s="47"/>
      <c r="BO183" s="47"/>
      <c r="BP183" s="48">
        <f t="shared" si="33"/>
        <v>4</v>
      </c>
      <c r="BQ183" s="49">
        <f t="shared" si="36"/>
        <v>8</v>
      </c>
      <c r="BR183" s="50">
        <f t="shared" si="34"/>
        <v>0</v>
      </c>
      <c r="BS183" s="49">
        <f t="shared" si="37"/>
        <v>0</v>
      </c>
    </row>
    <row r="184" spans="1:71" s="9" customFormat="1" ht="17" x14ac:dyDescent="0.2">
      <c r="A184" s="35" t="s">
        <v>465</v>
      </c>
      <c r="B184" s="35" t="s">
        <v>445</v>
      </c>
      <c r="C184" s="93" t="s">
        <v>466</v>
      </c>
      <c r="D184" s="36" t="s">
        <v>423</v>
      </c>
      <c r="E184" s="37" t="s">
        <v>424</v>
      </c>
      <c r="F184" s="38"/>
      <c r="G184" s="96">
        <v>3860</v>
      </c>
      <c r="H184" s="38"/>
      <c r="I184" s="39">
        <v>4053</v>
      </c>
      <c r="J184" s="40">
        <v>0</v>
      </c>
      <c r="K184" s="38"/>
      <c r="L184" s="41"/>
      <c r="M184" s="41"/>
      <c r="N184" s="41"/>
      <c r="O184" s="41"/>
      <c r="P184" s="41"/>
      <c r="Q184" s="41"/>
      <c r="R184" s="41"/>
      <c r="S184" s="41"/>
      <c r="T184" s="41"/>
      <c r="U184" s="95">
        <f t="shared" si="44"/>
        <v>4053</v>
      </c>
      <c r="V184" s="41"/>
      <c r="W184" s="41"/>
      <c r="X184" s="41"/>
      <c r="Y184" s="41"/>
      <c r="Z184" s="41"/>
      <c r="AA184" s="41"/>
      <c r="AB184" s="41"/>
      <c r="AC184" s="44">
        <f t="shared" si="42"/>
        <v>4053</v>
      </c>
      <c r="AD184" s="44">
        <f t="shared" si="42"/>
        <v>0</v>
      </c>
      <c r="AE184" s="45" t="s">
        <v>222</v>
      </c>
      <c r="AF184" s="45"/>
      <c r="AG184" s="45"/>
      <c r="AH184" s="45"/>
      <c r="AI184" s="45"/>
      <c r="AJ184" s="45"/>
      <c r="AK184" s="45"/>
      <c r="AL184" s="45"/>
      <c r="AM184" s="45"/>
      <c r="AN184" s="45"/>
      <c r="AO184" s="45"/>
      <c r="AP184" s="45"/>
      <c r="AQ184" s="45"/>
      <c r="AR184" s="45"/>
      <c r="AS184" s="45"/>
      <c r="AT184" s="45"/>
      <c r="AU184" s="45"/>
      <c r="AV184" s="45"/>
      <c r="AW184" s="45"/>
      <c r="AX184" s="45"/>
      <c r="AY184" s="45"/>
      <c r="AZ184" s="85"/>
      <c r="BA184" s="47"/>
      <c r="BB184" s="47">
        <v>1384</v>
      </c>
      <c r="BC184" s="47"/>
      <c r="BD184" s="47"/>
      <c r="BE184" s="47"/>
      <c r="BF184" s="47"/>
      <c r="BG184" s="47"/>
      <c r="BH184" s="47"/>
      <c r="BI184" s="47"/>
      <c r="BJ184" s="47"/>
      <c r="BK184" s="47"/>
      <c r="BL184" s="47">
        <v>450</v>
      </c>
      <c r="BM184" s="47"/>
      <c r="BN184" s="47">
        <v>96</v>
      </c>
      <c r="BO184" s="47"/>
      <c r="BP184" s="48">
        <f t="shared" si="33"/>
        <v>1930</v>
      </c>
      <c r="BQ184" s="49">
        <f t="shared" si="36"/>
        <v>3860</v>
      </c>
      <c r="BR184" s="50">
        <f t="shared" si="34"/>
        <v>0</v>
      </c>
      <c r="BS184" s="49">
        <f t="shared" si="37"/>
        <v>0</v>
      </c>
    </row>
    <row r="185" spans="1:71" s="9" customFormat="1" ht="17" x14ac:dyDescent="0.2">
      <c r="A185" s="35" t="s">
        <v>467</v>
      </c>
      <c r="B185" s="35" t="s">
        <v>445</v>
      </c>
      <c r="C185" s="93" t="s">
        <v>468</v>
      </c>
      <c r="D185" s="36" t="s">
        <v>423</v>
      </c>
      <c r="E185" s="37" t="s">
        <v>424</v>
      </c>
      <c r="F185" s="38"/>
      <c r="G185" s="96">
        <v>558</v>
      </c>
      <c r="H185" s="38"/>
      <c r="I185" s="39">
        <v>586</v>
      </c>
      <c r="J185" s="40">
        <v>0</v>
      </c>
      <c r="K185" s="38"/>
      <c r="L185" s="41"/>
      <c r="M185" s="41"/>
      <c r="N185" s="41"/>
      <c r="O185" s="41"/>
      <c r="P185" s="41"/>
      <c r="Q185" s="41"/>
      <c r="R185" s="41"/>
      <c r="S185" s="41"/>
      <c r="T185" s="41"/>
      <c r="U185" s="95">
        <f t="shared" si="44"/>
        <v>586</v>
      </c>
      <c r="V185" s="41"/>
      <c r="W185" s="41"/>
      <c r="X185" s="41"/>
      <c r="Y185" s="41"/>
      <c r="Z185" s="41"/>
      <c r="AA185" s="41"/>
      <c r="AB185" s="41"/>
      <c r="AC185" s="44">
        <f t="shared" si="42"/>
        <v>586</v>
      </c>
      <c r="AD185" s="44">
        <f t="shared" si="42"/>
        <v>0</v>
      </c>
      <c r="AE185" s="45" t="s">
        <v>222</v>
      </c>
      <c r="AF185" s="45"/>
      <c r="AG185" s="45"/>
      <c r="AH185" s="45"/>
      <c r="AI185" s="45"/>
      <c r="AJ185" s="45"/>
      <c r="AK185" s="45"/>
      <c r="AL185" s="45"/>
      <c r="AM185" s="45"/>
      <c r="AN185" s="45"/>
      <c r="AO185" s="45"/>
      <c r="AP185" s="45"/>
      <c r="AQ185" s="45"/>
      <c r="AR185" s="45"/>
      <c r="AS185" s="45"/>
      <c r="AT185" s="45"/>
      <c r="AU185" s="45"/>
      <c r="AV185" s="45"/>
      <c r="AW185" s="45"/>
      <c r="AX185" s="45"/>
      <c r="AY185" s="45"/>
      <c r="AZ185" s="85"/>
      <c r="BA185" s="47"/>
      <c r="BB185" s="47">
        <v>279</v>
      </c>
      <c r="BC185" s="47"/>
      <c r="BD185" s="47"/>
      <c r="BE185" s="47"/>
      <c r="BF185" s="47"/>
      <c r="BG185" s="47"/>
      <c r="BH185" s="47"/>
      <c r="BI185" s="47"/>
      <c r="BJ185" s="47"/>
      <c r="BK185" s="47"/>
      <c r="BL185" s="47"/>
      <c r="BM185" s="47"/>
      <c r="BN185" s="47"/>
      <c r="BO185" s="47"/>
      <c r="BP185" s="48">
        <f t="shared" si="33"/>
        <v>279</v>
      </c>
      <c r="BQ185" s="49">
        <f t="shared" si="36"/>
        <v>558</v>
      </c>
      <c r="BR185" s="50">
        <f t="shared" si="34"/>
        <v>0</v>
      </c>
      <c r="BS185" s="49">
        <f t="shared" si="37"/>
        <v>0</v>
      </c>
    </row>
    <row r="186" spans="1:71" s="9" customFormat="1" ht="17" x14ac:dyDescent="0.2">
      <c r="A186" s="35" t="s">
        <v>469</v>
      </c>
      <c r="B186" s="35" t="s">
        <v>445</v>
      </c>
      <c r="C186" s="93" t="s">
        <v>470</v>
      </c>
      <c r="D186" s="36" t="s">
        <v>423</v>
      </c>
      <c r="E186" s="37" t="s">
        <v>424</v>
      </c>
      <c r="F186" s="38"/>
      <c r="G186" s="96">
        <v>968</v>
      </c>
      <c r="H186" s="38"/>
      <c r="I186" s="39">
        <v>1017</v>
      </c>
      <c r="J186" s="40">
        <v>0</v>
      </c>
      <c r="K186" s="38"/>
      <c r="L186" s="41"/>
      <c r="M186" s="41"/>
      <c r="N186" s="41"/>
      <c r="O186" s="41"/>
      <c r="P186" s="41"/>
      <c r="Q186" s="41"/>
      <c r="R186" s="41"/>
      <c r="S186" s="41"/>
      <c r="T186" s="41"/>
      <c r="U186" s="95">
        <f t="shared" si="44"/>
        <v>1017</v>
      </c>
      <c r="V186" s="41"/>
      <c r="W186" s="41"/>
      <c r="X186" s="41"/>
      <c r="Y186" s="41"/>
      <c r="Z186" s="41"/>
      <c r="AA186" s="41"/>
      <c r="AB186" s="41"/>
      <c r="AC186" s="44">
        <f t="shared" si="42"/>
        <v>1017</v>
      </c>
      <c r="AD186" s="44">
        <f t="shared" si="42"/>
        <v>0</v>
      </c>
      <c r="AE186" s="45" t="s">
        <v>222</v>
      </c>
      <c r="AF186" s="45"/>
      <c r="AG186" s="45"/>
      <c r="AH186" s="45"/>
      <c r="AI186" s="45"/>
      <c r="AJ186" s="45"/>
      <c r="AK186" s="45"/>
      <c r="AL186" s="45"/>
      <c r="AM186" s="45"/>
      <c r="AN186" s="45"/>
      <c r="AO186" s="45"/>
      <c r="AP186" s="45"/>
      <c r="AQ186" s="45"/>
      <c r="AR186" s="45"/>
      <c r="AS186" s="45"/>
      <c r="AT186" s="45"/>
      <c r="AU186" s="45"/>
      <c r="AV186" s="45"/>
      <c r="AW186" s="45"/>
      <c r="AX186" s="45"/>
      <c r="AY186" s="45"/>
      <c r="AZ186" s="85"/>
      <c r="BA186" s="47"/>
      <c r="BB186" s="47">
        <v>484</v>
      </c>
      <c r="BC186" s="47"/>
      <c r="BD186" s="47"/>
      <c r="BE186" s="47"/>
      <c r="BF186" s="47"/>
      <c r="BG186" s="47"/>
      <c r="BH186" s="47"/>
      <c r="BI186" s="47"/>
      <c r="BJ186" s="47"/>
      <c r="BK186" s="47"/>
      <c r="BL186" s="47"/>
      <c r="BM186" s="47"/>
      <c r="BN186" s="47"/>
      <c r="BO186" s="47"/>
      <c r="BP186" s="48">
        <f t="shared" si="33"/>
        <v>484</v>
      </c>
      <c r="BQ186" s="49">
        <f t="shared" si="36"/>
        <v>968</v>
      </c>
      <c r="BR186" s="50">
        <f t="shared" si="34"/>
        <v>0</v>
      </c>
      <c r="BS186" s="49">
        <f t="shared" si="37"/>
        <v>0</v>
      </c>
    </row>
    <row r="187" spans="1:71" s="9" customFormat="1" ht="17" x14ac:dyDescent="0.2">
      <c r="A187" s="35" t="s">
        <v>471</v>
      </c>
      <c r="B187" s="35" t="s">
        <v>445</v>
      </c>
      <c r="C187" s="93" t="s">
        <v>472</v>
      </c>
      <c r="D187" s="36" t="s">
        <v>423</v>
      </c>
      <c r="E187" s="37" t="s">
        <v>424</v>
      </c>
      <c r="F187" s="38"/>
      <c r="G187" s="96">
        <v>40</v>
      </c>
      <c r="H187" s="38"/>
      <c r="I187" s="39">
        <v>42</v>
      </c>
      <c r="J187" s="40">
        <v>0</v>
      </c>
      <c r="K187" s="38"/>
      <c r="L187" s="41"/>
      <c r="M187" s="41"/>
      <c r="N187" s="41"/>
      <c r="O187" s="41"/>
      <c r="P187" s="41"/>
      <c r="Q187" s="41"/>
      <c r="R187" s="41"/>
      <c r="S187" s="41"/>
      <c r="T187" s="41"/>
      <c r="U187" s="95">
        <f t="shared" si="44"/>
        <v>42</v>
      </c>
      <c r="V187" s="41"/>
      <c r="W187" s="41"/>
      <c r="X187" s="41"/>
      <c r="Y187" s="41"/>
      <c r="Z187" s="41"/>
      <c r="AA187" s="41"/>
      <c r="AB187" s="41"/>
      <c r="AC187" s="44">
        <f t="shared" si="42"/>
        <v>42</v>
      </c>
      <c r="AD187" s="44">
        <f t="shared" si="42"/>
        <v>0</v>
      </c>
      <c r="AE187" s="45" t="s">
        <v>222</v>
      </c>
      <c r="AF187" s="45"/>
      <c r="AG187" s="45"/>
      <c r="AH187" s="45"/>
      <c r="AI187" s="45"/>
      <c r="AJ187" s="45"/>
      <c r="AK187" s="45"/>
      <c r="AL187" s="45"/>
      <c r="AM187" s="45"/>
      <c r="AN187" s="45">
        <v>10</v>
      </c>
      <c r="AO187" s="45"/>
      <c r="AP187" s="45"/>
      <c r="AQ187" s="45"/>
      <c r="AR187" s="45"/>
      <c r="AS187" s="45"/>
      <c r="AT187" s="45"/>
      <c r="AU187" s="45"/>
      <c r="AV187" s="45"/>
      <c r="AW187" s="45"/>
      <c r="AX187" s="45"/>
      <c r="AY187" s="45"/>
      <c r="AZ187" s="85">
        <v>10</v>
      </c>
      <c r="BA187" s="47"/>
      <c r="BB187" s="47">
        <v>10</v>
      </c>
      <c r="BC187" s="47"/>
      <c r="BD187" s="47"/>
      <c r="BE187" s="47"/>
      <c r="BF187" s="47"/>
      <c r="BG187" s="47"/>
      <c r="BH187" s="47"/>
      <c r="BI187" s="47"/>
      <c r="BJ187" s="47"/>
      <c r="BK187" s="47"/>
      <c r="BL187" s="47"/>
      <c r="BM187" s="47"/>
      <c r="BN187" s="47"/>
      <c r="BO187" s="47"/>
      <c r="BP187" s="48">
        <f t="shared" si="33"/>
        <v>30</v>
      </c>
      <c r="BQ187" s="49">
        <f t="shared" si="36"/>
        <v>60</v>
      </c>
      <c r="BR187" s="50">
        <f t="shared" si="34"/>
        <v>0</v>
      </c>
      <c r="BS187" s="49">
        <f t="shared" si="37"/>
        <v>0</v>
      </c>
    </row>
    <row r="188" spans="1:71" s="9" customFormat="1" ht="17" x14ac:dyDescent="0.2">
      <c r="A188" s="35" t="s">
        <v>473</v>
      </c>
      <c r="B188" s="35" t="s">
        <v>445</v>
      </c>
      <c r="C188" s="93" t="s">
        <v>474</v>
      </c>
      <c r="D188" s="36" t="s">
        <v>423</v>
      </c>
      <c r="E188" s="37" t="s">
        <v>424</v>
      </c>
      <c r="F188" s="38"/>
      <c r="G188" s="96">
        <v>1708</v>
      </c>
      <c r="H188" s="38"/>
      <c r="I188" s="39">
        <v>1785</v>
      </c>
      <c r="J188" s="40">
        <v>0</v>
      </c>
      <c r="K188" s="38"/>
      <c r="L188" s="41"/>
      <c r="M188" s="41"/>
      <c r="N188" s="41"/>
      <c r="O188" s="41"/>
      <c r="P188" s="41"/>
      <c r="Q188" s="41"/>
      <c r="R188" s="41"/>
      <c r="S188" s="41"/>
      <c r="T188" s="41"/>
      <c r="U188" s="95">
        <f t="shared" si="44"/>
        <v>1794</v>
      </c>
      <c r="V188" s="41"/>
      <c r="W188" s="41"/>
      <c r="X188" s="41"/>
      <c r="Y188" s="41"/>
      <c r="Z188" s="41"/>
      <c r="AA188" s="41"/>
      <c r="AB188" s="41"/>
      <c r="AC188" s="44">
        <f t="shared" si="42"/>
        <v>1785</v>
      </c>
      <c r="AD188" s="44">
        <f t="shared" si="42"/>
        <v>0</v>
      </c>
      <c r="AE188" s="45" t="s">
        <v>222</v>
      </c>
      <c r="AF188" s="45"/>
      <c r="AG188" s="45"/>
      <c r="AH188" s="45"/>
      <c r="AI188" s="45"/>
      <c r="AJ188" s="45"/>
      <c r="AK188" s="45"/>
      <c r="AL188" s="45"/>
      <c r="AM188" s="45"/>
      <c r="AN188" s="45"/>
      <c r="AO188" s="45"/>
      <c r="AP188" s="45"/>
      <c r="AQ188" s="45"/>
      <c r="AR188" s="45"/>
      <c r="AS188" s="45"/>
      <c r="AT188" s="45"/>
      <c r="AU188" s="45"/>
      <c r="AV188" s="45"/>
      <c r="AW188" s="45"/>
      <c r="AX188" s="45"/>
      <c r="AY188" s="45"/>
      <c r="AZ188" s="85">
        <v>758</v>
      </c>
      <c r="BA188" s="47"/>
      <c r="BB188" s="47"/>
      <c r="BC188" s="47"/>
      <c r="BD188" s="47"/>
      <c r="BE188" s="47"/>
      <c r="BF188" s="47"/>
      <c r="BG188" s="47"/>
      <c r="BH188" s="47"/>
      <c r="BI188" s="47"/>
      <c r="BJ188" s="47"/>
      <c r="BK188" s="47"/>
      <c r="BL188" s="47"/>
      <c r="BM188" s="47"/>
      <c r="BN188" s="47">
        <v>96</v>
      </c>
      <c r="BO188" s="47"/>
      <c r="BP188" s="48">
        <f t="shared" si="33"/>
        <v>854</v>
      </c>
      <c r="BQ188" s="49">
        <f t="shared" si="36"/>
        <v>1708</v>
      </c>
      <c r="BR188" s="50">
        <f t="shared" si="34"/>
        <v>0</v>
      </c>
      <c r="BS188" s="49">
        <f t="shared" si="37"/>
        <v>0</v>
      </c>
    </row>
    <row r="189" spans="1:71" s="9" customFormat="1" ht="17" x14ac:dyDescent="0.2">
      <c r="A189" s="35" t="s">
        <v>475</v>
      </c>
      <c r="B189" s="35" t="s">
        <v>445</v>
      </c>
      <c r="C189" s="93" t="s">
        <v>476</v>
      </c>
      <c r="D189" s="36" t="s">
        <v>423</v>
      </c>
      <c r="E189" s="37" t="s">
        <v>424</v>
      </c>
      <c r="F189" s="38"/>
      <c r="G189" s="96">
        <v>308</v>
      </c>
      <c r="H189" s="38"/>
      <c r="I189" s="39">
        <v>324</v>
      </c>
      <c r="J189" s="40">
        <v>0</v>
      </c>
      <c r="K189" s="38"/>
      <c r="L189" s="41"/>
      <c r="M189" s="41"/>
      <c r="N189" s="41"/>
      <c r="O189" s="41"/>
      <c r="P189" s="41"/>
      <c r="Q189" s="41"/>
      <c r="R189" s="41"/>
      <c r="S189" s="41"/>
      <c r="T189" s="41"/>
      <c r="U189" s="95">
        <f t="shared" si="44"/>
        <v>324</v>
      </c>
      <c r="V189" s="41"/>
      <c r="W189" s="41"/>
      <c r="X189" s="41"/>
      <c r="Y189" s="41"/>
      <c r="Z189" s="41"/>
      <c r="AA189" s="41"/>
      <c r="AB189" s="41"/>
      <c r="AC189" s="44">
        <f t="shared" si="42"/>
        <v>324</v>
      </c>
      <c r="AD189" s="44">
        <f t="shared" si="42"/>
        <v>0</v>
      </c>
      <c r="AE189" s="45" t="s">
        <v>222</v>
      </c>
      <c r="AF189" s="45"/>
      <c r="AG189" s="45"/>
      <c r="AH189" s="45"/>
      <c r="AI189" s="45"/>
      <c r="AJ189" s="45"/>
      <c r="AK189" s="45"/>
      <c r="AL189" s="45"/>
      <c r="AM189" s="45"/>
      <c r="AN189" s="45"/>
      <c r="AO189" s="45"/>
      <c r="AP189" s="45"/>
      <c r="AQ189" s="45"/>
      <c r="AR189" s="45"/>
      <c r="AS189" s="45"/>
      <c r="AT189" s="45"/>
      <c r="AU189" s="45"/>
      <c r="AV189" s="45"/>
      <c r="AW189" s="45"/>
      <c r="AX189" s="45"/>
      <c r="AY189" s="45"/>
      <c r="AZ189" s="85">
        <v>154</v>
      </c>
      <c r="BA189" s="47"/>
      <c r="BB189" s="47"/>
      <c r="BC189" s="47"/>
      <c r="BD189" s="47"/>
      <c r="BE189" s="47"/>
      <c r="BF189" s="47"/>
      <c r="BG189" s="47"/>
      <c r="BH189" s="47"/>
      <c r="BI189" s="47"/>
      <c r="BJ189" s="47"/>
      <c r="BK189" s="47"/>
      <c r="BL189" s="47"/>
      <c r="BM189" s="47"/>
      <c r="BN189" s="47"/>
      <c r="BO189" s="47"/>
      <c r="BP189" s="48">
        <f t="shared" si="33"/>
        <v>154</v>
      </c>
      <c r="BQ189" s="49">
        <f t="shared" si="36"/>
        <v>308</v>
      </c>
      <c r="BR189" s="50">
        <f t="shared" si="34"/>
        <v>0</v>
      </c>
      <c r="BS189" s="49">
        <f t="shared" si="37"/>
        <v>0</v>
      </c>
    </row>
    <row r="190" spans="1:71" s="9" customFormat="1" ht="17" x14ac:dyDescent="0.2">
      <c r="A190" s="35" t="s">
        <v>477</v>
      </c>
      <c r="B190" s="35" t="s">
        <v>478</v>
      </c>
      <c r="C190" s="93" t="s">
        <v>479</v>
      </c>
      <c r="D190" s="36" t="s">
        <v>431</v>
      </c>
      <c r="E190" s="37" t="s">
        <v>424</v>
      </c>
      <c r="F190" s="38"/>
      <c r="G190" s="96">
        <v>658</v>
      </c>
      <c r="H190" s="38"/>
      <c r="I190" s="39">
        <v>691</v>
      </c>
      <c r="J190" s="40">
        <v>0</v>
      </c>
      <c r="K190" s="38"/>
      <c r="L190" s="41"/>
      <c r="M190" s="41"/>
      <c r="N190" s="41"/>
      <c r="O190" s="41"/>
      <c r="P190" s="41"/>
      <c r="Q190" s="41"/>
      <c r="R190" s="41"/>
      <c r="S190" s="41"/>
      <c r="T190" s="41"/>
      <c r="U190" s="95">
        <f t="shared" si="44"/>
        <v>691</v>
      </c>
      <c r="V190" s="41"/>
      <c r="W190" s="41"/>
      <c r="X190" s="41"/>
      <c r="Y190" s="41"/>
      <c r="Z190" s="41"/>
      <c r="AA190" s="41"/>
      <c r="AB190" s="41"/>
      <c r="AC190" s="44">
        <f t="shared" si="42"/>
        <v>691</v>
      </c>
      <c r="AD190" s="44">
        <f t="shared" si="42"/>
        <v>0</v>
      </c>
      <c r="AE190" s="45" t="s">
        <v>222</v>
      </c>
      <c r="AF190" s="45"/>
      <c r="AG190" s="45"/>
      <c r="AH190" s="45"/>
      <c r="AI190" s="45"/>
      <c r="AJ190" s="45"/>
      <c r="AK190" s="45"/>
      <c r="AL190" s="45"/>
      <c r="AM190" s="45"/>
      <c r="AN190" s="45"/>
      <c r="AO190" s="45"/>
      <c r="AP190" s="45"/>
      <c r="AQ190" s="45"/>
      <c r="AR190" s="45"/>
      <c r="AS190" s="45"/>
      <c r="AT190" s="45"/>
      <c r="AU190" s="45"/>
      <c r="AV190" s="45"/>
      <c r="AW190" s="45"/>
      <c r="AX190" s="45"/>
      <c r="AY190" s="45"/>
      <c r="AZ190" s="85"/>
      <c r="BA190" s="47"/>
      <c r="BB190" s="47"/>
      <c r="BC190" s="47"/>
      <c r="BD190" s="47"/>
      <c r="BE190" s="47"/>
      <c r="BF190" s="47"/>
      <c r="BG190" s="47"/>
      <c r="BH190" s="47"/>
      <c r="BI190" s="47"/>
      <c r="BJ190" s="47"/>
      <c r="BK190" s="47"/>
      <c r="BL190" s="47">
        <v>329</v>
      </c>
      <c r="BM190" s="47"/>
      <c r="BN190" s="47"/>
      <c r="BO190" s="47"/>
      <c r="BP190" s="48">
        <f t="shared" si="33"/>
        <v>329</v>
      </c>
      <c r="BQ190" s="49">
        <f t="shared" si="36"/>
        <v>658</v>
      </c>
      <c r="BR190" s="50">
        <f t="shared" si="34"/>
        <v>0</v>
      </c>
      <c r="BS190" s="49">
        <f t="shared" si="37"/>
        <v>0</v>
      </c>
    </row>
    <row r="191" spans="1:71" s="9" customFormat="1" ht="17" x14ac:dyDescent="0.2">
      <c r="A191" s="35" t="s">
        <v>480</v>
      </c>
      <c r="B191" s="35" t="s">
        <v>445</v>
      </c>
      <c r="C191" s="93" t="s">
        <v>481</v>
      </c>
      <c r="D191" s="36" t="s">
        <v>423</v>
      </c>
      <c r="E191" s="37" t="s">
        <v>424</v>
      </c>
      <c r="F191" s="38"/>
      <c r="G191" s="96">
        <v>24</v>
      </c>
      <c r="H191" s="38"/>
      <c r="I191" s="39">
        <v>26</v>
      </c>
      <c r="J191" s="40">
        <v>0</v>
      </c>
      <c r="K191" s="38"/>
      <c r="L191" s="41"/>
      <c r="M191" s="41"/>
      <c r="N191" s="41"/>
      <c r="O191" s="41"/>
      <c r="P191" s="41"/>
      <c r="Q191" s="41"/>
      <c r="R191" s="41"/>
      <c r="S191" s="41"/>
      <c r="T191" s="41"/>
      <c r="U191" s="95">
        <f t="shared" si="44"/>
        <v>26</v>
      </c>
      <c r="V191" s="41"/>
      <c r="W191" s="41"/>
      <c r="X191" s="41"/>
      <c r="Y191" s="41"/>
      <c r="Z191" s="41"/>
      <c r="AA191" s="41"/>
      <c r="AB191" s="41"/>
      <c r="AC191" s="44">
        <f t="shared" si="42"/>
        <v>26</v>
      </c>
      <c r="AD191" s="44">
        <f t="shared" si="42"/>
        <v>0</v>
      </c>
      <c r="AE191" s="45" t="s">
        <v>222</v>
      </c>
      <c r="AF191" s="45">
        <v>12</v>
      </c>
      <c r="AG191" s="45"/>
      <c r="AH191" s="45"/>
      <c r="AI191" s="45"/>
      <c r="AJ191" s="45"/>
      <c r="AK191" s="45"/>
      <c r="AL191" s="45"/>
      <c r="AM191" s="45"/>
      <c r="AN191" s="45"/>
      <c r="AO191" s="45"/>
      <c r="AP191" s="45"/>
      <c r="AQ191" s="45"/>
      <c r="AR191" s="45"/>
      <c r="AS191" s="45"/>
      <c r="AT191" s="45"/>
      <c r="AU191" s="45"/>
      <c r="AV191" s="45"/>
      <c r="AW191" s="45"/>
      <c r="AX191" s="45"/>
      <c r="AY191" s="45"/>
      <c r="AZ191" s="85"/>
      <c r="BA191" s="47"/>
      <c r="BB191" s="47"/>
      <c r="BC191" s="47"/>
      <c r="BD191" s="47"/>
      <c r="BE191" s="47"/>
      <c r="BF191" s="47"/>
      <c r="BG191" s="47"/>
      <c r="BH191" s="47"/>
      <c r="BI191" s="47"/>
      <c r="BJ191" s="47"/>
      <c r="BK191" s="47"/>
      <c r="BL191" s="47"/>
      <c r="BM191" s="47"/>
      <c r="BN191" s="47"/>
      <c r="BO191" s="47"/>
      <c r="BP191" s="48">
        <f t="shared" si="33"/>
        <v>12</v>
      </c>
      <c r="BQ191" s="49">
        <f t="shared" si="36"/>
        <v>24</v>
      </c>
      <c r="BR191" s="50">
        <f t="shared" si="34"/>
        <v>0</v>
      </c>
      <c r="BS191" s="49">
        <f t="shared" si="37"/>
        <v>0</v>
      </c>
    </row>
    <row r="192" spans="1:71" s="9" customFormat="1" ht="17" x14ac:dyDescent="0.2">
      <c r="A192" s="35" t="s">
        <v>482</v>
      </c>
      <c r="B192" s="35" t="s">
        <v>445</v>
      </c>
      <c r="C192" s="93" t="s">
        <v>483</v>
      </c>
      <c r="D192" s="36" t="s">
        <v>423</v>
      </c>
      <c r="E192" s="37" t="s">
        <v>424</v>
      </c>
      <c r="F192" s="38"/>
      <c r="G192" s="96">
        <v>2826</v>
      </c>
      <c r="H192" s="38"/>
      <c r="I192" s="39">
        <v>2968</v>
      </c>
      <c r="J192" s="40">
        <v>0</v>
      </c>
      <c r="K192" s="38"/>
      <c r="L192" s="41"/>
      <c r="M192" s="41"/>
      <c r="N192" s="41"/>
      <c r="O192" s="41"/>
      <c r="P192" s="41"/>
      <c r="Q192" s="41"/>
      <c r="R192" s="41"/>
      <c r="S192" s="41"/>
      <c r="T192" s="41"/>
      <c r="U192" s="95">
        <f t="shared" si="44"/>
        <v>2968</v>
      </c>
      <c r="V192" s="41"/>
      <c r="W192" s="41"/>
      <c r="X192" s="41"/>
      <c r="Y192" s="41"/>
      <c r="Z192" s="41"/>
      <c r="AA192" s="41"/>
      <c r="AB192" s="41"/>
      <c r="AC192" s="44">
        <f t="shared" si="42"/>
        <v>2968</v>
      </c>
      <c r="AD192" s="44">
        <f t="shared" si="42"/>
        <v>0</v>
      </c>
      <c r="AE192" s="45" t="s">
        <v>222</v>
      </c>
      <c r="AF192" s="45"/>
      <c r="AG192" s="45"/>
      <c r="AH192" s="45"/>
      <c r="AI192" s="45"/>
      <c r="AJ192" s="45"/>
      <c r="AK192" s="45"/>
      <c r="AL192" s="45"/>
      <c r="AM192" s="45"/>
      <c r="AN192" s="45"/>
      <c r="AO192" s="45"/>
      <c r="AP192" s="45"/>
      <c r="AQ192" s="45"/>
      <c r="AR192" s="45">
        <v>849</v>
      </c>
      <c r="AS192" s="45"/>
      <c r="AT192" s="45"/>
      <c r="AU192" s="45"/>
      <c r="AV192" s="45"/>
      <c r="AW192" s="45"/>
      <c r="AX192" s="45"/>
      <c r="AY192" s="45"/>
      <c r="AZ192" s="85"/>
      <c r="BA192" s="47"/>
      <c r="BB192" s="47"/>
      <c r="BC192" s="47"/>
      <c r="BD192" s="47"/>
      <c r="BE192" s="47"/>
      <c r="BF192" s="47"/>
      <c r="BG192" s="47"/>
      <c r="BH192" s="47"/>
      <c r="BI192" s="47"/>
      <c r="BJ192" s="47"/>
      <c r="BK192" s="47"/>
      <c r="BL192" s="47">
        <v>564</v>
      </c>
      <c r="BM192" s="47"/>
      <c r="BN192" s="47"/>
      <c r="BO192" s="47"/>
      <c r="BP192" s="48">
        <f t="shared" si="33"/>
        <v>1413</v>
      </c>
      <c r="BQ192" s="49">
        <f t="shared" si="36"/>
        <v>2826</v>
      </c>
      <c r="BR192" s="50">
        <f t="shared" si="34"/>
        <v>0</v>
      </c>
      <c r="BS192" s="49">
        <f t="shared" si="37"/>
        <v>0</v>
      </c>
    </row>
    <row r="193" spans="1:71" s="9" customFormat="1" ht="17" x14ac:dyDescent="0.2">
      <c r="A193" s="35" t="s">
        <v>484</v>
      </c>
      <c r="B193" s="35" t="s">
        <v>445</v>
      </c>
      <c r="C193" s="93" t="s">
        <v>485</v>
      </c>
      <c r="D193" s="36" t="s">
        <v>423</v>
      </c>
      <c r="E193" s="37" t="s">
        <v>424</v>
      </c>
      <c r="F193" s="38"/>
      <c r="G193" s="96">
        <v>120</v>
      </c>
      <c r="H193" s="38"/>
      <c r="I193" s="39">
        <v>126</v>
      </c>
      <c r="J193" s="40">
        <v>0</v>
      </c>
      <c r="K193" s="38"/>
      <c r="L193" s="41"/>
      <c r="M193" s="41"/>
      <c r="N193" s="41"/>
      <c r="O193" s="41"/>
      <c r="P193" s="41"/>
      <c r="Q193" s="41"/>
      <c r="R193" s="41"/>
      <c r="S193" s="41"/>
      <c r="T193" s="41"/>
      <c r="U193" s="95">
        <f t="shared" si="44"/>
        <v>126</v>
      </c>
      <c r="V193" s="41"/>
      <c r="W193" s="41"/>
      <c r="X193" s="41"/>
      <c r="Y193" s="41"/>
      <c r="Z193" s="41"/>
      <c r="AA193" s="41"/>
      <c r="AB193" s="41"/>
      <c r="AC193" s="44">
        <f t="shared" si="42"/>
        <v>126</v>
      </c>
      <c r="AD193" s="44">
        <f t="shared" si="42"/>
        <v>0</v>
      </c>
      <c r="AE193" s="45" t="s">
        <v>222</v>
      </c>
      <c r="AF193" s="45"/>
      <c r="AG193" s="45"/>
      <c r="AH193" s="45"/>
      <c r="AI193" s="45"/>
      <c r="AJ193" s="45"/>
      <c r="AK193" s="45"/>
      <c r="AL193" s="45"/>
      <c r="AM193" s="45"/>
      <c r="AN193" s="45"/>
      <c r="AO193" s="45"/>
      <c r="AP193" s="45"/>
      <c r="AQ193" s="45"/>
      <c r="AR193" s="45"/>
      <c r="AS193" s="45"/>
      <c r="AT193" s="45"/>
      <c r="AU193" s="45"/>
      <c r="AV193" s="45"/>
      <c r="AW193" s="45"/>
      <c r="AX193" s="45"/>
      <c r="AY193" s="45"/>
      <c r="AZ193" s="85"/>
      <c r="BA193" s="47"/>
      <c r="BB193" s="47"/>
      <c r="BC193" s="47"/>
      <c r="BD193" s="47"/>
      <c r="BE193" s="47"/>
      <c r="BF193" s="47"/>
      <c r="BG193" s="47"/>
      <c r="BH193" s="47"/>
      <c r="BI193" s="47"/>
      <c r="BJ193" s="47"/>
      <c r="BK193" s="47"/>
      <c r="BL193" s="47">
        <v>60</v>
      </c>
      <c r="BM193" s="47"/>
      <c r="BN193" s="47"/>
      <c r="BO193" s="47"/>
      <c r="BP193" s="48">
        <f t="shared" si="33"/>
        <v>60</v>
      </c>
      <c r="BQ193" s="49">
        <f t="shared" si="36"/>
        <v>120</v>
      </c>
      <c r="BR193" s="50">
        <f t="shared" si="34"/>
        <v>0</v>
      </c>
      <c r="BS193" s="49">
        <f t="shared" si="37"/>
        <v>0</v>
      </c>
    </row>
    <row r="194" spans="1:71" s="9" customFormat="1" ht="17" x14ac:dyDescent="0.2">
      <c r="A194" s="35" t="s">
        <v>486</v>
      </c>
      <c r="B194" s="35" t="s">
        <v>445</v>
      </c>
      <c r="C194" s="93" t="s">
        <v>487</v>
      </c>
      <c r="D194" s="36" t="s">
        <v>423</v>
      </c>
      <c r="E194" s="37" t="s">
        <v>424</v>
      </c>
      <c r="F194" s="38"/>
      <c r="G194" s="96">
        <f>19238+162</f>
        <v>19400</v>
      </c>
      <c r="H194" s="38"/>
      <c r="I194" s="39">
        <v>20200</v>
      </c>
      <c r="J194" s="40">
        <v>0</v>
      </c>
      <c r="K194" s="38"/>
      <c r="L194" s="41"/>
      <c r="M194" s="41"/>
      <c r="N194" s="41"/>
      <c r="O194" s="41"/>
      <c r="P194" s="41"/>
      <c r="Q194" s="41"/>
      <c r="R194" s="41"/>
      <c r="S194" s="41"/>
      <c r="T194" s="41"/>
      <c r="U194" s="95">
        <f t="shared" si="44"/>
        <v>20370</v>
      </c>
      <c r="V194" s="41"/>
      <c r="W194" s="41"/>
      <c r="X194" s="41"/>
      <c r="Y194" s="41"/>
      <c r="Z194" s="41"/>
      <c r="AA194" s="41"/>
      <c r="AB194" s="41"/>
      <c r="AC194" s="44">
        <f t="shared" si="42"/>
        <v>20200</v>
      </c>
      <c r="AD194" s="44">
        <f t="shared" si="42"/>
        <v>0</v>
      </c>
      <c r="AE194" s="45" t="s">
        <v>222</v>
      </c>
      <c r="AF194" s="45">
        <v>9700</v>
      </c>
      <c r="AG194" s="45"/>
      <c r="AH194" s="45"/>
      <c r="AI194" s="45"/>
      <c r="AJ194" s="45"/>
      <c r="AK194" s="45"/>
      <c r="AL194" s="45"/>
      <c r="AM194" s="45"/>
      <c r="AN194" s="45"/>
      <c r="AO194" s="45"/>
      <c r="AP194" s="45"/>
      <c r="AQ194" s="45"/>
      <c r="AR194" s="45"/>
      <c r="AS194" s="45"/>
      <c r="AT194" s="45"/>
      <c r="AU194" s="45"/>
      <c r="AV194" s="45"/>
      <c r="AW194" s="45"/>
      <c r="AX194" s="45"/>
      <c r="AY194" s="45"/>
      <c r="AZ194" s="85"/>
      <c r="BA194" s="47"/>
      <c r="BB194" s="47"/>
      <c r="BC194" s="47"/>
      <c r="BD194" s="47"/>
      <c r="BE194" s="47"/>
      <c r="BF194" s="47"/>
      <c r="BG194" s="47"/>
      <c r="BH194" s="47"/>
      <c r="BI194" s="47"/>
      <c r="BJ194" s="47"/>
      <c r="BK194" s="47"/>
      <c r="BL194" s="47"/>
      <c r="BM194" s="47"/>
      <c r="BN194" s="47"/>
      <c r="BO194" s="47"/>
      <c r="BP194" s="48">
        <f t="shared" si="33"/>
        <v>9700</v>
      </c>
      <c r="BQ194" s="49">
        <f t="shared" si="36"/>
        <v>19400</v>
      </c>
      <c r="BR194" s="50">
        <f t="shared" si="34"/>
        <v>0</v>
      </c>
      <c r="BS194" s="49">
        <f t="shared" si="37"/>
        <v>0</v>
      </c>
    </row>
    <row r="195" spans="1:71" s="9" customFormat="1" ht="17" x14ac:dyDescent="0.2">
      <c r="A195" s="35" t="s">
        <v>488</v>
      </c>
      <c r="B195" s="35" t="s">
        <v>445</v>
      </c>
      <c r="C195" s="93" t="s">
        <v>489</v>
      </c>
      <c r="D195" s="36" t="s">
        <v>423</v>
      </c>
      <c r="E195" s="37" t="s">
        <v>424</v>
      </c>
      <c r="F195" s="38"/>
      <c r="G195" s="96">
        <v>464</v>
      </c>
      <c r="H195" s="38"/>
      <c r="I195" s="39">
        <v>488</v>
      </c>
      <c r="J195" s="40">
        <v>0</v>
      </c>
      <c r="K195" s="38"/>
      <c r="L195" s="41"/>
      <c r="M195" s="41"/>
      <c r="N195" s="41"/>
      <c r="O195" s="41"/>
      <c r="P195" s="41"/>
      <c r="Q195" s="41"/>
      <c r="R195" s="41"/>
      <c r="S195" s="41"/>
      <c r="T195" s="41"/>
      <c r="U195" s="95">
        <f t="shared" si="44"/>
        <v>488</v>
      </c>
      <c r="V195" s="41"/>
      <c r="W195" s="41"/>
      <c r="X195" s="41"/>
      <c r="Y195" s="41"/>
      <c r="Z195" s="41"/>
      <c r="AA195" s="41"/>
      <c r="AB195" s="41"/>
      <c r="AC195" s="44">
        <f t="shared" si="42"/>
        <v>488</v>
      </c>
      <c r="AD195" s="44">
        <f t="shared" si="42"/>
        <v>0</v>
      </c>
      <c r="AE195" s="45" t="s">
        <v>222</v>
      </c>
      <c r="AF195" s="45"/>
      <c r="AG195" s="45"/>
      <c r="AH195" s="45"/>
      <c r="AI195" s="45"/>
      <c r="AJ195" s="45"/>
      <c r="AK195" s="45"/>
      <c r="AL195" s="45"/>
      <c r="AM195" s="45"/>
      <c r="AN195" s="45"/>
      <c r="AO195" s="45"/>
      <c r="AP195" s="45"/>
      <c r="AQ195" s="45"/>
      <c r="AR195" s="45">
        <v>232</v>
      </c>
      <c r="AS195" s="45"/>
      <c r="AT195" s="45"/>
      <c r="AU195" s="45"/>
      <c r="AV195" s="45"/>
      <c r="AW195" s="45"/>
      <c r="AX195" s="45"/>
      <c r="AY195" s="45"/>
      <c r="AZ195" s="85"/>
      <c r="BA195" s="47"/>
      <c r="BB195" s="47"/>
      <c r="BC195" s="47"/>
      <c r="BD195" s="47"/>
      <c r="BE195" s="47"/>
      <c r="BF195" s="47"/>
      <c r="BG195" s="47"/>
      <c r="BH195" s="47"/>
      <c r="BI195" s="47"/>
      <c r="BJ195" s="47"/>
      <c r="BK195" s="47"/>
      <c r="BL195" s="47"/>
      <c r="BM195" s="47"/>
      <c r="BN195" s="47"/>
      <c r="BO195" s="47"/>
      <c r="BP195" s="48">
        <f t="shared" si="33"/>
        <v>232</v>
      </c>
      <c r="BQ195" s="49">
        <f t="shared" si="36"/>
        <v>464</v>
      </c>
      <c r="BR195" s="50">
        <f t="shared" si="34"/>
        <v>0</v>
      </c>
      <c r="BS195" s="49">
        <f t="shared" si="37"/>
        <v>0</v>
      </c>
    </row>
    <row r="196" spans="1:71" s="9" customFormat="1" ht="17" x14ac:dyDescent="0.2">
      <c r="A196" s="35" t="s">
        <v>490</v>
      </c>
      <c r="B196" s="35" t="s">
        <v>445</v>
      </c>
      <c r="C196" s="93" t="s">
        <v>491</v>
      </c>
      <c r="D196" s="36" t="s">
        <v>423</v>
      </c>
      <c r="E196" s="37" t="s">
        <v>424</v>
      </c>
      <c r="F196" s="38"/>
      <c r="G196" s="96">
        <v>126</v>
      </c>
      <c r="H196" s="38"/>
      <c r="I196" s="39">
        <v>133</v>
      </c>
      <c r="J196" s="40">
        <v>0</v>
      </c>
      <c r="K196" s="38"/>
      <c r="L196" s="41"/>
      <c r="M196" s="41"/>
      <c r="N196" s="41"/>
      <c r="O196" s="41"/>
      <c r="P196" s="41"/>
      <c r="Q196" s="41"/>
      <c r="R196" s="41"/>
      <c r="S196" s="41"/>
      <c r="T196" s="41"/>
      <c r="U196" s="95">
        <f t="shared" si="44"/>
        <v>133</v>
      </c>
      <c r="V196" s="41"/>
      <c r="W196" s="41"/>
      <c r="X196" s="41"/>
      <c r="Y196" s="41"/>
      <c r="Z196" s="41"/>
      <c r="AA196" s="41"/>
      <c r="AB196" s="41"/>
      <c r="AC196" s="44">
        <f t="shared" si="42"/>
        <v>133</v>
      </c>
      <c r="AD196" s="44">
        <f t="shared" si="42"/>
        <v>0</v>
      </c>
      <c r="AE196" s="45" t="s">
        <v>222</v>
      </c>
      <c r="AF196" s="45"/>
      <c r="AG196" s="45"/>
      <c r="AH196" s="45"/>
      <c r="AI196" s="45"/>
      <c r="AJ196" s="45"/>
      <c r="AK196" s="45"/>
      <c r="AL196" s="45"/>
      <c r="AM196" s="45"/>
      <c r="AN196" s="45"/>
      <c r="AO196" s="45"/>
      <c r="AP196" s="45"/>
      <c r="AQ196" s="45"/>
      <c r="AR196" s="45"/>
      <c r="AS196" s="45"/>
      <c r="AT196" s="45"/>
      <c r="AU196" s="45"/>
      <c r="AV196" s="45"/>
      <c r="AW196" s="45"/>
      <c r="AX196" s="45"/>
      <c r="AY196" s="45"/>
      <c r="AZ196" s="85"/>
      <c r="BA196" s="47"/>
      <c r="BB196" s="47"/>
      <c r="BC196" s="47"/>
      <c r="BD196" s="47"/>
      <c r="BE196" s="47"/>
      <c r="BF196" s="47"/>
      <c r="BG196" s="47"/>
      <c r="BH196" s="47"/>
      <c r="BI196" s="47"/>
      <c r="BJ196" s="47"/>
      <c r="BK196" s="47"/>
      <c r="BL196" s="47">
        <v>63</v>
      </c>
      <c r="BM196" s="47"/>
      <c r="BN196" s="47"/>
      <c r="BO196" s="47"/>
      <c r="BP196" s="48">
        <f t="shared" si="33"/>
        <v>63</v>
      </c>
      <c r="BQ196" s="49">
        <f t="shared" si="36"/>
        <v>126</v>
      </c>
      <c r="BR196" s="50">
        <f t="shared" si="34"/>
        <v>0</v>
      </c>
      <c r="BS196" s="49">
        <f t="shared" si="37"/>
        <v>0</v>
      </c>
    </row>
    <row r="197" spans="1:71" s="9" customFormat="1" ht="17" x14ac:dyDescent="0.2">
      <c r="A197" s="35" t="s">
        <v>492</v>
      </c>
      <c r="B197" s="35" t="s">
        <v>478</v>
      </c>
      <c r="C197" s="93" t="s">
        <v>493</v>
      </c>
      <c r="D197" s="36" t="s">
        <v>431</v>
      </c>
      <c r="E197" s="37" t="s">
        <v>424</v>
      </c>
      <c r="F197" s="38"/>
      <c r="G197" s="96">
        <v>9004</v>
      </c>
      <c r="H197" s="38"/>
      <c r="I197" s="39">
        <v>9374</v>
      </c>
      <c r="J197" s="40">
        <v>0</v>
      </c>
      <c r="K197" s="38"/>
      <c r="L197" s="41"/>
      <c r="M197" s="41"/>
      <c r="N197" s="41"/>
      <c r="O197" s="41"/>
      <c r="P197" s="41"/>
      <c r="Q197" s="41"/>
      <c r="R197" s="41"/>
      <c r="S197" s="41"/>
      <c r="T197" s="41"/>
      <c r="U197" s="95">
        <f t="shared" si="44"/>
        <v>9455</v>
      </c>
      <c r="V197" s="41"/>
      <c r="W197" s="41"/>
      <c r="X197" s="41"/>
      <c r="Y197" s="41">
        <v>5900</v>
      </c>
      <c r="Z197" s="41"/>
      <c r="AA197" s="41"/>
      <c r="AB197" s="41"/>
      <c r="AC197" s="44">
        <f t="shared" si="42"/>
        <v>9374</v>
      </c>
      <c r="AD197" s="44">
        <f t="shared" si="42"/>
        <v>0</v>
      </c>
      <c r="AE197" s="45" t="s">
        <v>116</v>
      </c>
      <c r="AF197" s="45"/>
      <c r="AG197" s="45"/>
      <c r="AH197" s="45"/>
      <c r="AI197" s="45"/>
      <c r="AJ197" s="45">
        <v>2836</v>
      </c>
      <c r="AK197" s="45"/>
      <c r="AL197" s="45"/>
      <c r="AM197" s="45"/>
      <c r="AN197" s="45"/>
      <c r="AO197" s="45"/>
      <c r="AP197" s="45"/>
      <c r="AQ197" s="45"/>
      <c r="AR197" s="45"/>
      <c r="AS197" s="45"/>
      <c r="AT197" s="45">
        <v>1280</v>
      </c>
      <c r="AU197" s="45"/>
      <c r="AV197" s="45"/>
      <c r="AW197" s="45"/>
      <c r="AX197" s="45"/>
      <c r="AY197" s="45"/>
      <c r="AZ197" s="85"/>
      <c r="BA197" s="47"/>
      <c r="BB197" s="47"/>
      <c r="BC197" s="47"/>
      <c r="BD197" s="47"/>
      <c r="BE197" s="47"/>
      <c r="BF197" s="47"/>
      <c r="BG197" s="47"/>
      <c r="BH197" s="47"/>
      <c r="BI197" s="47"/>
      <c r="BJ197" s="47"/>
      <c r="BK197" s="47"/>
      <c r="BL197" s="47">
        <v>386</v>
      </c>
      <c r="BM197" s="47"/>
      <c r="BN197" s="47"/>
      <c r="BO197" s="47"/>
      <c r="BP197" s="48">
        <f t="shared" si="33"/>
        <v>4502</v>
      </c>
      <c r="BQ197" s="49">
        <f t="shared" si="36"/>
        <v>9004</v>
      </c>
      <c r="BR197" s="50">
        <f t="shared" si="34"/>
        <v>0</v>
      </c>
      <c r="BS197" s="49">
        <f t="shared" si="37"/>
        <v>0</v>
      </c>
    </row>
    <row r="198" spans="1:71" s="9" customFormat="1" ht="17" x14ac:dyDescent="0.2">
      <c r="A198" s="35" t="s">
        <v>494</v>
      </c>
      <c r="B198" s="35" t="s">
        <v>478</v>
      </c>
      <c r="C198" s="93" t="s">
        <v>495</v>
      </c>
      <c r="D198" s="36" t="s">
        <v>431</v>
      </c>
      <c r="E198" s="37" t="s">
        <v>424</v>
      </c>
      <c r="F198" s="38"/>
      <c r="G198" s="96">
        <v>572</v>
      </c>
      <c r="H198" s="38"/>
      <c r="I198" s="39">
        <v>647</v>
      </c>
      <c r="J198" s="40">
        <v>0</v>
      </c>
      <c r="K198" s="38"/>
      <c r="L198" s="41"/>
      <c r="M198" s="41"/>
      <c r="N198" s="41"/>
      <c r="O198" s="41"/>
      <c r="P198" s="41"/>
      <c r="Q198" s="41"/>
      <c r="R198" s="41"/>
      <c r="S198" s="41"/>
      <c r="T198" s="41"/>
      <c r="U198" s="95">
        <f t="shared" si="44"/>
        <v>601</v>
      </c>
      <c r="V198" s="41"/>
      <c r="W198" s="41"/>
      <c r="X198" s="41"/>
      <c r="Y198" s="41"/>
      <c r="Z198" s="41"/>
      <c r="AA198" s="41"/>
      <c r="AB198" s="41"/>
      <c r="AC198" s="44">
        <f t="shared" si="42"/>
        <v>647</v>
      </c>
      <c r="AD198" s="44">
        <f t="shared" si="42"/>
        <v>0</v>
      </c>
      <c r="AE198" s="45" t="s">
        <v>222</v>
      </c>
      <c r="AF198" s="45"/>
      <c r="AG198" s="45"/>
      <c r="AH198" s="45"/>
      <c r="AI198" s="45"/>
      <c r="AJ198" s="45"/>
      <c r="AK198" s="45"/>
      <c r="AL198" s="45"/>
      <c r="AM198" s="45"/>
      <c r="AN198" s="45"/>
      <c r="AO198" s="45"/>
      <c r="AP198" s="45"/>
      <c r="AQ198" s="45"/>
      <c r="AR198" s="45"/>
      <c r="AS198" s="45"/>
      <c r="AT198" s="45">
        <v>286</v>
      </c>
      <c r="AU198" s="45"/>
      <c r="AV198" s="45"/>
      <c r="AW198" s="45"/>
      <c r="AX198" s="45"/>
      <c r="AY198" s="45"/>
      <c r="AZ198" s="85"/>
      <c r="BA198" s="47"/>
      <c r="BB198" s="47"/>
      <c r="BC198" s="47"/>
      <c r="BD198" s="47"/>
      <c r="BE198" s="47"/>
      <c r="BF198" s="47"/>
      <c r="BG198" s="47"/>
      <c r="BH198" s="47"/>
      <c r="BI198" s="47"/>
      <c r="BJ198" s="47"/>
      <c r="BK198" s="47"/>
      <c r="BL198" s="47"/>
      <c r="BM198" s="47"/>
      <c r="BN198" s="47"/>
      <c r="BO198" s="47"/>
      <c r="BP198" s="48">
        <f t="shared" ref="BP198:BP246" si="45">+AF198+AH198+AJ198+AL198+AN198+AP198+AR198+AT198+AV198+AX198+AZ198+BB198+BD198+BF198+BH198+BJ198+BL198+BN198</f>
        <v>286</v>
      </c>
      <c r="BQ198" s="49">
        <f t="shared" si="36"/>
        <v>572</v>
      </c>
      <c r="BR198" s="50">
        <f t="shared" ref="BR198:BR246" si="46">+AG198+AI198+AK198+AM198+AO198+AQ198+AS198+AU198+AW198+AY198+BA198+BC198+BE198+BG198+BI198+BK198+BM198+BO198</f>
        <v>0</v>
      </c>
      <c r="BS198" s="49">
        <f t="shared" si="37"/>
        <v>0</v>
      </c>
    </row>
    <row r="199" spans="1:71" s="9" customFormat="1" ht="17" x14ac:dyDescent="0.2">
      <c r="A199" s="35" t="s">
        <v>496</v>
      </c>
      <c r="B199" s="35" t="s">
        <v>445</v>
      </c>
      <c r="C199" s="93" t="s">
        <v>497</v>
      </c>
      <c r="D199" s="36" t="s">
        <v>423</v>
      </c>
      <c r="E199" s="37" t="s">
        <v>424</v>
      </c>
      <c r="F199" s="38"/>
      <c r="G199" s="96">
        <v>4</v>
      </c>
      <c r="H199" s="38"/>
      <c r="I199" s="39">
        <v>5</v>
      </c>
      <c r="J199" s="40">
        <v>0</v>
      </c>
      <c r="K199" s="38"/>
      <c r="L199" s="41"/>
      <c r="M199" s="41"/>
      <c r="N199" s="41"/>
      <c r="O199" s="41"/>
      <c r="P199" s="41"/>
      <c r="Q199" s="41"/>
      <c r="R199" s="41"/>
      <c r="S199" s="41"/>
      <c r="T199" s="41"/>
      <c r="U199" s="95">
        <f t="shared" si="44"/>
        <v>5</v>
      </c>
      <c r="V199" s="41"/>
      <c r="W199" s="41"/>
      <c r="X199" s="41"/>
      <c r="Y199" s="41"/>
      <c r="Z199" s="41"/>
      <c r="AA199" s="41"/>
      <c r="AB199" s="41"/>
      <c r="AC199" s="44">
        <f t="shared" si="42"/>
        <v>5</v>
      </c>
      <c r="AD199" s="44">
        <f t="shared" si="42"/>
        <v>0</v>
      </c>
      <c r="AE199" s="45" t="s">
        <v>222</v>
      </c>
      <c r="AF199" s="45"/>
      <c r="AG199" s="45"/>
      <c r="AH199" s="45"/>
      <c r="AI199" s="45"/>
      <c r="AJ199" s="45"/>
      <c r="AK199" s="45"/>
      <c r="AL199" s="45"/>
      <c r="AM199" s="45"/>
      <c r="AN199" s="45"/>
      <c r="AO199" s="45"/>
      <c r="AP199" s="45"/>
      <c r="AQ199" s="45"/>
      <c r="AR199" s="45"/>
      <c r="AS199" s="45"/>
      <c r="AT199" s="45"/>
      <c r="AU199" s="45"/>
      <c r="AV199" s="45"/>
      <c r="AW199" s="45"/>
      <c r="AX199" s="45"/>
      <c r="AY199" s="45"/>
      <c r="AZ199" s="85"/>
      <c r="BA199" s="47"/>
      <c r="BB199" s="47"/>
      <c r="BC199" s="47"/>
      <c r="BD199" s="47"/>
      <c r="BE199" s="47"/>
      <c r="BF199" s="47"/>
      <c r="BG199" s="47"/>
      <c r="BH199" s="47"/>
      <c r="BI199" s="47"/>
      <c r="BJ199" s="47"/>
      <c r="BK199" s="47"/>
      <c r="BL199" s="47"/>
      <c r="BM199" s="47"/>
      <c r="BN199" s="47"/>
      <c r="BO199" s="47"/>
      <c r="BP199" s="48">
        <f t="shared" si="45"/>
        <v>0</v>
      </c>
      <c r="BQ199" s="49">
        <f t="shared" si="36"/>
        <v>0</v>
      </c>
      <c r="BR199" s="50">
        <f t="shared" si="46"/>
        <v>0</v>
      </c>
      <c r="BS199" s="49">
        <f t="shared" si="37"/>
        <v>0</v>
      </c>
    </row>
    <row r="200" spans="1:71" s="9" customFormat="1" ht="17" x14ac:dyDescent="0.2">
      <c r="A200" s="35" t="s">
        <v>498</v>
      </c>
      <c r="B200" s="35" t="s">
        <v>445</v>
      </c>
      <c r="C200" s="93" t="s">
        <v>499</v>
      </c>
      <c r="D200" s="36" t="s">
        <v>423</v>
      </c>
      <c r="E200" s="37" t="s">
        <v>424</v>
      </c>
      <c r="F200" s="38"/>
      <c r="G200" s="96">
        <v>28</v>
      </c>
      <c r="H200" s="38"/>
      <c r="I200" s="39">
        <v>30</v>
      </c>
      <c r="J200" s="40">
        <v>0</v>
      </c>
      <c r="K200" s="38"/>
      <c r="L200" s="41"/>
      <c r="M200" s="41"/>
      <c r="N200" s="41"/>
      <c r="O200" s="41"/>
      <c r="P200" s="41"/>
      <c r="Q200" s="41"/>
      <c r="R200" s="41"/>
      <c r="S200" s="41"/>
      <c r="T200" s="41"/>
      <c r="U200" s="95">
        <f t="shared" si="44"/>
        <v>30</v>
      </c>
      <c r="V200" s="41"/>
      <c r="W200" s="41"/>
      <c r="X200" s="41"/>
      <c r="Y200" s="41"/>
      <c r="Z200" s="41"/>
      <c r="AA200" s="41"/>
      <c r="AB200" s="41"/>
      <c r="AC200" s="44">
        <f t="shared" si="42"/>
        <v>30</v>
      </c>
      <c r="AD200" s="44">
        <f t="shared" si="42"/>
        <v>0</v>
      </c>
      <c r="AE200" s="45" t="s">
        <v>222</v>
      </c>
      <c r="AF200" s="45">
        <v>6</v>
      </c>
      <c r="AG200" s="45"/>
      <c r="AH200" s="45"/>
      <c r="AI200" s="45"/>
      <c r="AJ200" s="45"/>
      <c r="AK200" s="45"/>
      <c r="AL200" s="45"/>
      <c r="AM200" s="45"/>
      <c r="AN200" s="45"/>
      <c r="AO200" s="45"/>
      <c r="AP200" s="45"/>
      <c r="AQ200" s="45"/>
      <c r="AR200" s="45"/>
      <c r="AS200" s="45"/>
      <c r="AT200" s="45"/>
      <c r="AU200" s="45"/>
      <c r="AV200" s="45"/>
      <c r="AW200" s="45"/>
      <c r="AX200" s="45"/>
      <c r="AY200" s="45"/>
      <c r="AZ200" s="85"/>
      <c r="BA200" s="47"/>
      <c r="BB200" s="47"/>
      <c r="BC200" s="47"/>
      <c r="BD200" s="47"/>
      <c r="BE200" s="47"/>
      <c r="BF200" s="47"/>
      <c r="BG200" s="47"/>
      <c r="BH200" s="47"/>
      <c r="BI200" s="47"/>
      <c r="BJ200" s="47"/>
      <c r="BK200" s="47"/>
      <c r="BL200" s="47"/>
      <c r="BM200" s="47"/>
      <c r="BN200" s="47"/>
      <c r="BO200" s="47"/>
      <c r="BP200" s="48">
        <f t="shared" si="45"/>
        <v>6</v>
      </c>
      <c r="BQ200" s="49">
        <f t="shared" ref="BQ200:BQ246" si="47">+BP200*2</f>
        <v>12</v>
      </c>
      <c r="BR200" s="50">
        <f t="shared" si="46"/>
        <v>0</v>
      </c>
      <c r="BS200" s="49">
        <f t="shared" ref="BS200:BS246" si="48">+BR200*2</f>
        <v>0</v>
      </c>
    </row>
    <row r="201" spans="1:71" s="9" customFormat="1" ht="17" x14ac:dyDescent="0.2">
      <c r="A201" s="35" t="s">
        <v>500</v>
      </c>
      <c r="B201" s="35" t="s">
        <v>445</v>
      </c>
      <c r="C201" s="93" t="s">
        <v>501</v>
      </c>
      <c r="D201" s="36" t="s">
        <v>423</v>
      </c>
      <c r="E201" s="37" t="s">
        <v>424</v>
      </c>
      <c r="F201" s="38"/>
      <c r="G201" s="96">
        <v>8</v>
      </c>
      <c r="H201" s="38"/>
      <c r="I201" s="39">
        <v>9</v>
      </c>
      <c r="J201" s="40">
        <v>0</v>
      </c>
      <c r="K201" s="38"/>
      <c r="L201" s="41"/>
      <c r="M201" s="41"/>
      <c r="N201" s="41"/>
      <c r="O201" s="41"/>
      <c r="P201" s="41"/>
      <c r="Q201" s="41"/>
      <c r="R201" s="41"/>
      <c r="S201" s="41"/>
      <c r="T201" s="41"/>
      <c r="U201" s="95">
        <f t="shared" si="44"/>
        <v>9</v>
      </c>
      <c r="V201" s="41"/>
      <c r="W201" s="41"/>
      <c r="X201" s="41"/>
      <c r="Y201" s="41"/>
      <c r="Z201" s="41"/>
      <c r="AA201" s="41"/>
      <c r="AB201" s="41"/>
      <c r="AC201" s="44">
        <f t="shared" si="42"/>
        <v>9</v>
      </c>
      <c r="AD201" s="44">
        <f t="shared" si="42"/>
        <v>0</v>
      </c>
      <c r="AE201" s="45" t="s">
        <v>222</v>
      </c>
      <c r="AF201" s="45">
        <v>4</v>
      </c>
      <c r="AG201" s="45"/>
      <c r="AH201" s="45"/>
      <c r="AI201" s="45"/>
      <c r="AJ201" s="45"/>
      <c r="AK201" s="45"/>
      <c r="AL201" s="45"/>
      <c r="AM201" s="45"/>
      <c r="AN201" s="45"/>
      <c r="AO201" s="45"/>
      <c r="AP201" s="45"/>
      <c r="AQ201" s="45"/>
      <c r="AR201" s="45"/>
      <c r="AS201" s="45"/>
      <c r="AT201" s="45"/>
      <c r="AU201" s="45"/>
      <c r="AV201" s="45"/>
      <c r="AW201" s="45"/>
      <c r="AX201" s="45"/>
      <c r="AY201" s="45"/>
      <c r="AZ201" s="85"/>
      <c r="BA201" s="47"/>
      <c r="BB201" s="47"/>
      <c r="BC201" s="47"/>
      <c r="BD201" s="47"/>
      <c r="BE201" s="47"/>
      <c r="BF201" s="47"/>
      <c r="BG201" s="47"/>
      <c r="BH201" s="47"/>
      <c r="BI201" s="47"/>
      <c r="BJ201" s="47"/>
      <c r="BK201" s="47"/>
      <c r="BL201" s="47"/>
      <c r="BM201" s="47"/>
      <c r="BN201" s="47"/>
      <c r="BO201" s="47"/>
      <c r="BP201" s="48">
        <f t="shared" si="45"/>
        <v>4</v>
      </c>
      <c r="BQ201" s="49">
        <f t="shared" si="47"/>
        <v>8</v>
      </c>
      <c r="BR201" s="50">
        <f t="shared" si="46"/>
        <v>0</v>
      </c>
      <c r="BS201" s="49">
        <f t="shared" si="48"/>
        <v>0</v>
      </c>
    </row>
    <row r="202" spans="1:71" s="9" customFormat="1" ht="17" x14ac:dyDescent="0.2">
      <c r="A202" s="35" t="s">
        <v>502</v>
      </c>
      <c r="B202" s="35" t="s">
        <v>478</v>
      </c>
      <c r="C202" s="93" t="s">
        <v>503</v>
      </c>
      <c r="D202" s="36" t="s">
        <v>504</v>
      </c>
      <c r="E202" s="37" t="s">
        <v>424</v>
      </c>
      <c r="F202" s="38"/>
      <c r="G202" s="96">
        <f>20+20</f>
        <v>40</v>
      </c>
      <c r="H202" s="38"/>
      <c r="I202" s="39">
        <v>21</v>
      </c>
      <c r="J202" s="40">
        <v>0</v>
      </c>
      <c r="K202" s="38"/>
      <c r="L202" s="41"/>
      <c r="M202" s="41"/>
      <c r="N202" s="41"/>
      <c r="O202" s="41"/>
      <c r="P202" s="41"/>
      <c r="Q202" s="41"/>
      <c r="R202" s="41"/>
      <c r="S202" s="41"/>
      <c r="T202" s="41"/>
      <c r="U202" s="95"/>
      <c r="V202" s="41"/>
      <c r="W202" s="41"/>
      <c r="X202" s="41"/>
      <c r="Y202" s="41">
        <v>21</v>
      </c>
      <c r="Z202" s="41"/>
      <c r="AA202" s="41">
        <v>25</v>
      </c>
      <c r="AB202" s="41"/>
      <c r="AC202" s="44">
        <f t="shared" si="42"/>
        <v>46</v>
      </c>
      <c r="AD202" s="44">
        <f t="shared" si="42"/>
        <v>0</v>
      </c>
      <c r="AE202" s="45" t="s">
        <v>54</v>
      </c>
      <c r="AF202" s="45"/>
      <c r="AG202" s="45"/>
      <c r="AH202" s="45"/>
      <c r="AI202" s="45"/>
      <c r="AJ202" s="45">
        <v>10</v>
      </c>
      <c r="AK202" s="45"/>
      <c r="AL202" s="45"/>
      <c r="AM202" s="45"/>
      <c r="AN202" s="45"/>
      <c r="AO202" s="45"/>
      <c r="AP202" s="45"/>
      <c r="AQ202" s="45"/>
      <c r="AR202" s="45"/>
      <c r="AS202" s="45"/>
      <c r="AT202" s="45">
        <v>10</v>
      </c>
      <c r="AU202" s="45"/>
      <c r="AV202" s="45"/>
      <c r="AW202" s="45"/>
      <c r="AX202" s="45"/>
      <c r="AY202" s="45"/>
      <c r="AZ202" s="85"/>
      <c r="BA202" s="47"/>
      <c r="BB202" s="47"/>
      <c r="BC202" s="47"/>
      <c r="BD202" s="47"/>
      <c r="BE202" s="47"/>
      <c r="BF202" s="47"/>
      <c r="BG202" s="47"/>
      <c r="BH202" s="47"/>
      <c r="BI202" s="47"/>
      <c r="BJ202" s="47"/>
      <c r="BK202" s="47"/>
      <c r="BL202" s="47"/>
      <c r="BM202" s="47"/>
      <c r="BN202" s="47"/>
      <c r="BO202" s="47"/>
      <c r="BP202" s="48">
        <f t="shared" si="45"/>
        <v>20</v>
      </c>
      <c r="BQ202" s="49">
        <f t="shared" si="47"/>
        <v>40</v>
      </c>
      <c r="BR202" s="50">
        <f t="shared" si="46"/>
        <v>0</v>
      </c>
      <c r="BS202" s="49">
        <f t="shared" si="48"/>
        <v>0</v>
      </c>
    </row>
    <row r="203" spans="1:71" s="9" customFormat="1" ht="17" x14ac:dyDescent="0.2">
      <c r="A203" s="35" t="s">
        <v>505</v>
      </c>
      <c r="B203" s="35" t="s">
        <v>478</v>
      </c>
      <c r="C203" s="93" t="s">
        <v>506</v>
      </c>
      <c r="D203" s="36" t="s">
        <v>504</v>
      </c>
      <c r="E203" s="37" t="s">
        <v>424</v>
      </c>
      <c r="F203" s="38"/>
      <c r="G203" s="96">
        <v>8</v>
      </c>
      <c r="H203" s="38"/>
      <c r="I203" s="39">
        <v>5</v>
      </c>
      <c r="J203" s="40">
        <v>0</v>
      </c>
      <c r="K203" s="38"/>
      <c r="L203" s="41"/>
      <c r="M203" s="41"/>
      <c r="N203" s="41"/>
      <c r="O203" s="41"/>
      <c r="P203" s="41"/>
      <c r="Q203" s="41"/>
      <c r="R203" s="41"/>
      <c r="S203" s="41"/>
      <c r="T203" s="41"/>
      <c r="U203" s="95"/>
      <c r="V203" s="41"/>
      <c r="W203" s="41"/>
      <c r="X203" s="41"/>
      <c r="Y203" s="41">
        <v>5</v>
      </c>
      <c r="Z203" s="41"/>
      <c r="AA203" s="41">
        <v>5</v>
      </c>
      <c r="AB203" s="41"/>
      <c r="AC203" s="44">
        <f t="shared" si="42"/>
        <v>10</v>
      </c>
      <c r="AD203" s="44">
        <f t="shared" si="42"/>
        <v>0</v>
      </c>
      <c r="AE203" s="45" t="s">
        <v>54</v>
      </c>
      <c r="AF203" s="45"/>
      <c r="AG203" s="45"/>
      <c r="AH203" s="45"/>
      <c r="AI203" s="45"/>
      <c r="AJ203" s="45">
        <v>2</v>
      </c>
      <c r="AK203" s="45"/>
      <c r="AL203" s="45"/>
      <c r="AM203" s="45"/>
      <c r="AN203" s="45"/>
      <c r="AO203" s="45"/>
      <c r="AP203" s="45"/>
      <c r="AQ203" s="45"/>
      <c r="AR203" s="45"/>
      <c r="AS203" s="45"/>
      <c r="AT203" s="45">
        <v>2</v>
      </c>
      <c r="AU203" s="45"/>
      <c r="AV203" s="45"/>
      <c r="AW203" s="45"/>
      <c r="AX203" s="45"/>
      <c r="AY203" s="45"/>
      <c r="AZ203" s="85"/>
      <c r="BA203" s="47"/>
      <c r="BB203" s="47"/>
      <c r="BC203" s="47"/>
      <c r="BD203" s="47"/>
      <c r="BE203" s="47"/>
      <c r="BF203" s="47"/>
      <c r="BG203" s="47"/>
      <c r="BH203" s="47"/>
      <c r="BI203" s="47"/>
      <c r="BJ203" s="47"/>
      <c r="BK203" s="47"/>
      <c r="BL203" s="47"/>
      <c r="BM203" s="47"/>
      <c r="BN203" s="47"/>
      <c r="BO203" s="47"/>
      <c r="BP203" s="48">
        <f t="shared" si="45"/>
        <v>4</v>
      </c>
      <c r="BQ203" s="49">
        <f t="shared" si="47"/>
        <v>8</v>
      </c>
      <c r="BR203" s="50">
        <f t="shared" si="46"/>
        <v>0</v>
      </c>
      <c r="BS203" s="49">
        <f t="shared" si="48"/>
        <v>0</v>
      </c>
    </row>
    <row r="204" spans="1:71" s="9" customFormat="1" ht="17" x14ac:dyDescent="0.2">
      <c r="A204" s="35" t="s">
        <v>507</v>
      </c>
      <c r="B204" s="35" t="s">
        <v>433</v>
      </c>
      <c r="C204" s="93" t="s">
        <v>508</v>
      </c>
      <c r="D204" s="36" t="s">
        <v>369</v>
      </c>
      <c r="E204" s="37" t="s">
        <v>424</v>
      </c>
      <c r="F204" s="38"/>
      <c r="G204" s="96">
        <v>48</v>
      </c>
      <c r="H204" s="38"/>
      <c r="I204" s="39">
        <v>51</v>
      </c>
      <c r="J204" s="40">
        <v>0</v>
      </c>
      <c r="K204" s="38"/>
      <c r="L204" s="41"/>
      <c r="M204" s="41"/>
      <c r="N204" s="41"/>
      <c r="O204" s="41"/>
      <c r="P204" s="41"/>
      <c r="Q204" s="41"/>
      <c r="R204" s="41"/>
      <c r="S204" s="41"/>
      <c r="T204" s="41"/>
      <c r="U204" s="95"/>
      <c r="V204" s="41"/>
      <c r="W204" s="41"/>
      <c r="X204" s="41"/>
      <c r="Y204" s="41">
        <v>51</v>
      </c>
      <c r="Z204" s="41"/>
      <c r="AA204" s="41"/>
      <c r="AB204" s="41"/>
      <c r="AC204" s="44">
        <f t="shared" si="42"/>
        <v>51</v>
      </c>
      <c r="AD204" s="44">
        <f t="shared" si="42"/>
        <v>0</v>
      </c>
      <c r="AE204" s="45" t="s">
        <v>116</v>
      </c>
      <c r="AF204" s="45"/>
      <c r="AG204" s="45"/>
      <c r="AH204" s="45"/>
      <c r="AI204" s="45"/>
      <c r="AJ204" s="45">
        <v>24</v>
      </c>
      <c r="AK204" s="45"/>
      <c r="AL204" s="45"/>
      <c r="AM204" s="45"/>
      <c r="AN204" s="45"/>
      <c r="AO204" s="45"/>
      <c r="AP204" s="45"/>
      <c r="AQ204" s="45"/>
      <c r="AR204" s="45"/>
      <c r="AS204" s="45"/>
      <c r="AT204" s="45"/>
      <c r="AU204" s="45"/>
      <c r="AV204" s="45"/>
      <c r="AW204" s="45"/>
      <c r="AX204" s="45"/>
      <c r="AY204" s="45"/>
      <c r="AZ204" s="85"/>
      <c r="BA204" s="47"/>
      <c r="BB204" s="47"/>
      <c r="BC204" s="47"/>
      <c r="BD204" s="47"/>
      <c r="BE204" s="47"/>
      <c r="BF204" s="47"/>
      <c r="BG204" s="47"/>
      <c r="BH204" s="47"/>
      <c r="BI204" s="47"/>
      <c r="BJ204" s="47"/>
      <c r="BK204" s="47"/>
      <c r="BL204" s="47"/>
      <c r="BM204" s="47"/>
      <c r="BN204" s="47"/>
      <c r="BO204" s="47"/>
      <c r="BP204" s="48">
        <f t="shared" si="45"/>
        <v>24</v>
      </c>
      <c r="BQ204" s="49">
        <f t="shared" si="47"/>
        <v>48</v>
      </c>
      <c r="BR204" s="50">
        <f t="shared" si="46"/>
        <v>0</v>
      </c>
      <c r="BS204" s="49">
        <f t="shared" si="48"/>
        <v>0</v>
      </c>
    </row>
    <row r="205" spans="1:71" s="9" customFormat="1" ht="17" x14ac:dyDescent="0.2">
      <c r="A205" s="35" t="s">
        <v>509</v>
      </c>
      <c r="B205" s="35" t="s">
        <v>510</v>
      </c>
      <c r="C205" s="93" t="s">
        <v>511</v>
      </c>
      <c r="D205" s="36" t="s">
        <v>431</v>
      </c>
      <c r="E205" s="37" t="s">
        <v>424</v>
      </c>
      <c r="F205" s="38"/>
      <c r="G205" s="96">
        <v>96</v>
      </c>
      <c r="H205" s="38"/>
      <c r="I205" s="39">
        <v>51</v>
      </c>
      <c r="J205" s="40">
        <v>0</v>
      </c>
      <c r="K205" s="38"/>
      <c r="L205" s="41"/>
      <c r="M205" s="41"/>
      <c r="N205" s="41"/>
      <c r="O205" s="41"/>
      <c r="P205" s="41"/>
      <c r="Q205" s="41"/>
      <c r="R205" s="41"/>
      <c r="S205" s="41"/>
      <c r="T205" s="41"/>
      <c r="U205" s="95"/>
      <c r="V205" s="41"/>
      <c r="W205" s="41"/>
      <c r="X205" s="41"/>
      <c r="Y205" s="41">
        <v>51</v>
      </c>
      <c r="Z205" s="41"/>
      <c r="AA205" s="41">
        <v>50</v>
      </c>
      <c r="AB205" s="41"/>
      <c r="AC205" s="44">
        <f t="shared" si="42"/>
        <v>101</v>
      </c>
      <c r="AD205" s="44">
        <f t="shared" si="42"/>
        <v>0</v>
      </c>
      <c r="AE205" s="45" t="s">
        <v>54</v>
      </c>
      <c r="AF205" s="45"/>
      <c r="AG205" s="45"/>
      <c r="AH205" s="45"/>
      <c r="AI205" s="45"/>
      <c r="AJ205" s="45">
        <v>24</v>
      </c>
      <c r="AK205" s="45"/>
      <c r="AL205" s="45"/>
      <c r="AM205" s="45"/>
      <c r="AN205" s="45"/>
      <c r="AO205" s="45"/>
      <c r="AP205" s="45"/>
      <c r="AQ205" s="45"/>
      <c r="AR205" s="45"/>
      <c r="AS205" s="45"/>
      <c r="AT205" s="45">
        <v>24</v>
      </c>
      <c r="AU205" s="45"/>
      <c r="AV205" s="45"/>
      <c r="AW205" s="45"/>
      <c r="AX205" s="45"/>
      <c r="AY205" s="45"/>
      <c r="AZ205" s="85"/>
      <c r="BA205" s="47"/>
      <c r="BB205" s="47"/>
      <c r="BC205" s="47"/>
      <c r="BD205" s="47"/>
      <c r="BE205" s="47"/>
      <c r="BF205" s="47"/>
      <c r="BG205" s="47"/>
      <c r="BH205" s="47"/>
      <c r="BI205" s="47"/>
      <c r="BJ205" s="47"/>
      <c r="BK205" s="47"/>
      <c r="BL205" s="47"/>
      <c r="BM205" s="47"/>
      <c r="BN205" s="47"/>
      <c r="BO205" s="47"/>
      <c r="BP205" s="48">
        <f t="shared" si="45"/>
        <v>48</v>
      </c>
      <c r="BQ205" s="49">
        <f t="shared" si="47"/>
        <v>96</v>
      </c>
      <c r="BR205" s="50">
        <f t="shared" si="46"/>
        <v>0</v>
      </c>
      <c r="BS205" s="49">
        <f t="shared" si="48"/>
        <v>0</v>
      </c>
    </row>
    <row r="206" spans="1:71" s="9" customFormat="1" ht="17" x14ac:dyDescent="0.2">
      <c r="A206" s="35" t="s">
        <v>512</v>
      </c>
      <c r="B206" s="35" t="s">
        <v>478</v>
      </c>
      <c r="C206" s="93" t="s">
        <v>513</v>
      </c>
      <c r="D206" s="36" t="s">
        <v>431</v>
      </c>
      <c r="E206" s="37" t="s">
        <v>424</v>
      </c>
      <c r="F206" s="38"/>
      <c r="G206" s="96">
        <v>12</v>
      </c>
      <c r="H206" s="38"/>
      <c r="I206" s="39">
        <v>13</v>
      </c>
      <c r="J206" s="40">
        <v>0</v>
      </c>
      <c r="K206" s="38"/>
      <c r="L206" s="41"/>
      <c r="M206" s="41"/>
      <c r="N206" s="41"/>
      <c r="O206" s="41"/>
      <c r="P206" s="41"/>
      <c r="Q206" s="41"/>
      <c r="R206" s="41"/>
      <c r="S206" s="41"/>
      <c r="T206" s="41"/>
      <c r="U206" s="95"/>
      <c r="V206" s="41"/>
      <c r="W206" s="41"/>
      <c r="X206" s="41"/>
      <c r="Y206" s="41">
        <v>13</v>
      </c>
      <c r="Z206" s="41"/>
      <c r="AA206" s="41"/>
      <c r="AB206" s="41"/>
      <c r="AC206" s="44">
        <f t="shared" si="42"/>
        <v>13</v>
      </c>
      <c r="AD206" s="44">
        <f t="shared" si="42"/>
        <v>0</v>
      </c>
      <c r="AE206" s="45" t="s">
        <v>116</v>
      </c>
      <c r="AF206" s="45"/>
      <c r="AG206" s="45"/>
      <c r="AH206" s="45"/>
      <c r="AI206" s="45"/>
      <c r="AJ206" s="45">
        <v>6</v>
      </c>
      <c r="AK206" s="45"/>
      <c r="AL206" s="45"/>
      <c r="AM206" s="45"/>
      <c r="AN206" s="45"/>
      <c r="AO206" s="45"/>
      <c r="AP206" s="45"/>
      <c r="AQ206" s="45"/>
      <c r="AR206" s="45"/>
      <c r="AS206" s="45"/>
      <c r="AT206" s="45"/>
      <c r="AU206" s="45"/>
      <c r="AV206" s="45"/>
      <c r="AW206" s="45"/>
      <c r="AX206" s="45"/>
      <c r="AY206" s="45"/>
      <c r="AZ206" s="85"/>
      <c r="BA206" s="47"/>
      <c r="BB206" s="47"/>
      <c r="BC206" s="47"/>
      <c r="BD206" s="47"/>
      <c r="BE206" s="47"/>
      <c r="BF206" s="47"/>
      <c r="BG206" s="47"/>
      <c r="BH206" s="47"/>
      <c r="BI206" s="47"/>
      <c r="BJ206" s="47"/>
      <c r="BK206" s="47"/>
      <c r="BL206" s="47"/>
      <c r="BM206" s="47"/>
      <c r="BN206" s="47"/>
      <c r="BO206" s="47"/>
      <c r="BP206" s="48">
        <f t="shared" si="45"/>
        <v>6</v>
      </c>
      <c r="BQ206" s="49">
        <f t="shared" si="47"/>
        <v>12</v>
      </c>
      <c r="BR206" s="50">
        <f t="shared" si="46"/>
        <v>0</v>
      </c>
      <c r="BS206" s="49">
        <f t="shared" si="48"/>
        <v>0</v>
      </c>
    </row>
    <row r="207" spans="1:71" s="9" customFormat="1" ht="17" x14ac:dyDescent="0.2">
      <c r="A207" s="35" t="s">
        <v>514</v>
      </c>
      <c r="B207" s="35" t="s">
        <v>478</v>
      </c>
      <c r="C207" s="93" t="s">
        <v>515</v>
      </c>
      <c r="D207" s="36" t="s">
        <v>431</v>
      </c>
      <c r="E207" s="37" t="s">
        <v>424</v>
      </c>
      <c r="F207" s="38"/>
      <c r="G207" s="96">
        <v>12</v>
      </c>
      <c r="H207" s="38"/>
      <c r="I207" s="39">
        <v>13</v>
      </c>
      <c r="J207" s="40">
        <v>0</v>
      </c>
      <c r="K207" s="38"/>
      <c r="L207" s="41"/>
      <c r="M207" s="41"/>
      <c r="N207" s="41"/>
      <c r="O207" s="41"/>
      <c r="P207" s="41"/>
      <c r="Q207" s="41"/>
      <c r="R207" s="41"/>
      <c r="S207" s="41"/>
      <c r="T207" s="41"/>
      <c r="U207" s="95"/>
      <c r="V207" s="41"/>
      <c r="W207" s="41"/>
      <c r="X207" s="41"/>
      <c r="Y207" s="41">
        <v>13</v>
      </c>
      <c r="Z207" s="41"/>
      <c r="AA207" s="41"/>
      <c r="AB207" s="41"/>
      <c r="AC207" s="44">
        <f t="shared" si="42"/>
        <v>13</v>
      </c>
      <c r="AD207" s="44">
        <f t="shared" si="42"/>
        <v>0</v>
      </c>
      <c r="AE207" s="45" t="s">
        <v>116</v>
      </c>
      <c r="AF207" s="45"/>
      <c r="AG207" s="45"/>
      <c r="AH207" s="45"/>
      <c r="AI207" s="45"/>
      <c r="AJ207" s="45">
        <v>6</v>
      </c>
      <c r="AK207" s="45"/>
      <c r="AL207" s="45"/>
      <c r="AM207" s="45"/>
      <c r="AN207" s="45"/>
      <c r="AO207" s="45"/>
      <c r="AP207" s="45"/>
      <c r="AQ207" s="45"/>
      <c r="AR207" s="45"/>
      <c r="AS207" s="45"/>
      <c r="AT207" s="45"/>
      <c r="AU207" s="45"/>
      <c r="AV207" s="45"/>
      <c r="AW207" s="45"/>
      <c r="AX207" s="45"/>
      <c r="AY207" s="45"/>
      <c r="AZ207" s="85"/>
      <c r="BA207" s="47"/>
      <c r="BB207" s="47"/>
      <c r="BC207" s="47"/>
      <c r="BD207" s="47"/>
      <c r="BE207" s="47"/>
      <c r="BF207" s="47"/>
      <c r="BG207" s="47"/>
      <c r="BH207" s="47"/>
      <c r="BI207" s="47"/>
      <c r="BJ207" s="47"/>
      <c r="BK207" s="47"/>
      <c r="BL207" s="47"/>
      <c r="BM207" s="47"/>
      <c r="BN207" s="47"/>
      <c r="BO207" s="47"/>
      <c r="BP207" s="48">
        <f t="shared" si="45"/>
        <v>6</v>
      </c>
      <c r="BQ207" s="49">
        <f t="shared" si="47"/>
        <v>12</v>
      </c>
      <c r="BR207" s="50">
        <f t="shared" si="46"/>
        <v>0</v>
      </c>
      <c r="BS207" s="49">
        <f t="shared" si="48"/>
        <v>0</v>
      </c>
    </row>
    <row r="208" spans="1:71" s="9" customFormat="1" ht="17" x14ac:dyDescent="0.2">
      <c r="A208" s="35" t="s">
        <v>516</v>
      </c>
      <c r="B208" s="35" t="s">
        <v>445</v>
      </c>
      <c r="C208" s="93" t="s">
        <v>517</v>
      </c>
      <c r="D208" s="36" t="s">
        <v>423</v>
      </c>
      <c r="E208" s="37" t="s">
        <v>424</v>
      </c>
      <c r="F208" s="38"/>
      <c r="G208" s="96">
        <f>245*2</f>
        <v>490</v>
      </c>
      <c r="H208" s="38"/>
      <c r="I208" s="39">
        <v>520</v>
      </c>
      <c r="J208" s="40"/>
      <c r="K208" s="38"/>
      <c r="L208" s="41"/>
      <c r="M208" s="41"/>
      <c r="N208" s="41"/>
      <c r="O208" s="41"/>
      <c r="P208" s="41"/>
      <c r="Q208" s="41"/>
      <c r="R208" s="41"/>
      <c r="S208" s="41"/>
      <c r="T208" s="41"/>
      <c r="U208" s="95"/>
      <c r="V208" s="41"/>
      <c r="W208" s="41"/>
      <c r="X208" s="41"/>
      <c r="Y208" s="41">
        <v>520</v>
      </c>
      <c r="Z208" s="41"/>
      <c r="AA208" s="41"/>
      <c r="AB208" s="41"/>
      <c r="AC208" s="44">
        <f t="shared" si="42"/>
        <v>520</v>
      </c>
      <c r="AD208" s="44">
        <f t="shared" si="42"/>
        <v>0</v>
      </c>
      <c r="AE208" s="45" t="s">
        <v>116</v>
      </c>
      <c r="AF208" s="45"/>
      <c r="AG208" s="45"/>
      <c r="AH208" s="45"/>
      <c r="AI208" s="45"/>
      <c r="AJ208" s="45"/>
      <c r="AK208" s="45"/>
      <c r="AL208" s="45"/>
      <c r="AM208" s="45"/>
      <c r="AN208" s="45"/>
      <c r="AO208" s="45"/>
      <c r="AP208" s="45"/>
      <c r="AQ208" s="45"/>
      <c r="AR208" s="45"/>
      <c r="AS208" s="45"/>
      <c r="AT208" s="45"/>
      <c r="AU208" s="45"/>
      <c r="AV208" s="45"/>
      <c r="AW208" s="45"/>
      <c r="AX208" s="45"/>
      <c r="AY208" s="45"/>
      <c r="AZ208" s="85">
        <v>245</v>
      </c>
      <c r="BA208" s="47"/>
      <c r="BB208" s="47"/>
      <c r="BC208" s="47"/>
      <c r="BD208" s="47"/>
      <c r="BE208" s="47"/>
      <c r="BF208" s="47"/>
      <c r="BG208" s="47"/>
      <c r="BH208" s="47"/>
      <c r="BI208" s="47"/>
      <c r="BJ208" s="47"/>
      <c r="BK208" s="47"/>
      <c r="BL208" s="47"/>
      <c r="BM208" s="47"/>
      <c r="BN208" s="47"/>
      <c r="BO208" s="47"/>
      <c r="BP208" s="48">
        <f t="shared" si="45"/>
        <v>245</v>
      </c>
      <c r="BQ208" s="49">
        <f t="shared" si="47"/>
        <v>490</v>
      </c>
      <c r="BR208" s="50">
        <f t="shared" si="46"/>
        <v>0</v>
      </c>
      <c r="BS208" s="49">
        <f t="shared" si="48"/>
        <v>0</v>
      </c>
    </row>
    <row r="209" spans="1:71" s="9" customFormat="1" ht="17" x14ac:dyDescent="0.2">
      <c r="A209" s="35" t="s">
        <v>518</v>
      </c>
      <c r="B209" s="35" t="s">
        <v>445</v>
      </c>
      <c r="C209" s="93" t="s">
        <v>519</v>
      </c>
      <c r="D209" s="36" t="s">
        <v>423</v>
      </c>
      <c r="E209" s="37" t="s">
        <v>424</v>
      </c>
      <c r="F209" s="38"/>
      <c r="G209" s="96">
        <v>228</v>
      </c>
      <c r="H209" s="38"/>
      <c r="I209" s="39">
        <v>240</v>
      </c>
      <c r="J209" s="40">
        <v>0</v>
      </c>
      <c r="K209" s="38"/>
      <c r="L209" s="41"/>
      <c r="M209" s="41"/>
      <c r="N209" s="41"/>
      <c r="O209" s="41"/>
      <c r="P209" s="41"/>
      <c r="Q209" s="41"/>
      <c r="R209" s="41"/>
      <c r="S209" s="41"/>
      <c r="T209" s="41"/>
      <c r="U209" s="95"/>
      <c r="V209" s="41"/>
      <c r="W209" s="41"/>
      <c r="X209" s="41"/>
      <c r="Y209" s="41">
        <v>240</v>
      </c>
      <c r="Z209" s="41"/>
      <c r="AA209" s="41"/>
      <c r="AB209" s="41"/>
      <c r="AC209" s="44">
        <f t="shared" si="42"/>
        <v>240</v>
      </c>
      <c r="AD209" s="44">
        <f t="shared" si="42"/>
        <v>0</v>
      </c>
      <c r="AE209" s="45" t="s">
        <v>116</v>
      </c>
      <c r="AF209" s="45"/>
      <c r="AG209" s="45"/>
      <c r="AH209" s="45">
        <v>114</v>
      </c>
      <c r="AI209" s="45"/>
      <c r="AJ209" s="45"/>
      <c r="AK209" s="45"/>
      <c r="AL209" s="45"/>
      <c r="AM209" s="45"/>
      <c r="AN209" s="45"/>
      <c r="AO209" s="45"/>
      <c r="AP209" s="45"/>
      <c r="AQ209" s="45"/>
      <c r="AR209" s="45"/>
      <c r="AS209" s="45"/>
      <c r="AT209" s="45"/>
      <c r="AU209" s="45"/>
      <c r="AV209" s="45"/>
      <c r="AW209" s="45"/>
      <c r="AX209" s="45"/>
      <c r="AY209" s="45"/>
      <c r="AZ209" s="85"/>
      <c r="BA209" s="47"/>
      <c r="BB209" s="47"/>
      <c r="BC209" s="47"/>
      <c r="BD209" s="47"/>
      <c r="BE209" s="47"/>
      <c r="BF209" s="47"/>
      <c r="BG209" s="47"/>
      <c r="BH209" s="47"/>
      <c r="BI209" s="47"/>
      <c r="BJ209" s="47"/>
      <c r="BK209" s="47"/>
      <c r="BL209" s="47"/>
      <c r="BM209" s="47"/>
      <c r="BN209" s="47"/>
      <c r="BO209" s="47"/>
      <c r="BP209" s="48">
        <f t="shared" si="45"/>
        <v>114</v>
      </c>
      <c r="BQ209" s="49">
        <f t="shared" si="47"/>
        <v>228</v>
      </c>
      <c r="BR209" s="50">
        <f t="shared" si="46"/>
        <v>0</v>
      </c>
      <c r="BS209" s="49">
        <f t="shared" si="48"/>
        <v>0</v>
      </c>
    </row>
    <row r="210" spans="1:71" s="9" customFormat="1" ht="17" x14ac:dyDescent="0.2">
      <c r="A210" s="35" t="s">
        <v>520</v>
      </c>
      <c r="B210" s="35" t="s">
        <v>445</v>
      </c>
      <c r="C210" s="93" t="s">
        <v>521</v>
      </c>
      <c r="D210" s="36" t="s">
        <v>423</v>
      </c>
      <c r="E210" s="37" t="s">
        <v>424</v>
      </c>
      <c r="F210" s="38"/>
      <c r="G210" s="96">
        <v>76</v>
      </c>
      <c r="H210" s="38"/>
      <c r="I210" s="39">
        <v>80</v>
      </c>
      <c r="J210" s="40">
        <v>0</v>
      </c>
      <c r="K210" s="38"/>
      <c r="L210" s="41"/>
      <c r="M210" s="41"/>
      <c r="N210" s="41"/>
      <c r="O210" s="41"/>
      <c r="P210" s="41"/>
      <c r="Q210" s="41"/>
      <c r="R210" s="41"/>
      <c r="S210" s="41"/>
      <c r="T210" s="41"/>
      <c r="U210" s="95"/>
      <c r="V210" s="41"/>
      <c r="W210" s="41"/>
      <c r="X210" s="41"/>
      <c r="Y210" s="41">
        <v>80</v>
      </c>
      <c r="Z210" s="41"/>
      <c r="AA210" s="41"/>
      <c r="AB210" s="41"/>
      <c r="AC210" s="44">
        <f t="shared" si="42"/>
        <v>80</v>
      </c>
      <c r="AD210" s="44">
        <f t="shared" si="42"/>
        <v>0</v>
      </c>
      <c r="AE210" s="45" t="s">
        <v>116</v>
      </c>
      <c r="AF210" s="45"/>
      <c r="AG210" s="45"/>
      <c r="AH210" s="45">
        <v>38</v>
      </c>
      <c r="AI210" s="45"/>
      <c r="AJ210" s="45"/>
      <c r="AK210" s="45"/>
      <c r="AL210" s="45"/>
      <c r="AM210" s="45"/>
      <c r="AN210" s="45"/>
      <c r="AO210" s="45"/>
      <c r="AP210" s="45"/>
      <c r="AQ210" s="45"/>
      <c r="AR210" s="45"/>
      <c r="AS210" s="45"/>
      <c r="AT210" s="45"/>
      <c r="AU210" s="45"/>
      <c r="AV210" s="45"/>
      <c r="AW210" s="45"/>
      <c r="AX210" s="45"/>
      <c r="AY210" s="45"/>
      <c r="AZ210" s="85"/>
      <c r="BA210" s="47"/>
      <c r="BB210" s="47"/>
      <c r="BC210" s="47"/>
      <c r="BD210" s="47"/>
      <c r="BE210" s="47"/>
      <c r="BF210" s="47"/>
      <c r="BG210" s="47"/>
      <c r="BH210" s="47"/>
      <c r="BI210" s="47"/>
      <c r="BJ210" s="47"/>
      <c r="BK210" s="47"/>
      <c r="BL210" s="47"/>
      <c r="BM210" s="47"/>
      <c r="BN210" s="47"/>
      <c r="BO210" s="47"/>
      <c r="BP210" s="48">
        <f t="shared" si="45"/>
        <v>38</v>
      </c>
      <c r="BQ210" s="49">
        <f t="shared" si="47"/>
        <v>76</v>
      </c>
      <c r="BR210" s="50">
        <f t="shared" si="46"/>
        <v>0</v>
      </c>
      <c r="BS210" s="49">
        <f t="shared" si="48"/>
        <v>0</v>
      </c>
    </row>
    <row r="211" spans="1:71" s="9" customFormat="1" ht="17" x14ac:dyDescent="0.2">
      <c r="A211" s="35" t="s">
        <v>522</v>
      </c>
      <c r="B211" s="35" t="s">
        <v>445</v>
      </c>
      <c r="C211" s="93" t="s">
        <v>523</v>
      </c>
      <c r="D211" s="36" t="s">
        <v>423</v>
      </c>
      <c r="E211" s="37" t="s">
        <v>424</v>
      </c>
      <c r="F211" s="38"/>
      <c r="G211" s="96">
        <v>36</v>
      </c>
      <c r="H211" s="38"/>
      <c r="I211" s="39">
        <v>38</v>
      </c>
      <c r="J211" s="40">
        <v>0</v>
      </c>
      <c r="K211" s="38"/>
      <c r="L211" s="41"/>
      <c r="M211" s="41"/>
      <c r="N211" s="41"/>
      <c r="O211" s="41"/>
      <c r="P211" s="41"/>
      <c r="Q211" s="41"/>
      <c r="R211" s="41"/>
      <c r="S211" s="41"/>
      <c r="T211" s="41"/>
      <c r="U211" s="95"/>
      <c r="V211" s="41"/>
      <c r="W211" s="41"/>
      <c r="X211" s="41"/>
      <c r="Y211" s="41">
        <v>38</v>
      </c>
      <c r="Z211" s="41"/>
      <c r="AA211" s="41"/>
      <c r="AB211" s="41"/>
      <c r="AC211" s="44">
        <f t="shared" si="42"/>
        <v>38</v>
      </c>
      <c r="AD211" s="44">
        <f t="shared" si="42"/>
        <v>0</v>
      </c>
      <c r="AE211" s="45" t="s">
        <v>116</v>
      </c>
      <c r="AF211" s="45"/>
      <c r="AG211" s="45"/>
      <c r="AH211" s="45">
        <v>18</v>
      </c>
      <c r="AI211" s="45"/>
      <c r="AJ211" s="45"/>
      <c r="AK211" s="45"/>
      <c r="AL211" s="45"/>
      <c r="AM211" s="45"/>
      <c r="AN211" s="45"/>
      <c r="AO211" s="45"/>
      <c r="AP211" s="45"/>
      <c r="AQ211" s="45"/>
      <c r="AR211" s="45"/>
      <c r="AS211" s="45"/>
      <c r="AT211" s="45"/>
      <c r="AU211" s="45"/>
      <c r="AV211" s="45"/>
      <c r="AW211" s="45"/>
      <c r="AX211" s="45"/>
      <c r="AY211" s="45"/>
      <c r="AZ211" s="85"/>
      <c r="BA211" s="47"/>
      <c r="BB211" s="47"/>
      <c r="BC211" s="47"/>
      <c r="BD211" s="47"/>
      <c r="BE211" s="47"/>
      <c r="BF211" s="47"/>
      <c r="BG211" s="47"/>
      <c r="BH211" s="47"/>
      <c r="BI211" s="47"/>
      <c r="BJ211" s="47"/>
      <c r="BK211" s="47"/>
      <c r="BL211" s="47"/>
      <c r="BM211" s="47"/>
      <c r="BN211" s="47"/>
      <c r="BO211" s="47"/>
      <c r="BP211" s="48">
        <f t="shared" si="45"/>
        <v>18</v>
      </c>
      <c r="BQ211" s="49">
        <f t="shared" si="47"/>
        <v>36</v>
      </c>
      <c r="BR211" s="50">
        <f t="shared" si="46"/>
        <v>0</v>
      </c>
      <c r="BS211" s="49">
        <f t="shared" si="48"/>
        <v>0</v>
      </c>
    </row>
    <row r="212" spans="1:71" s="9" customFormat="1" ht="17" x14ac:dyDescent="0.2">
      <c r="A212" s="35" t="s">
        <v>524</v>
      </c>
      <c r="B212" s="35" t="s">
        <v>525</v>
      </c>
      <c r="C212" s="93" t="s">
        <v>526</v>
      </c>
      <c r="D212" s="36" t="s">
        <v>527</v>
      </c>
      <c r="E212" s="37" t="s">
        <v>424</v>
      </c>
      <c r="F212" s="38"/>
      <c r="G212" s="96">
        <v>5604</v>
      </c>
      <c r="H212" s="38"/>
      <c r="I212" s="39"/>
      <c r="J212" s="40"/>
      <c r="K212" s="38"/>
      <c r="L212" s="41"/>
      <c r="M212" s="41"/>
      <c r="N212" s="41"/>
      <c r="O212" s="41"/>
      <c r="P212" s="41"/>
      <c r="Q212" s="41"/>
      <c r="R212" s="41"/>
      <c r="S212" s="41"/>
      <c r="T212" s="41"/>
      <c r="U212" s="95"/>
      <c r="V212" s="41"/>
      <c r="W212" s="41"/>
      <c r="X212" s="41"/>
      <c r="Y212" s="41"/>
      <c r="Z212" s="41"/>
      <c r="AA212" s="41">
        <v>5700</v>
      </c>
      <c r="AB212" s="41"/>
      <c r="AC212" s="44">
        <f t="shared" ref="AC212:AD214" si="49">+I212+AA212</f>
        <v>5700</v>
      </c>
      <c r="AD212" s="44">
        <f t="shared" si="49"/>
        <v>0</v>
      </c>
      <c r="AE212" s="45" t="s">
        <v>528</v>
      </c>
      <c r="AF212" s="45"/>
      <c r="AG212" s="45"/>
      <c r="AH212" s="45"/>
      <c r="AI212" s="45"/>
      <c r="AJ212" s="45"/>
      <c r="AK212" s="45"/>
      <c r="AL212" s="45"/>
      <c r="AM212" s="45"/>
      <c r="AN212" s="45"/>
      <c r="AO212" s="45"/>
      <c r="AP212" s="45"/>
      <c r="AQ212" s="45"/>
      <c r="AR212" s="45"/>
      <c r="AS212" s="45"/>
      <c r="AT212" s="45"/>
      <c r="AU212" s="45"/>
      <c r="AV212" s="45"/>
      <c r="AW212" s="45"/>
      <c r="AX212" s="45"/>
      <c r="AY212" s="45"/>
      <c r="AZ212" s="85"/>
      <c r="BA212" s="47"/>
      <c r="BB212" s="47"/>
      <c r="BC212" s="47"/>
      <c r="BD212" s="47"/>
      <c r="BE212" s="47"/>
      <c r="BF212" s="47"/>
      <c r="BG212" s="47"/>
      <c r="BH212" s="47"/>
      <c r="BI212" s="47"/>
      <c r="BJ212" s="47">
        <v>2802</v>
      </c>
      <c r="BK212" s="47"/>
      <c r="BL212" s="47"/>
      <c r="BM212" s="47"/>
      <c r="BN212" s="47"/>
      <c r="BO212" s="47"/>
      <c r="BP212" s="48">
        <f t="shared" si="45"/>
        <v>2802</v>
      </c>
      <c r="BQ212" s="49">
        <f t="shared" si="47"/>
        <v>5604</v>
      </c>
      <c r="BR212" s="50"/>
      <c r="BS212" s="49"/>
    </row>
    <row r="213" spans="1:71" s="9" customFormat="1" ht="17" x14ac:dyDescent="0.2">
      <c r="A213" s="35" t="s">
        <v>529</v>
      </c>
      <c r="B213" s="35" t="s">
        <v>530</v>
      </c>
      <c r="C213" s="93" t="s">
        <v>531</v>
      </c>
      <c r="D213" s="36" t="s">
        <v>532</v>
      </c>
      <c r="E213" s="37" t="s">
        <v>424</v>
      </c>
      <c r="F213" s="38"/>
      <c r="G213" s="96">
        <v>11208</v>
      </c>
      <c r="H213" s="38"/>
      <c r="I213" s="39"/>
      <c r="J213" s="40"/>
      <c r="K213" s="38"/>
      <c r="L213" s="41"/>
      <c r="M213" s="41"/>
      <c r="N213" s="41"/>
      <c r="O213" s="41"/>
      <c r="P213" s="41"/>
      <c r="Q213" s="41"/>
      <c r="R213" s="41"/>
      <c r="S213" s="41"/>
      <c r="T213" s="41"/>
      <c r="U213" s="95"/>
      <c r="V213" s="41"/>
      <c r="W213" s="41"/>
      <c r="X213" s="41"/>
      <c r="Y213" s="41"/>
      <c r="Z213" s="41"/>
      <c r="AA213" s="41">
        <v>11400</v>
      </c>
      <c r="AB213" s="41"/>
      <c r="AC213" s="44">
        <f t="shared" si="49"/>
        <v>11400</v>
      </c>
      <c r="AD213" s="44">
        <f t="shared" si="49"/>
        <v>0</v>
      </c>
      <c r="AE213" s="45" t="s">
        <v>528</v>
      </c>
      <c r="AF213" s="45"/>
      <c r="AG213" s="45"/>
      <c r="AH213" s="45"/>
      <c r="AI213" s="45"/>
      <c r="AJ213" s="45"/>
      <c r="AK213" s="45"/>
      <c r="AL213" s="45"/>
      <c r="AM213" s="45"/>
      <c r="AN213" s="45"/>
      <c r="AO213" s="45"/>
      <c r="AP213" s="45"/>
      <c r="AQ213" s="45"/>
      <c r="AR213" s="45"/>
      <c r="AS213" s="45"/>
      <c r="AT213" s="45"/>
      <c r="AU213" s="45"/>
      <c r="AV213" s="45"/>
      <c r="AW213" s="45"/>
      <c r="AX213" s="45"/>
      <c r="AY213" s="45"/>
      <c r="AZ213" s="85"/>
      <c r="BA213" s="47"/>
      <c r="BB213" s="47"/>
      <c r="BC213" s="47"/>
      <c r="BD213" s="47"/>
      <c r="BE213" s="47"/>
      <c r="BF213" s="47"/>
      <c r="BG213" s="47"/>
      <c r="BH213" s="47"/>
      <c r="BI213" s="47"/>
      <c r="BJ213" s="47">
        <v>5604</v>
      </c>
      <c r="BK213" s="47"/>
      <c r="BL213" s="47"/>
      <c r="BM213" s="47"/>
      <c r="BN213" s="47"/>
      <c r="BO213" s="47"/>
      <c r="BP213" s="48">
        <f t="shared" si="45"/>
        <v>5604</v>
      </c>
      <c r="BQ213" s="49">
        <f t="shared" si="47"/>
        <v>11208</v>
      </c>
      <c r="BR213" s="50"/>
      <c r="BS213" s="49"/>
    </row>
    <row r="214" spans="1:71" s="9" customFormat="1" ht="17" x14ac:dyDescent="0.2">
      <c r="A214" s="35" t="s">
        <v>533</v>
      </c>
      <c r="B214" s="35" t="s">
        <v>534</v>
      </c>
      <c r="C214" s="93" t="s">
        <v>535</v>
      </c>
      <c r="D214" s="36" t="s">
        <v>536</v>
      </c>
      <c r="E214" s="37" t="s">
        <v>424</v>
      </c>
      <c r="F214" s="38"/>
      <c r="G214" s="96">
        <v>5604</v>
      </c>
      <c r="H214" s="38"/>
      <c r="I214" s="39"/>
      <c r="J214" s="40"/>
      <c r="K214" s="38"/>
      <c r="L214" s="41"/>
      <c r="M214" s="41"/>
      <c r="N214" s="41"/>
      <c r="O214" s="41"/>
      <c r="P214" s="41"/>
      <c r="Q214" s="41"/>
      <c r="R214" s="41"/>
      <c r="S214" s="41"/>
      <c r="T214" s="41"/>
      <c r="U214" s="95"/>
      <c r="V214" s="41"/>
      <c r="W214" s="41"/>
      <c r="X214" s="41"/>
      <c r="Y214" s="41"/>
      <c r="Z214" s="41"/>
      <c r="AA214" s="41">
        <v>5700</v>
      </c>
      <c r="AB214" s="41"/>
      <c r="AC214" s="44">
        <f t="shared" si="49"/>
        <v>5700</v>
      </c>
      <c r="AD214" s="44">
        <f t="shared" si="49"/>
        <v>0</v>
      </c>
      <c r="AE214" s="45" t="s">
        <v>528</v>
      </c>
      <c r="AF214" s="45"/>
      <c r="AG214" s="45"/>
      <c r="AH214" s="45"/>
      <c r="AI214" s="45"/>
      <c r="AJ214" s="45"/>
      <c r="AK214" s="45"/>
      <c r="AL214" s="45"/>
      <c r="AM214" s="45"/>
      <c r="AN214" s="45"/>
      <c r="AO214" s="45"/>
      <c r="AP214" s="45"/>
      <c r="AQ214" s="45"/>
      <c r="AR214" s="45"/>
      <c r="AS214" s="45"/>
      <c r="AT214" s="45"/>
      <c r="AU214" s="45"/>
      <c r="AV214" s="45"/>
      <c r="AW214" s="45"/>
      <c r="AX214" s="45"/>
      <c r="AY214" s="45"/>
      <c r="AZ214" s="85"/>
      <c r="BA214" s="47"/>
      <c r="BB214" s="47"/>
      <c r="BC214" s="47"/>
      <c r="BD214" s="47"/>
      <c r="BE214" s="47"/>
      <c r="BF214" s="47"/>
      <c r="BG214" s="47"/>
      <c r="BH214" s="47"/>
      <c r="BI214" s="47"/>
      <c r="BJ214" s="47">
        <v>2802</v>
      </c>
      <c r="BK214" s="47"/>
      <c r="BL214" s="47"/>
      <c r="BM214" s="47"/>
      <c r="BN214" s="47"/>
      <c r="BO214" s="47"/>
      <c r="BP214" s="48">
        <f t="shared" si="45"/>
        <v>2802</v>
      </c>
      <c r="BQ214" s="49">
        <f t="shared" si="47"/>
        <v>5604</v>
      </c>
      <c r="BR214" s="50"/>
      <c r="BS214" s="49"/>
    </row>
    <row r="215" spans="1:71" s="9" customFormat="1" ht="17" x14ac:dyDescent="0.15">
      <c r="A215" s="97" t="s">
        <v>537</v>
      </c>
      <c r="B215" s="214" t="s">
        <v>538</v>
      </c>
      <c r="C215" s="215"/>
      <c r="D215" s="90"/>
      <c r="E215" s="76"/>
      <c r="F215" s="77"/>
      <c r="G215" s="77"/>
      <c r="H215" s="77"/>
      <c r="I215" s="80"/>
      <c r="J215" s="91"/>
      <c r="K215" s="77"/>
      <c r="L215" s="81"/>
      <c r="M215" s="81"/>
      <c r="N215" s="81"/>
      <c r="O215" s="81"/>
      <c r="P215" s="81"/>
      <c r="Q215" s="81"/>
      <c r="R215" s="81"/>
      <c r="S215" s="81"/>
      <c r="T215" s="81"/>
      <c r="U215" s="82"/>
      <c r="V215" s="81"/>
      <c r="W215" s="81"/>
      <c r="X215" s="81"/>
      <c r="Y215" s="81"/>
      <c r="Z215" s="81"/>
      <c r="AA215" s="81"/>
      <c r="AB215" s="81"/>
      <c r="AC215" s="83"/>
      <c r="AD215" s="83"/>
      <c r="AE215" s="84"/>
      <c r="AF215" s="84"/>
      <c r="AG215" s="84"/>
      <c r="AH215" s="84"/>
      <c r="AI215" s="84"/>
      <c r="AJ215" s="84"/>
      <c r="AK215" s="84"/>
      <c r="AL215" s="84"/>
      <c r="AM215" s="84"/>
      <c r="AN215" s="84"/>
      <c r="AO215" s="84"/>
      <c r="AP215" s="84"/>
      <c r="AQ215" s="84"/>
      <c r="AR215" s="84"/>
      <c r="AS215" s="84"/>
      <c r="AT215" s="84"/>
      <c r="AU215" s="84"/>
      <c r="AV215" s="84"/>
      <c r="AW215" s="84"/>
      <c r="AX215" s="84"/>
      <c r="AY215" s="84"/>
      <c r="AZ215" s="85"/>
      <c r="BA215" s="47"/>
      <c r="BB215" s="47"/>
      <c r="BC215" s="47"/>
      <c r="BD215" s="47"/>
      <c r="BE215" s="47"/>
      <c r="BF215" s="47"/>
      <c r="BG215" s="47"/>
      <c r="BH215" s="47"/>
      <c r="BI215" s="47"/>
      <c r="BJ215" s="47"/>
      <c r="BK215" s="47"/>
      <c r="BL215" s="47"/>
      <c r="BM215" s="47"/>
      <c r="BN215" s="47"/>
      <c r="BO215" s="47"/>
      <c r="BP215" s="48">
        <f t="shared" si="45"/>
        <v>0</v>
      </c>
      <c r="BQ215" s="49">
        <f t="shared" si="47"/>
        <v>0</v>
      </c>
      <c r="BR215" s="50">
        <f t="shared" si="46"/>
        <v>0</v>
      </c>
      <c r="BS215" s="49">
        <f t="shared" si="48"/>
        <v>0</v>
      </c>
    </row>
    <row r="216" spans="1:71" s="9" customFormat="1" ht="17" x14ac:dyDescent="0.15">
      <c r="A216" s="34" t="s">
        <v>539</v>
      </c>
      <c r="B216" s="35" t="s">
        <v>540</v>
      </c>
      <c r="C216" s="34" t="s">
        <v>541</v>
      </c>
      <c r="D216" s="36" t="s">
        <v>542</v>
      </c>
      <c r="E216" s="37" t="s">
        <v>424</v>
      </c>
      <c r="F216" s="38"/>
      <c r="G216" s="38">
        <v>20</v>
      </c>
      <c r="H216" s="38"/>
      <c r="I216" s="39">
        <v>20</v>
      </c>
      <c r="J216" s="40">
        <v>0</v>
      </c>
      <c r="K216" s="38"/>
      <c r="L216" s="41"/>
      <c r="M216" s="41">
        <v>20</v>
      </c>
      <c r="N216" s="41"/>
      <c r="O216" s="41"/>
      <c r="P216" s="41"/>
      <c r="Q216" s="41"/>
      <c r="R216" s="41"/>
      <c r="S216" s="41"/>
      <c r="T216" s="41"/>
      <c r="U216" s="43"/>
      <c r="V216" s="41"/>
      <c r="W216" s="41"/>
      <c r="X216" s="41"/>
      <c r="Y216" s="41"/>
      <c r="Z216" s="41"/>
      <c r="AA216" s="41"/>
      <c r="AB216" s="41"/>
      <c r="AC216" s="44">
        <f t="shared" ref="AC216:AD241" si="50">+I216+AA216</f>
        <v>20</v>
      </c>
      <c r="AD216" s="44">
        <f t="shared" si="50"/>
        <v>0</v>
      </c>
      <c r="AE216" s="45"/>
      <c r="AF216" s="45"/>
      <c r="AG216" s="45"/>
      <c r="AH216" s="45"/>
      <c r="AI216" s="45"/>
      <c r="AJ216" s="45"/>
      <c r="AK216" s="45"/>
      <c r="AL216" s="45">
        <v>10</v>
      </c>
      <c r="AM216" s="45"/>
      <c r="AN216" s="45"/>
      <c r="AO216" s="45"/>
      <c r="AP216" s="45"/>
      <c r="AQ216" s="45"/>
      <c r="AR216" s="45"/>
      <c r="AS216" s="45"/>
      <c r="AT216" s="45"/>
      <c r="AU216" s="45"/>
      <c r="AV216" s="45"/>
      <c r="AW216" s="45"/>
      <c r="AX216" s="45"/>
      <c r="AY216" s="45"/>
      <c r="AZ216" s="85"/>
      <c r="BA216" s="47"/>
      <c r="BB216" s="47"/>
      <c r="BC216" s="47"/>
      <c r="BD216" s="47"/>
      <c r="BE216" s="47"/>
      <c r="BF216" s="47"/>
      <c r="BG216" s="47"/>
      <c r="BH216" s="47"/>
      <c r="BI216" s="47"/>
      <c r="BJ216" s="47"/>
      <c r="BK216" s="47"/>
      <c r="BL216" s="47"/>
      <c r="BM216" s="47"/>
      <c r="BN216" s="47"/>
      <c r="BO216" s="47"/>
      <c r="BP216" s="48">
        <f t="shared" si="45"/>
        <v>10</v>
      </c>
      <c r="BQ216" s="49">
        <f t="shared" si="47"/>
        <v>20</v>
      </c>
      <c r="BR216" s="50">
        <f t="shared" si="46"/>
        <v>0</v>
      </c>
      <c r="BS216" s="49">
        <f t="shared" si="48"/>
        <v>0</v>
      </c>
    </row>
    <row r="217" spans="1:71" s="9" customFormat="1" ht="17" x14ac:dyDescent="0.15">
      <c r="A217" s="34" t="s">
        <v>543</v>
      </c>
      <c r="B217" s="35" t="s">
        <v>544</v>
      </c>
      <c r="C217" s="98" t="s">
        <v>545</v>
      </c>
      <c r="D217" s="99" t="s">
        <v>546</v>
      </c>
      <c r="E217" s="37" t="s">
        <v>424</v>
      </c>
      <c r="F217" s="38"/>
      <c r="G217" s="38">
        <f>32+20</f>
        <v>52</v>
      </c>
      <c r="H217" s="38"/>
      <c r="I217" s="39">
        <v>52</v>
      </c>
      <c r="J217" s="40">
        <v>0</v>
      </c>
      <c r="K217" s="38"/>
      <c r="L217" s="41"/>
      <c r="M217" s="41"/>
      <c r="N217" s="41"/>
      <c r="O217" s="41"/>
      <c r="P217" s="41"/>
      <c r="Q217" s="41"/>
      <c r="R217" s="41"/>
      <c r="S217" s="41"/>
      <c r="T217" s="41"/>
      <c r="U217" s="100">
        <v>32</v>
      </c>
      <c r="V217" s="41"/>
      <c r="W217" s="41"/>
      <c r="X217" s="41"/>
      <c r="Y217" s="41">
        <v>20</v>
      </c>
      <c r="Z217" s="41"/>
      <c r="AA217" s="41"/>
      <c r="AB217" s="41"/>
      <c r="AC217" s="44">
        <f t="shared" si="50"/>
        <v>52</v>
      </c>
      <c r="AD217" s="44">
        <f t="shared" si="50"/>
        <v>0</v>
      </c>
      <c r="AE217" s="45" t="s">
        <v>116</v>
      </c>
      <c r="AF217" s="45">
        <v>6</v>
      </c>
      <c r="AG217" s="45"/>
      <c r="AH217" s="45">
        <v>4</v>
      </c>
      <c r="AI217" s="45"/>
      <c r="AJ217" s="45">
        <v>6</v>
      </c>
      <c r="AK217" s="45"/>
      <c r="AL217" s="45"/>
      <c r="AM217" s="45"/>
      <c r="AN217" s="45">
        <v>6</v>
      </c>
      <c r="AO217" s="45"/>
      <c r="AP217" s="45"/>
      <c r="AQ217" s="45"/>
      <c r="AR217" s="45"/>
      <c r="AS217" s="45"/>
      <c r="AT217" s="45"/>
      <c r="AU217" s="45"/>
      <c r="AV217" s="45"/>
      <c r="AW217" s="45"/>
      <c r="AX217" s="45"/>
      <c r="AY217" s="45"/>
      <c r="AZ217" s="85"/>
      <c r="BA217" s="47"/>
      <c r="BB217" s="47"/>
      <c r="BC217" s="47"/>
      <c r="BD217" s="47">
        <v>4</v>
      </c>
      <c r="BE217" s="47"/>
      <c r="BF217" s="47"/>
      <c r="BG217" s="47"/>
      <c r="BH217" s="47"/>
      <c r="BI217" s="47"/>
      <c r="BJ217" s="47"/>
      <c r="BK217" s="47"/>
      <c r="BL217" s="47"/>
      <c r="BM217" s="47"/>
      <c r="BN217" s="47"/>
      <c r="BO217" s="47"/>
      <c r="BP217" s="48">
        <f t="shared" si="45"/>
        <v>26</v>
      </c>
      <c r="BQ217" s="49">
        <f t="shared" si="47"/>
        <v>52</v>
      </c>
      <c r="BR217" s="50">
        <f t="shared" si="46"/>
        <v>0</v>
      </c>
      <c r="BS217" s="49">
        <f t="shared" si="48"/>
        <v>0</v>
      </c>
    </row>
    <row r="218" spans="1:71" s="9" customFormat="1" ht="17" x14ac:dyDescent="0.15">
      <c r="A218" s="34" t="s">
        <v>547</v>
      </c>
      <c r="B218" s="35" t="s">
        <v>548</v>
      </c>
      <c r="C218" s="98" t="s">
        <v>549</v>
      </c>
      <c r="D218" s="99" t="s">
        <v>546</v>
      </c>
      <c r="E218" s="37" t="s">
        <v>424</v>
      </c>
      <c r="F218" s="38"/>
      <c r="G218" s="38">
        <f>68+60</f>
        <v>128</v>
      </c>
      <c r="H218" s="38"/>
      <c r="I218" s="39">
        <v>128</v>
      </c>
      <c r="J218" s="40">
        <v>0</v>
      </c>
      <c r="K218" s="38"/>
      <c r="L218" s="41"/>
      <c r="M218" s="41"/>
      <c r="N218" s="41"/>
      <c r="O218" s="41"/>
      <c r="P218" s="41"/>
      <c r="Q218" s="41"/>
      <c r="R218" s="41"/>
      <c r="S218" s="41"/>
      <c r="T218" s="41"/>
      <c r="U218" s="100">
        <v>68</v>
      </c>
      <c r="V218" s="41"/>
      <c r="W218" s="41"/>
      <c r="X218" s="41"/>
      <c r="Y218" s="41">
        <v>60</v>
      </c>
      <c r="Z218" s="41"/>
      <c r="AA218" s="41"/>
      <c r="AB218" s="41"/>
      <c r="AC218" s="44">
        <f t="shared" si="50"/>
        <v>128</v>
      </c>
      <c r="AD218" s="44">
        <f t="shared" si="50"/>
        <v>0</v>
      </c>
      <c r="AE218" s="45" t="s">
        <v>116</v>
      </c>
      <c r="AF218" s="45">
        <v>26</v>
      </c>
      <c r="AG218" s="45"/>
      <c r="AH218" s="45">
        <v>18</v>
      </c>
      <c r="AI218" s="45"/>
      <c r="AJ218" s="45">
        <v>12</v>
      </c>
      <c r="AK218" s="45"/>
      <c r="AL218" s="45"/>
      <c r="AM218" s="45"/>
      <c r="AN218" s="45">
        <v>6</v>
      </c>
      <c r="AO218" s="45"/>
      <c r="AP218" s="45"/>
      <c r="AQ218" s="45"/>
      <c r="AR218" s="45"/>
      <c r="AS218" s="45"/>
      <c r="AT218" s="45"/>
      <c r="AU218" s="45"/>
      <c r="AV218" s="45"/>
      <c r="AW218" s="45"/>
      <c r="AX218" s="45"/>
      <c r="AY218" s="45"/>
      <c r="AZ218" s="85"/>
      <c r="BA218" s="47"/>
      <c r="BB218" s="47"/>
      <c r="BC218" s="47"/>
      <c r="BD218" s="47">
        <v>2</v>
      </c>
      <c r="BE218" s="47"/>
      <c r="BF218" s="47"/>
      <c r="BG218" s="47"/>
      <c r="BH218" s="47"/>
      <c r="BI218" s="47"/>
      <c r="BJ218" s="47"/>
      <c r="BK218" s="47"/>
      <c r="BL218" s="47"/>
      <c r="BM218" s="47"/>
      <c r="BN218" s="47"/>
      <c r="BO218" s="47"/>
      <c r="BP218" s="48">
        <f t="shared" si="45"/>
        <v>64</v>
      </c>
      <c r="BQ218" s="49">
        <f t="shared" si="47"/>
        <v>128</v>
      </c>
      <c r="BR218" s="50">
        <f t="shared" si="46"/>
        <v>0</v>
      </c>
      <c r="BS218" s="49">
        <f t="shared" si="48"/>
        <v>0</v>
      </c>
    </row>
    <row r="219" spans="1:71" s="9" customFormat="1" ht="17" x14ac:dyDescent="0.15">
      <c r="A219" s="34" t="s">
        <v>550</v>
      </c>
      <c r="B219" s="35" t="s">
        <v>551</v>
      </c>
      <c r="C219" s="98" t="s">
        <v>552</v>
      </c>
      <c r="D219" s="99" t="s">
        <v>546</v>
      </c>
      <c r="E219" s="37" t="s">
        <v>424</v>
      </c>
      <c r="F219" s="38"/>
      <c r="G219" s="38">
        <f>68+60</f>
        <v>128</v>
      </c>
      <c r="H219" s="38"/>
      <c r="I219" s="39">
        <v>128</v>
      </c>
      <c r="J219" s="40">
        <v>0</v>
      </c>
      <c r="K219" s="38"/>
      <c r="L219" s="41"/>
      <c r="M219" s="41"/>
      <c r="N219" s="41"/>
      <c r="O219" s="41"/>
      <c r="P219" s="41"/>
      <c r="Q219" s="41"/>
      <c r="R219" s="41"/>
      <c r="S219" s="41"/>
      <c r="T219" s="41"/>
      <c r="U219" s="100">
        <v>68</v>
      </c>
      <c r="V219" s="41"/>
      <c r="W219" s="41"/>
      <c r="X219" s="41"/>
      <c r="Y219" s="41">
        <v>60</v>
      </c>
      <c r="Z219" s="41"/>
      <c r="AA219" s="41"/>
      <c r="AB219" s="41"/>
      <c r="AC219" s="44">
        <f t="shared" si="50"/>
        <v>128</v>
      </c>
      <c r="AD219" s="44">
        <f t="shared" si="50"/>
        <v>0</v>
      </c>
      <c r="AE219" s="45" t="s">
        <v>116</v>
      </c>
      <c r="AF219" s="45">
        <v>26</v>
      </c>
      <c r="AG219" s="45"/>
      <c r="AH219" s="45">
        <v>18</v>
      </c>
      <c r="AI219" s="45"/>
      <c r="AJ219" s="45">
        <v>12</v>
      </c>
      <c r="AK219" s="45"/>
      <c r="AL219" s="45"/>
      <c r="AM219" s="45"/>
      <c r="AN219" s="45">
        <v>6</v>
      </c>
      <c r="AO219" s="45"/>
      <c r="AP219" s="45"/>
      <c r="AQ219" s="45"/>
      <c r="AR219" s="45"/>
      <c r="AS219" s="45"/>
      <c r="AT219" s="45"/>
      <c r="AU219" s="45"/>
      <c r="AV219" s="45"/>
      <c r="AW219" s="45"/>
      <c r="AX219" s="45"/>
      <c r="AY219" s="45"/>
      <c r="AZ219" s="85"/>
      <c r="BA219" s="47"/>
      <c r="BB219" s="47"/>
      <c r="BC219" s="47"/>
      <c r="BD219" s="47">
        <v>2</v>
      </c>
      <c r="BE219" s="47"/>
      <c r="BF219" s="47"/>
      <c r="BG219" s="47"/>
      <c r="BH219" s="47"/>
      <c r="BI219" s="47"/>
      <c r="BJ219" s="47"/>
      <c r="BK219" s="47"/>
      <c r="BL219" s="47"/>
      <c r="BM219" s="47"/>
      <c r="BN219" s="47"/>
      <c r="BO219" s="47"/>
      <c r="BP219" s="48">
        <f t="shared" si="45"/>
        <v>64</v>
      </c>
      <c r="BQ219" s="49">
        <f t="shared" si="47"/>
        <v>128</v>
      </c>
      <c r="BR219" s="50">
        <f t="shared" si="46"/>
        <v>0</v>
      </c>
      <c r="BS219" s="49">
        <f t="shared" si="48"/>
        <v>0</v>
      </c>
    </row>
    <row r="220" spans="1:71" s="9" customFormat="1" ht="17" x14ac:dyDescent="0.15">
      <c r="A220" s="34" t="s">
        <v>553</v>
      </c>
      <c r="B220" s="35" t="s">
        <v>554</v>
      </c>
      <c r="C220" s="98" t="s">
        <v>552</v>
      </c>
      <c r="D220" s="99" t="s">
        <v>555</v>
      </c>
      <c r="E220" s="37" t="s">
        <v>424</v>
      </c>
      <c r="F220" s="38"/>
      <c r="G220" s="38">
        <f>2+336</f>
        <v>338</v>
      </c>
      <c r="H220" s="38"/>
      <c r="I220" s="39">
        <v>338</v>
      </c>
      <c r="J220" s="40">
        <v>0</v>
      </c>
      <c r="K220" s="38"/>
      <c r="L220" s="41"/>
      <c r="M220" s="41"/>
      <c r="N220" s="41"/>
      <c r="O220" s="41"/>
      <c r="P220" s="41"/>
      <c r="Q220" s="41"/>
      <c r="R220" s="41"/>
      <c r="S220" s="41"/>
      <c r="T220" s="41"/>
      <c r="U220" s="100">
        <v>2</v>
      </c>
      <c r="V220" s="41"/>
      <c r="W220" s="41"/>
      <c r="X220" s="41"/>
      <c r="Y220" s="41">
        <v>336</v>
      </c>
      <c r="Z220" s="41"/>
      <c r="AA220" s="41"/>
      <c r="AB220" s="41"/>
      <c r="AC220" s="44">
        <f t="shared" si="50"/>
        <v>338</v>
      </c>
      <c r="AD220" s="44">
        <f t="shared" si="50"/>
        <v>0</v>
      </c>
      <c r="AE220" s="45" t="s">
        <v>116</v>
      </c>
      <c r="AF220" s="45"/>
      <c r="AG220" s="45"/>
      <c r="AH220" s="45">
        <v>168</v>
      </c>
      <c r="AI220" s="45"/>
      <c r="AJ220" s="45"/>
      <c r="AK220" s="45"/>
      <c r="AL220" s="45"/>
      <c r="AM220" s="45"/>
      <c r="AN220" s="45"/>
      <c r="AO220" s="45"/>
      <c r="AP220" s="45"/>
      <c r="AQ220" s="45"/>
      <c r="AR220" s="45"/>
      <c r="AS220" s="45"/>
      <c r="AT220" s="45"/>
      <c r="AU220" s="45"/>
      <c r="AV220" s="45"/>
      <c r="AW220" s="45"/>
      <c r="AX220" s="45"/>
      <c r="AY220" s="45"/>
      <c r="AZ220" s="85"/>
      <c r="BA220" s="47"/>
      <c r="BB220" s="47"/>
      <c r="BC220" s="47"/>
      <c r="BD220" s="47">
        <v>1</v>
      </c>
      <c r="BE220" s="47"/>
      <c r="BF220" s="47"/>
      <c r="BG220" s="47"/>
      <c r="BH220" s="47"/>
      <c r="BI220" s="47"/>
      <c r="BJ220" s="47"/>
      <c r="BK220" s="47"/>
      <c r="BL220" s="47"/>
      <c r="BM220" s="47"/>
      <c r="BN220" s="47"/>
      <c r="BO220" s="47"/>
      <c r="BP220" s="48">
        <f t="shared" si="45"/>
        <v>169</v>
      </c>
      <c r="BQ220" s="49">
        <f t="shared" si="47"/>
        <v>338</v>
      </c>
      <c r="BR220" s="50">
        <f t="shared" si="46"/>
        <v>0</v>
      </c>
      <c r="BS220" s="49">
        <f t="shared" si="48"/>
        <v>0</v>
      </c>
    </row>
    <row r="221" spans="1:71" s="9" customFormat="1" ht="17" x14ac:dyDescent="0.15">
      <c r="A221" s="34" t="s">
        <v>556</v>
      </c>
      <c r="B221" s="35" t="s">
        <v>557</v>
      </c>
      <c r="C221" s="98" t="s">
        <v>558</v>
      </c>
      <c r="D221" s="99" t="s">
        <v>546</v>
      </c>
      <c r="E221" s="37" t="s">
        <v>424</v>
      </c>
      <c r="F221" s="38"/>
      <c r="G221" s="38">
        <v>2</v>
      </c>
      <c r="H221" s="38"/>
      <c r="I221" s="39">
        <v>2</v>
      </c>
      <c r="J221" s="40">
        <v>0</v>
      </c>
      <c r="K221" s="38"/>
      <c r="L221" s="41"/>
      <c r="M221" s="41"/>
      <c r="N221" s="41"/>
      <c r="O221" s="41"/>
      <c r="P221" s="41"/>
      <c r="Q221" s="41"/>
      <c r="R221" s="41"/>
      <c r="S221" s="41"/>
      <c r="T221" s="41"/>
      <c r="U221" s="100">
        <v>2</v>
      </c>
      <c r="V221" s="41"/>
      <c r="W221" s="41"/>
      <c r="X221" s="41"/>
      <c r="Y221" s="41"/>
      <c r="Z221" s="41"/>
      <c r="AA221" s="41"/>
      <c r="AB221" s="41"/>
      <c r="AC221" s="44">
        <f t="shared" si="50"/>
        <v>2</v>
      </c>
      <c r="AD221" s="44">
        <f t="shared" si="50"/>
        <v>0</v>
      </c>
      <c r="AE221" s="45" t="s">
        <v>222</v>
      </c>
      <c r="AF221" s="45">
        <v>1</v>
      </c>
      <c r="AG221" s="45"/>
      <c r="AH221" s="45"/>
      <c r="AI221" s="45"/>
      <c r="AJ221" s="45"/>
      <c r="AK221" s="45"/>
      <c r="AL221" s="45"/>
      <c r="AM221" s="45"/>
      <c r="AN221" s="45"/>
      <c r="AO221" s="45"/>
      <c r="AP221" s="45"/>
      <c r="AQ221" s="45"/>
      <c r="AR221" s="45"/>
      <c r="AS221" s="45"/>
      <c r="AT221" s="45"/>
      <c r="AU221" s="45"/>
      <c r="AV221" s="45"/>
      <c r="AW221" s="45"/>
      <c r="AX221" s="45"/>
      <c r="AY221" s="45"/>
      <c r="AZ221" s="85"/>
      <c r="BA221" s="47"/>
      <c r="BB221" s="47"/>
      <c r="BC221" s="47"/>
      <c r="BD221" s="47"/>
      <c r="BE221" s="47"/>
      <c r="BF221" s="47"/>
      <c r="BG221" s="47"/>
      <c r="BH221" s="47"/>
      <c r="BI221" s="47"/>
      <c r="BJ221" s="47"/>
      <c r="BK221" s="47"/>
      <c r="BL221" s="47"/>
      <c r="BM221" s="47"/>
      <c r="BN221" s="47"/>
      <c r="BO221" s="47"/>
      <c r="BP221" s="48">
        <f t="shared" si="45"/>
        <v>1</v>
      </c>
      <c r="BQ221" s="49">
        <f t="shared" si="47"/>
        <v>2</v>
      </c>
      <c r="BR221" s="50">
        <f t="shared" si="46"/>
        <v>0</v>
      </c>
      <c r="BS221" s="49">
        <f t="shared" si="48"/>
        <v>0</v>
      </c>
    </row>
    <row r="222" spans="1:71" s="9" customFormat="1" ht="17" x14ac:dyDescent="0.15">
      <c r="A222" s="34" t="s">
        <v>559</v>
      </c>
      <c r="B222" s="35" t="s">
        <v>560</v>
      </c>
      <c r="C222" s="98" t="s">
        <v>561</v>
      </c>
      <c r="D222" s="99" t="s">
        <v>555</v>
      </c>
      <c r="E222" s="37" t="s">
        <v>424</v>
      </c>
      <c r="F222" s="38"/>
      <c r="G222" s="38">
        <v>8</v>
      </c>
      <c r="H222" s="38"/>
      <c r="I222" s="39">
        <v>8</v>
      </c>
      <c r="J222" s="40">
        <v>0</v>
      </c>
      <c r="K222" s="38"/>
      <c r="L222" s="41"/>
      <c r="M222" s="41"/>
      <c r="N222" s="41"/>
      <c r="O222" s="41"/>
      <c r="P222" s="41"/>
      <c r="Q222" s="41"/>
      <c r="R222" s="41"/>
      <c r="S222" s="41"/>
      <c r="T222" s="41"/>
      <c r="U222" s="100">
        <v>8</v>
      </c>
      <c r="V222" s="41"/>
      <c r="W222" s="41"/>
      <c r="X222" s="41"/>
      <c r="Y222" s="41"/>
      <c r="Z222" s="41"/>
      <c r="AA222" s="41"/>
      <c r="AB222" s="41"/>
      <c r="AC222" s="44">
        <f t="shared" si="50"/>
        <v>8</v>
      </c>
      <c r="AD222" s="44">
        <f t="shared" si="50"/>
        <v>0</v>
      </c>
      <c r="AE222" s="45" t="s">
        <v>222</v>
      </c>
      <c r="AF222" s="45">
        <v>4</v>
      </c>
      <c r="AG222" s="45"/>
      <c r="AH222" s="45"/>
      <c r="AI222" s="45"/>
      <c r="AJ222" s="45"/>
      <c r="AK222" s="45"/>
      <c r="AL222" s="45"/>
      <c r="AM222" s="45"/>
      <c r="AN222" s="45"/>
      <c r="AO222" s="45"/>
      <c r="AP222" s="45"/>
      <c r="AQ222" s="45"/>
      <c r="AR222" s="45"/>
      <c r="AS222" s="45"/>
      <c r="AT222" s="45"/>
      <c r="AU222" s="45"/>
      <c r="AV222" s="45"/>
      <c r="AW222" s="45"/>
      <c r="AX222" s="45"/>
      <c r="AY222" s="45"/>
      <c r="AZ222" s="85"/>
      <c r="BA222" s="47"/>
      <c r="BB222" s="47"/>
      <c r="BC222" s="47"/>
      <c r="BD222" s="47"/>
      <c r="BE222" s="47"/>
      <c r="BF222" s="47"/>
      <c r="BG222" s="47"/>
      <c r="BH222" s="47"/>
      <c r="BI222" s="47"/>
      <c r="BJ222" s="47"/>
      <c r="BK222" s="47"/>
      <c r="BL222" s="47"/>
      <c r="BM222" s="47"/>
      <c r="BN222" s="47"/>
      <c r="BO222" s="47"/>
      <c r="BP222" s="48">
        <f t="shared" si="45"/>
        <v>4</v>
      </c>
      <c r="BQ222" s="49">
        <f t="shared" si="47"/>
        <v>8</v>
      </c>
      <c r="BR222" s="50">
        <f t="shared" si="46"/>
        <v>0</v>
      </c>
      <c r="BS222" s="49">
        <f t="shared" si="48"/>
        <v>0</v>
      </c>
    </row>
    <row r="223" spans="1:71" s="9" customFormat="1" ht="17" x14ac:dyDescent="0.15">
      <c r="A223" s="34" t="s">
        <v>562</v>
      </c>
      <c r="B223" s="35" t="s">
        <v>548</v>
      </c>
      <c r="C223" s="98" t="s">
        <v>563</v>
      </c>
      <c r="D223" s="99" t="s">
        <v>546</v>
      </c>
      <c r="E223" s="37" t="s">
        <v>424</v>
      </c>
      <c r="F223" s="38"/>
      <c r="G223" s="38">
        <f>14+4</f>
        <v>18</v>
      </c>
      <c r="H223" s="38"/>
      <c r="I223" s="39">
        <v>18</v>
      </c>
      <c r="J223" s="40">
        <v>0</v>
      </c>
      <c r="K223" s="38"/>
      <c r="L223" s="41"/>
      <c r="M223" s="41"/>
      <c r="N223" s="41"/>
      <c r="O223" s="41"/>
      <c r="P223" s="41"/>
      <c r="Q223" s="41"/>
      <c r="R223" s="41"/>
      <c r="S223" s="41"/>
      <c r="T223" s="41"/>
      <c r="U223" s="100">
        <v>14</v>
      </c>
      <c r="V223" s="41"/>
      <c r="W223" s="41"/>
      <c r="X223" s="41"/>
      <c r="Y223" s="41">
        <v>4</v>
      </c>
      <c r="Z223" s="41"/>
      <c r="AA223" s="41"/>
      <c r="AB223" s="41"/>
      <c r="AC223" s="44">
        <f t="shared" si="50"/>
        <v>18</v>
      </c>
      <c r="AD223" s="44">
        <f t="shared" si="50"/>
        <v>0</v>
      </c>
      <c r="AE223" s="45" t="s">
        <v>116</v>
      </c>
      <c r="AF223" s="45">
        <v>1</v>
      </c>
      <c r="AG223" s="45"/>
      <c r="AH223" s="45">
        <v>2</v>
      </c>
      <c r="AI223" s="45"/>
      <c r="AJ223" s="45"/>
      <c r="AK223" s="45"/>
      <c r="AL223" s="45"/>
      <c r="AM223" s="45"/>
      <c r="AN223" s="45"/>
      <c r="AO223" s="45"/>
      <c r="AP223" s="45"/>
      <c r="AQ223" s="45"/>
      <c r="AR223" s="45"/>
      <c r="AS223" s="45"/>
      <c r="AT223" s="45"/>
      <c r="AU223" s="45"/>
      <c r="AV223" s="45"/>
      <c r="AW223" s="45"/>
      <c r="AX223" s="45"/>
      <c r="AY223" s="45"/>
      <c r="AZ223" s="85"/>
      <c r="BA223" s="47"/>
      <c r="BB223" s="47"/>
      <c r="BC223" s="47"/>
      <c r="BD223" s="47">
        <v>6</v>
      </c>
      <c r="BE223" s="47"/>
      <c r="BF223" s="47"/>
      <c r="BG223" s="47"/>
      <c r="BH223" s="47"/>
      <c r="BI223" s="47"/>
      <c r="BJ223" s="47"/>
      <c r="BK223" s="47"/>
      <c r="BL223" s="47"/>
      <c r="BM223" s="47"/>
      <c r="BN223" s="47"/>
      <c r="BO223" s="47"/>
      <c r="BP223" s="48">
        <f t="shared" si="45"/>
        <v>9</v>
      </c>
      <c r="BQ223" s="49">
        <f t="shared" si="47"/>
        <v>18</v>
      </c>
      <c r="BR223" s="50">
        <f t="shared" si="46"/>
        <v>0</v>
      </c>
      <c r="BS223" s="49">
        <f t="shared" si="48"/>
        <v>0</v>
      </c>
    </row>
    <row r="224" spans="1:71" s="9" customFormat="1" ht="17" x14ac:dyDescent="0.15">
      <c r="A224" s="34" t="s">
        <v>564</v>
      </c>
      <c r="B224" s="35" t="s">
        <v>551</v>
      </c>
      <c r="C224" s="98" t="s">
        <v>565</v>
      </c>
      <c r="D224" s="99" t="s">
        <v>546</v>
      </c>
      <c r="E224" s="37" t="s">
        <v>424</v>
      </c>
      <c r="F224" s="38"/>
      <c r="G224" s="38">
        <f>14+4</f>
        <v>18</v>
      </c>
      <c r="H224" s="38"/>
      <c r="I224" s="39">
        <v>18</v>
      </c>
      <c r="J224" s="40">
        <v>0</v>
      </c>
      <c r="K224" s="38"/>
      <c r="L224" s="41"/>
      <c r="M224" s="41"/>
      <c r="N224" s="41"/>
      <c r="O224" s="41"/>
      <c r="P224" s="41"/>
      <c r="Q224" s="41"/>
      <c r="R224" s="41"/>
      <c r="S224" s="41"/>
      <c r="T224" s="41"/>
      <c r="U224" s="100">
        <v>14</v>
      </c>
      <c r="V224" s="41"/>
      <c r="W224" s="41"/>
      <c r="X224" s="41"/>
      <c r="Y224" s="41">
        <v>4</v>
      </c>
      <c r="Z224" s="41"/>
      <c r="AA224" s="41"/>
      <c r="AB224" s="41"/>
      <c r="AC224" s="44">
        <f t="shared" si="50"/>
        <v>18</v>
      </c>
      <c r="AD224" s="44">
        <f t="shared" si="50"/>
        <v>0</v>
      </c>
      <c r="AE224" s="45" t="s">
        <v>116</v>
      </c>
      <c r="AF224" s="45">
        <v>1</v>
      </c>
      <c r="AG224" s="45"/>
      <c r="AH224" s="45">
        <v>2</v>
      </c>
      <c r="AI224" s="45"/>
      <c r="AJ224" s="45"/>
      <c r="AK224" s="45"/>
      <c r="AL224" s="45"/>
      <c r="AM224" s="45"/>
      <c r="AN224" s="45"/>
      <c r="AO224" s="45"/>
      <c r="AP224" s="45"/>
      <c r="AQ224" s="45"/>
      <c r="AR224" s="45"/>
      <c r="AS224" s="45"/>
      <c r="AT224" s="45"/>
      <c r="AU224" s="45"/>
      <c r="AV224" s="45"/>
      <c r="AW224" s="45"/>
      <c r="AX224" s="45"/>
      <c r="AY224" s="45"/>
      <c r="AZ224" s="85"/>
      <c r="BA224" s="47"/>
      <c r="BB224" s="47"/>
      <c r="BC224" s="47"/>
      <c r="BD224" s="47">
        <v>6</v>
      </c>
      <c r="BE224" s="47"/>
      <c r="BF224" s="47"/>
      <c r="BG224" s="47"/>
      <c r="BH224" s="47"/>
      <c r="BI224" s="47"/>
      <c r="BJ224" s="47"/>
      <c r="BK224" s="47"/>
      <c r="BL224" s="47"/>
      <c r="BM224" s="47"/>
      <c r="BN224" s="47"/>
      <c r="BO224" s="47"/>
      <c r="BP224" s="48">
        <f t="shared" si="45"/>
        <v>9</v>
      </c>
      <c r="BQ224" s="49">
        <f t="shared" si="47"/>
        <v>18</v>
      </c>
      <c r="BR224" s="50">
        <f t="shared" si="46"/>
        <v>0</v>
      </c>
      <c r="BS224" s="49">
        <f t="shared" si="48"/>
        <v>0</v>
      </c>
    </row>
    <row r="225" spans="1:71" s="9" customFormat="1" ht="17" x14ac:dyDescent="0.15">
      <c r="A225" s="34" t="s">
        <v>566</v>
      </c>
      <c r="B225" s="35" t="s">
        <v>548</v>
      </c>
      <c r="C225" s="98" t="s">
        <v>567</v>
      </c>
      <c r="D225" s="99" t="s">
        <v>546</v>
      </c>
      <c r="E225" s="37" t="s">
        <v>424</v>
      </c>
      <c r="F225" s="38"/>
      <c r="G225" s="38">
        <v>14</v>
      </c>
      <c r="H225" s="38"/>
      <c r="I225" s="39">
        <v>14</v>
      </c>
      <c r="J225" s="40">
        <v>0</v>
      </c>
      <c r="K225" s="38"/>
      <c r="L225" s="41"/>
      <c r="M225" s="41"/>
      <c r="N225" s="41"/>
      <c r="O225" s="41"/>
      <c r="P225" s="41"/>
      <c r="Q225" s="41"/>
      <c r="R225" s="41"/>
      <c r="S225" s="41"/>
      <c r="T225" s="41"/>
      <c r="U225" s="100">
        <v>14</v>
      </c>
      <c r="V225" s="41"/>
      <c r="W225" s="41"/>
      <c r="X225" s="41"/>
      <c r="Y225" s="41"/>
      <c r="Z225" s="41"/>
      <c r="AA225" s="41"/>
      <c r="AB225" s="41"/>
      <c r="AC225" s="44">
        <f t="shared" si="50"/>
        <v>14</v>
      </c>
      <c r="AD225" s="44">
        <f t="shared" si="50"/>
        <v>0</v>
      </c>
      <c r="AE225" s="45" t="s">
        <v>222</v>
      </c>
      <c r="AF225" s="45">
        <v>3</v>
      </c>
      <c r="AG225" s="45"/>
      <c r="AH225" s="45"/>
      <c r="AI225" s="45"/>
      <c r="AJ225" s="45"/>
      <c r="AK225" s="45"/>
      <c r="AL225" s="45"/>
      <c r="AM225" s="45"/>
      <c r="AN225" s="45"/>
      <c r="AO225" s="45"/>
      <c r="AP225" s="45"/>
      <c r="AQ225" s="45"/>
      <c r="AR225" s="45"/>
      <c r="AS225" s="45"/>
      <c r="AT225" s="45"/>
      <c r="AU225" s="45"/>
      <c r="AV225" s="45"/>
      <c r="AW225" s="45"/>
      <c r="AX225" s="45"/>
      <c r="AY225" s="45"/>
      <c r="AZ225" s="85"/>
      <c r="BA225" s="47"/>
      <c r="BB225" s="47"/>
      <c r="BC225" s="47"/>
      <c r="BD225" s="47">
        <v>4</v>
      </c>
      <c r="BE225" s="47"/>
      <c r="BF225" s="47"/>
      <c r="BG225" s="47"/>
      <c r="BH225" s="47"/>
      <c r="BI225" s="47"/>
      <c r="BJ225" s="47"/>
      <c r="BK225" s="47"/>
      <c r="BL225" s="47"/>
      <c r="BM225" s="47"/>
      <c r="BN225" s="47"/>
      <c r="BO225" s="47"/>
      <c r="BP225" s="48">
        <f t="shared" si="45"/>
        <v>7</v>
      </c>
      <c r="BQ225" s="49">
        <f t="shared" si="47"/>
        <v>14</v>
      </c>
      <c r="BR225" s="50">
        <f t="shared" si="46"/>
        <v>0</v>
      </c>
      <c r="BS225" s="49">
        <f t="shared" si="48"/>
        <v>0</v>
      </c>
    </row>
    <row r="226" spans="1:71" s="9" customFormat="1" ht="17" x14ac:dyDescent="0.15">
      <c r="A226" s="34" t="s">
        <v>568</v>
      </c>
      <c r="B226" s="35" t="s">
        <v>551</v>
      </c>
      <c r="C226" s="98" t="s">
        <v>569</v>
      </c>
      <c r="D226" s="99" t="s">
        <v>546</v>
      </c>
      <c r="E226" s="37" t="s">
        <v>424</v>
      </c>
      <c r="F226" s="38"/>
      <c r="G226" s="38">
        <v>14</v>
      </c>
      <c r="H226" s="38"/>
      <c r="I226" s="39">
        <v>14</v>
      </c>
      <c r="J226" s="40">
        <v>0</v>
      </c>
      <c r="K226" s="38"/>
      <c r="L226" s="41"/>
      <c r="M226" s="41"/>
      <c r="N226" s="41"/>
      <c r="O226" s="41"/>
      <c r="P226" s="41"/>
      <c r="Q226" s="41"/>
      <c r="R226" s="41"/>
      <c r="S226" s="41"/>
      <c r="T226" s="41"/>
      <c r="U226" s="100">
        <v>14</v>
      </c>
      <c r="V226" s="41"/>
      <c r="W226" s="41"/>
      <c r="X226" s="41"/>
      <c r="Y226" s="41"/>
      <c r="Z226" s="41"/>
      <c r="AA226" s="41"/>
      <c r="AB226" s="41"/>
      <c r="AC226" s="44">
        <f t="shared" si="50"/>
        <v>14</v>
      </c>
      <c r="AD226" s="44">
        <f t="shared" si="50"/>
        <v>0</v>
      </c>
      <c r="AE226" s="45" t="s">
        <v>222</v>
      </c>
      <c r="AF226" s="45">
        <v>3</v>
      </c>
      <c r="AG226" s="45"/>
      <c r="AH226" s="45"/>
      <c r="AI226" s="45"/>
      <c r="AJ226" s="45"/>
      <c r="AK226" s="45"/>
      <c r="AL226" s="45"/>
      <c r="AM226" s="45"/>
      <c r="AN226" s="45"/>
      <c r="AO226" s="45"/>
      <c r="AP226" s="45"/>
      <c r="AQ226" s="45"/>
      <c r="AR226" s="45"/>
      <c r="AS226" s="45"/>
      <c r="AT226" s="45"/>
      <c r="AU226" s="45"/>
      <c r="AV226" s="45"/>
      <c r="AW226" s="45"/>
      <c r="AX226" s="45"/>
      <c r="AY226" s="45"/>
      <c r="AZ226" s="85"/>
      <c r="BA226" s="47"/>
      <c r="BB226" s="47"/>
      <c r="BC226" s="47"/>
      <c r="BD226" s="47">
        <v>4</v>
      </c>
      <c r="BE226" s="47"/>
      <c r="BF226" s="47"/>
      <c r="BG226" s="47"/>
      <c r="BH226" s="47"/>
      <c r="BI226" s="47"/>
      <c r="BJ226" s="47"/>
      <c r="BK226" s="47"/>
      <c r="BL226" s="47"/>
      <c r="BM226" s="47"/>
      <c r="BN226" s="47"/>
      <c r="BO226" s="47"/>
      <c r="BP226" s="48">
        <f t="shared" si="45"/>
        <v>7</v>
      </c>
      <c r="BQ226" s="49">
        <f t="shared" si="47"/>
        <v>14</v>
      </c>
      <c r="BR226" s="50">
        <f t="shared" si="46"/>
        <v>0</v>
      </c>
      <c r="BS226" s="49">
        <f t="shared" si="48"/>
        <v>0</v>
      </c>
    </row>
    <row r="227" spans="1:71" s="9" customFormat="1" ht="17" x14ac:dyDescent="0.15">
      <c r="A227" s="34" t="s">
        <v>570</v>
      </c>
      <c r="B227" s="35" t="s">
        <v>571</v>
      </c>
      <c r="C227" s="98" t="s">
        <v>572</v>
      </c>
      <c r="D227" s="99" t="s">
        <v>546</v>
      </c>
      <c r="E227" s="37" t="s">
        <v>424</v>
      </c>
      <c r="F227" s="38"/>
      <c r="G227" s="38">
        <f>32+20</f>
        <v>52</v>
      </c>
      <c r="H227" s="38"/>
      <c r="I227" s="39">
        <v>52</v>
      </c>
      <c r="J227" s="40">
        <v>0</v>
      </c>
      <c r="K227" s="38"/>
      <c r="L227" s="41"/>
      <c r="M227" s="41"/>
      <c r="N227" s="41"/>
      <c r="O227" s="41"/>
      <c r="P227" s="41"/>
      <c r="Q227" s="41"/>
      <c r="R227" s="41"/>
      <c r="S227" s="41"/>
      <c r="T227" s="41"/>
      <c r="U227" s="100">
        <v>32</v>
      </c>
      <c r="V227" s="41"/>
      <c r="W227" s="41"/>
      <c r="X227" s="41"/>
      <c r="Y227" s="41">
        <v>20</v>
      </c>
      <c r="Z227" s="41"/>
      <c r="AA227" s="41"/>
      <c r="AB227" s="41"/>
      <c r="AC227" s="44">
        <f t="shared" si="50"/>
        <v>52</v>
      </c>
      <c r="AD227" s="44">
        <f t="shared" si="50"/>
        <v>0</v>
      </c>
      <c r="AE227" s="45" t="s">
        <v>116</v>
      </c>
      <c r="AF227" s="45">
        <v>6</v>
      </c>
      <c r="AG227" s="45"/>
      <c r="AH227" s="45">
        <v>4</v>
      </c>
      <c r="AI227" s="45"/>
      <c r="AJ227" s="45">
        <v>6</v>
      </c>
      <c r="AK227" s="45"/>
      <c r="AL227" s="45"/>
      <c r="AM227" s="45"/>
      <c r="AN227" s="45">
        <v>6</v>
      </c>
      <c r="AO227" s="45"/>
      <c r="AP227" s="45"/>
      <c r="AQ227" s="45"/>
      <c r="AR227" s="45"/>
      <c r="AS227" s="45"/>
      <c r="AT227" s="45"/>
      <c r="AU227" s="45"/>
      <c r="AV227" s="45"/>
      <c r="AW227" s="45"/>
      <c r="AX227" s="45"/>
      <c r="AY227" s="45"/>
      <c r="AZ227" s="85"/>
      <c r="BA227" s="47"/>
      <c r="BB227" s="47"/>
      <c r="BC227" s="47"/>
      <c r="BD227" s="47">
        <v>4</v>
      </c>
      <c r="BE227" s="47"/>
      <c r="BF227" s="47"/>
      <c r="BG227" s="47"/>
      <c r="BH227" s="47"/>
      <c r="BI227" s="47"/>
      <c r="BJ227" s="47"/>
      <c r="BK227" s="47"/>
      <c r="BL227" s="47"/>
      <c r="BM227" s="47"/>
      <c r="BN227" s="47"/>
      <c r="BO227" s="47"/>
      <c r="BP227" s="48">
        <f t="shared" si="45"/>
        <v>26</v>
      </c>
      <c r="BQ227" s="49">
        <f t="shared" si="47"/>
        <v>52</v>
      </c>
      <c r="BR227" s="50">
        <f t="shared" si="46"/>
        <v>0</v>
      </c>
      <c r="BS227" s="49">
        <f t="shared" si="48"/>
        <v>0</v>
      </c>
    </row>
    <row r="228" spans="1:71" s="9" customFormat="1" ht="17" x14ac:dyDescent="0.15">
      <c r="A228" s="34" t="s">
        <v>573</v>
      </c>
      <c r="B228" s="35" t="s">
        <v>574</v>
      </c>
      <c r="C228" s="98" t="s">
        <v>575</v>
      </c>
      <c r="D228" s="99" t="s">
        <v>576</v>
      </c>
      <c r="E228" s="37" t="s">
        <v>424</v>
      </c>
      <c r="F228" s="38"/>
      <c r="G228" s="38">
        <v>392</v>
      </c>
      <c r="H228" s="38"/>
      <c r="I228" s="39">
        <v>296</v>
      </c>
      <c r="J228" s="40">
        <v>0</v>
      </c>
      <c r="K228" s="38"/>
      <c r="L228" s="41"/>
      <c r="M228" s="41"/>
      <c r="N228" s="41"/>
      <c r="O228" s="41"/>
      <c r="P228" s="41"/>
      <c r="Q228" s="41"/>
      <c r="R228" s="41"/>
      <c r="S228" s="41"/>
      <c r="T228" s="41"/>
      <c r="U228" s="100">
        <v>160</v>
      </c>
      <c r="V228" s="41"/>
      <c r="W228" s="41"/>
      <c r="X228" s="41"/>
      <c r="Y228" s="41">
        <v>136</v>
      </c>
      <c r="Z228" s="41"/>
      <c r="AA228" s="41">
        <v>96</v>
      </c>
      <c r="AB228" s="41"/>
      <c r="AC228" s="44">
        <f t="shared" si="50"/>
        <v>392</v>
      </c>
      <c r="AD228" s="44">
        <f t="shared" si="50"/>
        <v>0</v>
      </c>
      <c r="AE228" s="45" t="s">
        <v>54</v>
      </c>
      <c r="AF228" s="45">
        <v>16</v>
      </c>
      <c r="AG228" s="45"/>
      <c r="AH228" s="45">
        <v>52</v>
      </c>
      <c r="AI228" s="45"/>
      <c r="AJ228" s="45">
        <v>16</v>
      </c>
      <c r="AK228" s="45"/>
      <c r="AL228" s="45"/>
      <c r="AM228" s="45"/>
      <c r="AN228" s="45">
        <v>16</v>
      </c>
      <c r="AO228" s="45"/>
      <c r="AP228" s="45"/>
      <c r="AQ228" s="45"/>
      <c r="AR228" s="45">
        <v>16</v>
      </c>
      <c r="AS228" s="45"/>
      <c r="AT228" s="45">
        <v>16</v>
      </c>
      <c r="AU228" s="45"/>
      <c r="AV228" s="45">
        <v>16</v>
      </c>
      <c r="AW228" s="45"/>
      <c r="AX228" s="45">
        <v>16</v>
      </c>
      <c r="AY228" s="45"/>
      <c r="AZ228" s="85">
        <v>16</v>
      </c>
      <c r="BA228" s="47"/>
      <c r="BB228" s="47">
        <v>16</v>
      </c>
      <c r="BC228" s="47"/>
      <c r="BD228" s="47"/>
      <c r="BE228" s="47"/>
      <c r="BF228" s="47"/>
      <c r="BG228" s="47"/>
      <c r="BH228" s="47"/>
      <c r="BI228" s="47"/>
      <c r="BJ228" s="47"/>
      <c r="BK228" s="47"/>
      <c r="BL228" s="47"/>
      <c r="BM228" s="47"/>
      <c r="BN228" s="47"/>
      <c r="BO228" s="47"/>
      <c r="BP228" s="48">
        <f t="shared" si="45"/>
        <v>196</v>
      </c>
      <c r="BQ228" s="49">
        <f t="shared" si="47"/>
        <v>392</v>
      </c>
      <c r="BR228" s="50">
        <f t="shared" si="46"/>
        <v>0</v>
      </c>
      <c r="BS228" s="49">
        <f t="shared" si="48"/>
        <v>0</v>
      </c>
    </row>
    <row r="229" spans="1:71" s="9" customFormat="1" ht="17" x14ac:dyDescent="0.15">
      <c r="A229" s="34" t="s">
        <v>577</v>
      </c>
      <c r="B229" s="35" t="s">
        <v>578</v>
      </c>
      <c r="C229" s="98" t="s">
        <v>579</v>
      </c>
      <c r="D229" s="99" t="s">
        <v>576</v>
      </c>
      <c r="E229" s="37" t="s">
        <v>424</v>
      </c>
      <c r="F229" s="38"/>
      <c r="G229" s="38">
        <v>392</v>
      </c>
      <c r="H229" s="38"/>
      <c r="I229" s="39">
        <v>296</v>
      </c>
      <c r="J229" s="40">
        <v>0</v>
      </c>
      <c r="K229" s="38"/>
      <c r="L229" s="41"/>
      <c r="M229" s="41"/>
      <c r="N229" s="41"/>
      <c r="O229" s="41"/>
      <c r="P229" s="41"/>
      <c r="Q229" s="41"/>
      <c r="R229" s="41"/>
      <c r="S229" s="41"/>
      <c r="T229" s="41"/>
      <c r="U229" s="100">
        <v>160</v>
      </c>
      <c r="V229" s="41"/>
      <c r="W229" s="41"/>
      <c r="X229" s="41"/>
      <c r="Y229" s="41">
        <v>136</v>
      </c>
      <c r="Z229" s="41"/>
      <c r="AA229" s="41">
        <v>96</v>
      </c>
      <c r="AB229" s="41"/>
      <c r="AC229" s="44">
        <f t="shared" si="50"/>
        <v>392</v>
      </c>
      <c r="AD229" s="44">
        <f t="shared" si="50"/>
        <v>0</v>
      </c>
      <c r="AE229" s="45" t="s">
        <v>54</v>
      </c>
      <c r="AF229" s="45">
        <v>16</v>
      </c>
      <c r="AG229" s="45"/>
      <c r="AH229" s="45">
        <v>52</v>
      </c>
      <c r="AI229" s="45"/>
      <c r="AJ229" s="45">
        <v>16</v>
      </c>
      <c r="AK229" s="45"/>
      <c r="AL229" s="45"/>
      <c r="AM229" s="45"/>
      <c r="AN229" s="45">
        <v>16</v>
      </c>
      <c r="AO229" s="45"/>
      <c r="AP229" s="45"/>
      <c r="AQ229" s="45"/>
      <c r="AR229" s="45">
        <v>16</v>
      </c>
      <c r="AS229" s="45"/>
      <c r="AT229" s="45">
        <v>16</v>
      </c>
      <c r="AU229" s="45"/>
      <c r="AV229" s="45">
        <v>16</v>
      </c>
      <c r="AW229" s="45"/>
      <c r="AX229" s="45">
        <v>16</v>
      </c>
      <c r="AY229" s="45"/>
      <c r="AZ229" s="85">
        <v>16</v>
      </c>
      <c r="BA229" s="47"/>
      <c r="BB229" s="47">
        <v>16</v>
      </c>
      <c r="BC229" s="47"/>
      <c r="BD229" s="47"/>
      <c r="BE229" s="47"/>
      <c r="BF229" s="47"/>
      <c r="BG229" s="47"/>
      <c r="BH229" s="47"/>
      <c r="BI229" s="47"/>
      <c r="BJ229" s="47"/>
      <c r="BK229" s="47"/>
      <c r="BL229" s="47"/>
      <c r="BM229" s="47"/>
      <c r="BN229" s="47"/>
      <c r="BO229" s="47"/>
      <c r="BP229" s="48">
        <f t="shared" si="45"/>
        <v>196</v>
      </c>
      <c r="BQ229" s="49">
        <f t="shared" si="47"/>
        <v>392</v>
      </c>
      <c r="BR229" s="50">
        <f t="shared" si="46"/>
        <v>0</v>
      </c>
      <c r="BS229" s="49">
        <f t="shared" si="48"/>
        <v>0</v>
      </c>
    </row>
    <row r="230" spans="1:71" s="9" customFormat="1" ht="17" x14ac:dyDescent="0.15">
      <c r="A230" s="34" t="s">
        <v>580</v>
      </c>
      <c r="B230" s="35" t="s">
        <v>581</v>
      </c>
      <c r="C230" s="98" t="s">
        <v>582</v>
      </c>
      <c r="D230" s="99" t="s">
        <v>52</v>
      </c>
      <c r="E230" s="37" t="s">
        <v>424</v>
      </c>
      <c r="F230" s="38"/>
      <c r="G230" s="38">
        <v>48</v>
      </c>
      <c r="H230" s="38"/>
      <c r="I230" s="39">
        <v>36</v>
      </c>
      <c r="J230" s="40">
        <v>0</v>
      </c>
      <c r="K230" s="38"/>
      <c r="L230" s="41"/>
      <c r="M230" s="41"/>
      <c r="N230" s="41"/>
      <c r="O230" s="41"/>
      <c r="P230" s="41"/>
      <c r="Q230" s="41"/>
      <c r="R230" s="41"/>
      <c r="S230" s="41"/>
      <c r="T230" s="41"/>
      <c r="U230" s="100">
        <v>20</v>
      </c>
      <c r="V230" s="41"/>
      <c r="W230" s="41"/>
      <c r="X230" s="41"/>
      <c r="Y230" s="41">
        <v>16</v>
      </c>
      <c r="Z230" s="41"/>
      <c r="AA230" s="41">
        <v>12</v>
      </c>
      <c r="AB230" s="41"/>
      <c r="AC230" s="44">
        <f t="shared" si="50"/>
        <v>48</v>
      </c>
      <c r="AD230" s="44">
        <f t="shared" si="50"/>
        <v>0</v>
      </c>
      <c r="AE230" s="45" t="s">
        <v>54</v>
      </c>
      <c r="AF230" s="45">
        <v>2</v>
      </c>
      <c r="AG230" s="45"/>
      <c r="AH230" s="45">
        <v>6</v>
      </c>
      <c r="AI230" s="45"/>
      <c r="AJ230" s="45">
        <v>2</v>
      </c>
      <c r="AK230" s="45"/>
      <c r="AL230" s="45"/>
      <c r="AM230" s="45"/>
      <c r="AN230" s="45">
        <v>2</v>
      </c>
      <c r="AO230" s="45"/>
      <c r="AP230" s="45"/>
      <c r="AQ230" s="45"/>
      <c r="AR230" s="45">
        <v>2</v>
      </c>
      <c r="AS230" s="45"/>
      <c r="AT230" s="45">
        <v>2</v>
      </c>
      <c r="AU230" s="45"/>
      <c r="AV230" s="45">
        <v>2</v>
      </c>
      <c r="AW230" s="45"/>
      <c r="AX230" s="45">
        <v>2</v>
      </c>
      <c r="AY230" s="45"/>
      <c r="AZ230" s="85">
        <v>2</v>
      </c>
      <c r="BA230" s="47"/>
      <c r="BB230" s="47">
        <v>2</v>
      </c>
      <c r="BC230" s="47"/>
      <c r="BD230" s="47"/>
      <c r="BE230" s="47"/>
      <c r="BF230" s="47"/>
      <c r="BG230" s="47"/>
      <c r="BH230" s="47"/>
      <c r="BI230" s="47"/>
      <c r="BJ230" s="47"/>
      <c r="BK230" s="47"/>
      <c r="BL230" s="47"/>
      <c r="BM230" s="47"/>
      <c r="BN230" s="47"/>
      <c r="BO230" s="47"/>
      <c r="BP230" s="48">
        <f t="shared" si="45"/>
        <v>24</v>
      </c>
      <c r="BQ230" s="49">
        <f t="shared" si="47"/>
        <v>48</v>
      </c>
      <c r="BR230" s="50">
        <f t="shared" si="46"/>
        <v>0</v>
      </c>
      <c r="BS230" s="49">
        <f t="shared" si="48"/>
        <v>0</v>
      </c>
    </row>
    <row r="231" spans="1:71" s="9" customFormat="1" ht="51" x14ac:dyDescent="0.15">
      <c r="A231" s="34" t="s">
        <v>583</v>
      </c>
      <c r="B231" s="35" t="s">
        <v>581</v>
      </c>
      <c r="C231" s="101" t="s">
        <v>584</v>
      </c>
      <c r="D231" s="99" t="s">
        <v>52</v>
      </c>
      <c r="E231" s="37" t="s">
        <v>424</v>
      </c>
      <c r="F231" s="38"/>
      <c r="G231" s="38">
        <v>392</v>
      </c>
      <c r="H231" s="38"/>
      <c r="I231" s="39">
        <v>296</v>
      </c>
      <c r="J231" s="40">
        <v>0</v>
      </c>
      <c r="K231" s="38"/>
      <c r="L231" s="41"/>
      <c r="M231" s="41"/>
      <c r="N231" s="41"/>
      <c r="O231" s="41"/>
      <c r="P231" s="41"/>
      <c r="Q231" s="41"/>
      <c r="R231" s="41"/>
      <c r="S231" s="41"/>
      <c r="T231" s="41"/>
      <c r="U231" s="100">
        <v>160</v>
      </c>
      <c r="V231" s="41"/>
      <c r="W231" s="41"/>
      <c r="X231" s="41"/>
      <c r="Y231" s="41">
        <v>136</v>
      </c>
      <c r="Z231" s="41"/>
      <c r="AA231" s="41">
        <v>96</v>
      </c>
      <c r="AB231" s="41"/>
      <c r="AC231" s="44">
        <f t="shared" si="50"/>
        <v>392</v>
      </c>
      <c r="AD231" s="44">
        <f t="shared" si="50"/>
        <v>0</v>
      </c>
      <c r="AE231" s="45" t="s">
        <v>54</v>
      </c>
      <c r="AF231" s="45">
        <v>16</v>
      </c>
      <c r="AG231" s="45"/>
      <c r="AH231" s="45">
        <v>52</v>
      </c>
      <c r="AI231" s="45"/>
      <c r="AJ231" s="45">
        <v>16</v>
      </c>
      <c r="AK231" s="45"/>
      <c r="AL231" s="45"/>
      <c r="AM231" s="45"/>
      <c r="AN231" s="45">
        <v>16</v>
      </c>
      <c r="AO231" s="45"/>
      <c r="AP231" s="45"/>
      <c r="AQ231" s="45"/>
      <c r="AR231" s="45">
        <v>16</v>
      </c>
      <c r="AS231" s="45"/>
      <c r="AT231" s="45">
        <v>16</v>
      </c>
      <c r="AU231" s="45"/>
      <c r="AV231" s="45">
        <v>16</v>
      </c>
      <c r="AW231" s="45"/>
      <c r="AX231" s="45">
        <v>16</v>
      </c>
      <c r="AY231" s="45"/>
      <c r="AZ231" s="85">
        <v>16</v>
      </c>
      <c r="BA231" s="47"/>
      <c r="BB231" s="47">
        <v>16</v>
      </c>
      <c r="BC231" s="47"/>
      <c r="BD231" s="47"/>
      <c r="BE231" s="47"/>
      <c r="BF231" s="47"/>
      <c r="BG231" s="47"/>
      <c r="BH231" s="47"/>
      <c r="BI231" s="47"/>
      <c r="BJ231" s="47"/>
      <c r="BK231" s="47"/>
      <c r="BL231" s="47"/>
      <c r="BM231" s="47"/>
      <c r="BN231" s="47"/>
      <c r="BO231" s="47"/>
      <c r="BP231" s="48">
        <f t="shared" si="45"/>
        <v>196</v>
      </c>
      <c r="BQ231" s="49">
        <f t="shared" si="47"/>
        <v>392</v>
      </c>
      <c r="BR231" s="50">
        <f t="shared" si="46"/>
        <v>0</v>
      </c>
      <c r="BS231" s="49">
        <f t="shared" si="48"/>
        <v>0</v>
      </c>
    </row>
    <row r="232" spans="1:71" s="9" customFormat="1" ht="17" x14ac:dyDescent="0.15">
      <c r="A232" s="34" t="s">
        <v>585</v>
      </c>
      <c r="B232" s="69" t="s">
        <v>586</v>
      </c>
      <c r="C232" s="98" t="s">
        <v>587</v>
      </c>
      <c r="D232" s="99" t="s">
        <v>588</v>
      </c>
      <c r="E232" s="37" t="s">
        <v>424</v>
      </c>
      <c r="F232" s="38"/>
      <c r="G232" s="38">
        <v>392</v>
      </c>
      <c r="H232" s="38"/>
      <c r="I232" s="39">
        <v>296</v>
      </c>
      <c r="J232" s="40">
        <v>0</v>
      </c>
      <c r="K232" s="38"/>
      <c r="L232" s="41"/>
      <c r="M232" s="41"/>
      <c r="N232" s="41"/>
      <c r="O232" s="41"/>
      <c r="P232" s="41"/>
      <c r="Q232" s="41"/>
      <c r="R232" s="41"/>
      <c r="S232" s="41"/>
      <c r="T232" s="41"/>
      <c r="U232" s="100">
        <v>160</v>
      </c>
      <c r="V232" s="41"/>
      <c r="W232" s="41"/>
      <c r="X232" s="41"/>
      <c r="Y232" s="41">
        <v>136</v>
      </c>
      <c r="Z232" s="41"/>
      <c r="AA232" s="41">
        <v>96</v>
      </c>
      <c r="AB232" s="41"/>
      <c r="AC232" s="44">
        <f t="shared" si="50"/>
        <v>392</v>
      </c>
      <c r="AD232" s="44">
        <f t="shared" si="50"/>
        <v>0</v>
      </c>
      <c r="AE232" s="45" t="s">
        <v>54</v>
      </c>
      <c r="AF232" s="45">
        <v>16</v>
      </c>
      <c r="AG232" s="45"/>
      <c r="AH232" s="45">
        <v>52</v>
      </c>
      <c r="AI232" s="45"/>
      <c r="AJ232" s="45">
        <v>16</v>
      </c>
      <c r="AK232" s="45"/>
      <c r="AL232" s="45"/>
      <c r="AM232" s="45"/>
      <c r="AN232" s="45">
        <v>16</v>
      </c>
      <c r="AO232" s="45"/>
      <c r="AP232" s="45"/>
      <c r="AQ232" s="45"/>
      <c r="AR232" s="45">
        <v>16</v>
      </c>
      <c r="AS232" s="45"/>
      <c r="AT232" s="45">
        <v>16</v>
      </c>
      <c r="AU232" s="45"/>
      <c r="AV232" s="45">
        <v>16</v>
      </c>
      <c r="AW232" s="45"/>
      <c r="AX232" s="45">
        <v>16</v>
      </c>
      <c r="AY232" s="45"/>
      <c r="AZ232" s="85">
        <v>16</v>
      </c>
      <c r="BA232" s="47"/>
      <c r="BB232" s="47">
        <v>16</v>
      </c>
      <c r="BC232" s="47"/>
      <c r="BD232" s="47"/>
      <c r="BE232" s="47"/>
      <c r="BF232" s="47"/>
      <c r="BG232" s="47"/>
      <c r="BH232" s="47"/>
      <c r="BI232" s="47"/>
      <c r="BJ232" s="47"/>
      <c r="BK232" s="47"/>
      <c r="BL232" s="47"/>
      <c r="BM232" s="47"/>
      <c r="BN232" s="47"/>
      <c r="BO232" s="47"/>
      <c r="BP232" s="48">
        <f t="shared" si="45"/>
        <v>196</v>
      </c>
      <c r="BQ232" s="49">
        <f t="shared" si="47"/>
        <v>392</v>
      </c>
      <c r="BR232" s="50">
        <f t="shared" si="46"/>
        <v>0</v>
      </c>
      <c r="BS232" s="49">
        <f t="shared" si="48"/>
        <v>0</v>
      </c>
    </row>
    <row r="233" spans="1:71" s="9" customFormat="1" ht="17" x14ac:dyDescent="0.15">
      <c r="A233" s="34" t="s">
        <v>589</v>
      </c>
      <c r="B233" s="69" t="s">
        <v>590</v>
      </c>
      <c r="C233" s="102" t="s">
        <v>591</v>
      </c>
      <c r="D233" s="99" t="s">
        <v>592</v>
      </c>
      <c r="E233" s="37" t="s">
        <v>424</v>
      </c>
      <c r="F233" s="38"/>
      <c r="G233" s="38">
        <v>2</v>
      </c>
      <c r="H233" s="38"/>
      <c r="I233" s="39">
        <v>2</v>
      </c>
      <c r="J233" s="40">
        <v>0</v>
      </c>
      <c r="K233" s="38"/>
      <c r="L233" s="41"/>
      <c r="M233" s="41"/>
      <c r="N233" s="41"/>
      <c r="O233" s="41"/>
      <c r="P233" s="41"/>
      <c r="Q233" s="41"/>
      <c r="R233" s="41"/>
      <c r="S233" s="41"/>
      <c r="T233" s="41"/>
      <c r="U233" s="100">
        <v>2</v>
      </c>
      <c r="V233" s="41"/>
      <c r="W233" s="41"/>
      <c r="X233" s="41"/>
      <c r="Y233" s="41"/>
      <c r="Z233" s="41"/>
      <c r="AA233" s="41"/>
      <c r="AB233" s="41"/>
      <c r="AC233" s="44">
        <f t="shared" si="50"/>
        <v>2</v>
      </c>
      <c r="AD233" s="44">
        <f t="shared" si="50"/>
        <v>0</v>
      </c>
      <c r="AE233" s="45" t="s">
        <v>222</v>
      </c>
      <c r="AF233" s="45"/>
      <c r="AG233" s="45"/>
      <c r="AH233" s="45"/>
      <c r="AI233" s="45"/>
      <c r="AJ233" s="45"/>
      <c r="AK233" s="45"/>
      <c r="AL233" s="45"/>
      <c r="AM233" s="45"/>
      <c r="AN233" s="45"/>
      <c r="AO233" s="45"/>
      <c r="AP233" s="45"/>
      <c r="AQ233" s="45"/>
      <c r="AR233" s="45"/>
      <c r="AS233" s="45"/>
      <c r="AT233" s="45"/>
      <c r="AU233" s="45"/>
      <c r="AV233" s="45"/>
      <c r="AW233" s="45"/>
      <c r="AX233" s="45"/>
      <c r="AY233" s="45"/>
      <c r="AZ233" s="85"/>
      <c r="BA233" s="47"/>
      <c r="BB233" s="47"/>
      <c r="BC233" s="47"/>
      <c r="BD233" s="47">
        <v>1</v>
      </c>
      <c r="BE233" s="47"/>
      <c r="BF233" s="47"/>
      <c r="BG233" s="47"/>
      <c r="BH233" s="47"/>
      <c r="BI233" s="47"/>
      <c r="BJ233" s="47"/>
      <c r="BK233" s="47"/>
      <c r="BL233" s="47"/>
      <c r="BM233" s="47"/>
      <c r="BN233" s="47"/>
      <c r="BO233" s="47"/>
      <c r="BP233" s="48">
        <f t="shared" si="45"/>
        <v>1</v>
      </c>
      <c r="BQ233" s="49">
        <f t="shared" si="47"/>
        <v>2</v>
      </c>
      <c r="BR233" s="50">
        <f t="shared" si="46"/>
        <v>0</v>
      </c>
      <c r="BS233" s="49">
        <f t="shared" si="48"/>
        <v>0</v>
      </c>
    </row>
    <row r="234" spans="1:71" s="9" customFormat="1" ht="17" x14ac:dyDescent="0.15">
      <c r="A234" s="34" t="s">
        <v>593</v>
      </c>
      <c r="B234" s="69" t="s">
        <v>594</v>
      </c>
      <c r="C234" s="98" t="s">
        <v>595</v>
      </c>
      <c r="D234" s="99" t="s">
        <v>596</v>
      </c>
      <c r="E234" s="37" t="s">
        <v>424</v>
      </c>
      <c r="F234" s="38"/>
      <c r="G234" s="38">
        <f>468+220+112</f>
        <v>800</v>
      </c>
      <c r="H234" s="38"/>
      <c r="I234" s="39">
        <v>782</v>
      </c>
      <c r="J234" s="40">
        <v>0</v>
      </c>
      <c r="K234" s="38"/>
      <c r="L234" s="41"/>
      <c r="M234" s="41"/>
      <c r="N234" s="41"/>
      <c r="O234" s="41"/>
      <c r="P234" s="41"/>
      <c r="Q234" s="41"/>
      <c r="R234" s="41"/>
      <c r="S234" s="41"/>
      <c r="T234" s="41"/>
      <c r="U234" s="100">
        <v>550</v>
      </c>
      <c r="V234" s="41"/>
      <c r="W234" s="41"/>
      <c r="X234" s="41"/>
      <c r="Y234" s="41">
        <v>232</v>
      </c>
      <c r="Z234" s="41"/>
      <c r="AA234" s="41">
        <v>100</v>
      </c>
      <c r="AB234" s="41"/>
      <c r="AC234" s="44">
        <f t="shared" si="50"/>
        <v>882</v>
      </c>
      <c r="AD234" s="44">
        <f t="shared" si="50"/>
        <v>0</v>
      </c>
      <c r="AE234" s="45" t="s">
        <v>54</v>
      </c>
      <c r="AF234" s="45">
        <v>206</v>
      </c>
      <c r="AG234" s="45"/>
      <c r="AH234" s="45">
        <v>70</v>
      </c>
      <c r="AI234" s="45"/>
      <c r="AJ234" s="45">
        <v>40</v>
      </c>
      <c r="AK234" s="45"/>
      <c r="AL234" s="45"/>
      <c r="AM234" s="45"/>
      <c r="AN234" s="45">
        <v>28</v>
      </c>
      <c r="AO234" s="45"/>
      <c r="AP234" s="45"/>
      <c r="AQ234" s="45"/>
      <c r="AR234" s="45"/>
      <c r="AS234" s="45"/>
      <c r="AT234" s="45">
        <v>56</v>
      </c>
      <c r="AU234" s="45"/>
      <c r="AV234" s="45"/>
      <c r="AW234" s="45"/>
      <c r="AX234" s="45"/>
      <c r="AY234" s="45"/>
      <c r="AZ234" s="85"/>
      <c r="BA234" s="47"/>
      <c r="BB234" s="47"/>
      <c r="BC234" s="47"/>
      <c r="BD234" s="47"/>
      <c r="BE234" s="47"/>
      <c r="BF234" s="47"/>
      <c r="BG234" s="47"/>
      <c r="BH234" s="47"/>
      <c r="BI234" s="47"/>
      <c r="BJ234" s="47"/>
      <c r="BK234" s="47"/>
      <c r="BL234" s="47"/>
      <c r="BM234" s="47"/>
      <c r="BN234" s="47"/>
      <c r="BO234" s="47"/>
      <c r="BP234" s="48">
        <f t="shared" si="45"/>
        <v>400</v>
      </c>
      <c r="BQ234" s="49">
        <f t="shared" si="47"/>
        <v>800</v>
      </c>
      <c r="BR234" s="50">
        <f t="shared" si="46"/>
        <v>0</v>
      </c>
      <c r="BS234" s="49">
        <f t="shared" si="48"/>
        <v>0</v>
      </c>
    </row>
    <row r="235" spans="1:71" s="9" customFormat="1" ht="17" x14ac:dyDescent="0.15">
      <c r="A235" s="34" t="s">
        <v>597</v>
      </c>
      <c r="B235" s="35" t="s">
        <v>598</v>
      </c>
      <c r="C235" s="98" t="s">
        <v>599</v>
      </c>
      <c r="D235" s="99" t="s">
        <v>600</v>
      </c>
      <c r="E235" s="37" t="s">
        <v>601</v>
      </c>
      <c r="F235" s="38"/>
      <c r="G235" s="38">
        <v>54</v>
      </c>
      <c r="H235" s="38"/>
      <c r="I235" s="39">
        <v>60</v>
      </c>
      <c r="J235" s="40">
        <v>0</v>
      </c>
      <c r="K235" s="38"/>
      <c r="L235" s="41"/>
      <c r="M235" s="41"/>
      <c r="N235" s="41"/>
      <c r="O235" s="41"/>
      <c r="P235" s="41"/>
      <c r="Q235" s="41"/>
      <c r="R235" s="41"/>
      <c r="S235" s="41"/>
      <c r="T235" s="41"/>
      <c r="U235" s="100"/>
      <c r="V235" s="41"/>
      <c r="W235" s="41">
        <v>60</v>
      </c>
      <c r="X235" s="41"/>
      <c r="Y235" s="41"/>
      <c r="Z235" s="41"/>
      <c r="AA235" s="41"/>
      <c r="AB235" s="41"/>
      <c r="AC235" s="44">
        <f t="shared" si="50"/>
        <v>60</v>
      </c>
      <c r="AD235" s="44">
        <f t="shared" si="50"/>
        <v>0</v>
      </c>
      <c r="AE235" s="45" t="s">
        <v>209</v>
      </c>
      <c r="AF235" s="45"/>
      <c r="AG235" s="45"/>
      <c r="AH235" s="45"/>
      <c r="AI235" s="45"/>
      <c r="AJ235" s="45"/>
      <c r="AK235" s="45"/>
      <c r="AL235" s="45">
        <v>27</v>
      </c>
      <c r="AM235" s="45"/>
      <c r="AN235" s="45"/>
      <c r="AO235" s="45"/>
      <c r="AP235" s="45"/>
      <c r="AQ235" s="45"/>
      <c r="AR235" s="45"/>
      <c r="AS235" s="45"/>
      <c r="AT235" s="45"/>
      <c r="AU235" s="45"/>
      <c r="AV235" s="45"/>
      <c r="AW235" s="45"/>
      <c r="AX235" s="45"/>
      <c r="AY235" s="45"/>
      <c r="AZ235" s="85"/>
      <c r="BA235" s="47"/>
      <c r="BB235" s="47"/>
      <c r="BC235" s="47"/>
      <c r="BD235" s="47"/>
      <c r="BE235" s="47"/>
      <c r="BF235" s="47"/>
      <c r="BG235" s="47"/>
      <c r="BH235" s="47"/>
      <c r="BI235" s="47"/>
      <c r="BJ235" s="47"/>
      <c r="BK235" s="47"/>
      <c r="BL235" s="47"/>
      <c r="BM235" s="47"/>
      <c r="BN235" s="47"/>
      <c r="BO235" s="47"/>
      <c r="BP235" s="48">
        <f t="shared" si="45"/>
        <v>27</v>
      </c>
      <c r="BQ235" s="49">
        <f t="shared" si="47"/>
        <v>54</v>
      </c>
      <c r="BR235" s="50">
        <f t="shared" si="46"/>
        <v>0</v>
      </c>
      <c r="BS235" s="49">
        <f t="shared" si="48"/>
        <v>0</v>
      </c>
    </row>
    <row r="236" spans="1:71" s="9" customFormat="1" ht="17" x14ac:dyDescent="0.15">
      <c r="A236" s="34" t="s">
        <v>602</v>
      </c>
      <c r="B236" s="35" t="s">
        <v>548</v>
      </c>
      <c r="C236" s="98" t="s">
        <v>603</v>
      </c>
      <c r="D236" s="99" t="s">
        <v>604</v>
      </c>
      <c r="E236" s="37" t="s">
        <v>424</v>
      </c>
      <c r="F236" s="38"/>
      <c r="G236" s="59">
        <v>64</v>
      </c>
      <c r="H236" s="38"/>
      <c r="I236" s="39">
        <v>64</v>
      </c>
      <c r="J236" s="40">
        <v>0</v>
      </c>
      <c r="K236" s="38"/>
      <c r="L236" s="41"/>
      <c r="M236" s="41"/>
      <c r="N236" s="41"/>
      <c r="O236" s="41"/>
      <c r="P236" s="41"/>
      <c r="Q236" s="41"/>
      <c r="R236" s="41"/>
      <c r="S236" s="41"/>
      <c r="T236" s="41"/>
      <c r="U236" s="100"/>
      <c r="V236" s="41"/>
      <c r="W236" s="41"/>
      <c r="X236" s="41"/>
      <c r="Y236" s="41">
        <v>64</v>
      </c>
      <c r="Z236" s="41"/>
      <c r="AA236" s="41"/>
      <c r="AB236" s="41"/>
      <c r="AC236" s="44">
        <f t="shared" si="50"/>
        <v>64</v>
      </c>
      <c r="AD236" s="44">
        <f t="shared" si="50"/>
        <v>0</v>
      </c>
      <c r="AE236" s="45" t="s">
        <v>116</v>
      </c>
      <c r="AF236" s="45"/>
      <c r="AG236" s="45"/>
      <c r="AH236" s="45">
        <v>32</v>
      </c>
      <c r="AI236" s="45"/>
      <c r="AJ236" s="45"/>
      <c r="AK236" s="45"/>
      <c r="AL236" s="45"/>
      <c r="AM236" s="45"/>
      <c r="AN236" s="45"/>
      <c r="AO236" s="45"/>
      <c r="AP236" s="45"/>
      <c r="AQ236" s="45"/>
      <c r="AR236" s="45"/>
      <c r="AS236" s="45"/>
      <c r="AT236" s="45"/>
      <c r="AU236" s="45"/>
      <c r="AV236" s="45"/>
      <c r="AW236" s="45"/>
      <c r="AX236" s="45"/>
      <c r="AY236" s="45"/>
      <c r="AZ236" s="85"/>
      <c r="BA236" s="47"/>
      <c r="BB236" s="47"/>
      <c r="BC236" s="47"/>
      <c r="BD236" s="47"/>
      <c r="BE236" s="47"/>
      <c r="BF236" s="47"/>
      <c r="BG236" s="47"/>
      <c r="BH236" s="47"/>
      <c r="BI236" s="47"/>
      <c r="BJ236" s="47"/>
      <c r="BK236" s="47"/>
      <c r="BL236" s="47"/>
      <c r="BM236" s="47"/>
      <c r="BN236" s="47"/>
      <c r="BO236" s="47"/>
      <c r="BP236" s="48">
        <f t="shared" si="45"/>
        <v>32</v>
      </c>
      <c r="BQ236" s="49">
        <f t="shared" si="47"/>
        <v>64</v>
      </c>
      <c r="BR236" s="50">
        <f t="shared" si="46"/>
        <v>0</v>
      </c>
      <c r="BS236" s="49">
        <f t="shared" si="48"/>
        <v>0</v>
      </c>
    </row>
    <row r="237" spans="1:71" s="9" customFormat="1" ht="17" x14ac:dyDescent="0.15">
      <c r="A237" s="34" t="s">
        <v>605</v>
      </c>
      <c r="B237" s="35" t="s">
        <v>551</v>
      </c>
      <c r="C237" s="98" t="s">
        <v>606</v>
      </c>
      <c r="D237" s="99" t="s">
        <v>604</v>
      </c>
      <c r="E237" s="37" t="s">
        <v>424</v>
      </c>
      <c r="F237" s="38"/>
      <c r="G237" s="59">
        <v>64</v>
      </c>
      <c r="H237" s="38"/>
      <c r="I237" s="39">
        <v>64</v>
      </c>
      <c r="J237" s="40">
        <v>0</v>
      </c>
      <c r="K237" s="38"/>
      <c r="L237" s="41"/>
      <c r="M237" s="41"/>
      <c r="N237" s="41"/>
      <c r="O237" s="41"/>
      <c r="P237" s="41"/>
      <c r="Q237" s="41"/>
      <c r="R237" s="41"/>
      <c r="S237" s="41"/>
      <c r="T237" s="41"/>
      <c r="U237" s="100"/>
      <c r="V237" s="41"/>
      <c r="W237" s="41"/>
      <c r="X237" s="41"/>
      <c r="Y237" s="41">
        <v>64</v>
      </c>
      <c r="Z237" s="41"/>
      <c r="AA237" s="41"/>
      <c r="AB237" s="41"/>
      <c r="AC237" s="44">
        <f t="shared" si="50"/>
        <v>64</v>
      </c>
      <c r="AD237" s="44">
        <f t="shared" si="50"/>
        <v>0</v>
      </c>
      <c r="AE237" s="45" t="s">
        <v>116</v>
      </c>
      <c r="AF237" s="45"/>
      <c r="AG237" s="45"/>
      <c r="AH237" s="45">
        <v>32</v>
      </c>
      <c r="AI237" s="45"/>
      <c r="AJ237" s="45"/>
      <c r="AK237" s="45"/>
      <c r="AL237" s="45"/>
      <c r="AM237" s="45"/>
      <c r="AN237" s="45"/>
      <c r="AO237" s="45"/>
      <c r="AP237" s="45"/>
      <c r="AQ237" s="45"/>
      <c r="AR237" s="45"/>
      <c r="AS237" s="45"/>
      <c r="AT237" s="45"/>
      <c r="AU237" s="45"/>
      <c r="AV237" s="45"/>
      <c r="AW237" s="45"/>
      <c r="AX237" s="45"/>
      <c r="AY237" s="45"/>
      <c r="AZ237" s="85"/>
      <c r="BA237" s="47"/>
      <c r="BB237" s="47"/>
      <c r="BC237" s="47"/>
      <c r="BD237" s="47"/>
      <c r="BE237" s="47"/>
      <c r="BF237" s="47"/>
      <c r="BG237" s="47"/>
      <c r="BH237" s="47"/>
      <c r="BI237" s="47"/>
      <c r="BJ237" s="47"/>
      <c r="BK237" s="47"/>
      <c r="BL237" s="47"/>
      <c r="BM237" s="47"/>
      <c r="BN237" s="47"/>
      <c r="BO237" s="47"/>
      <c r="BP237" s="48">
        <f t="shared" si="45"/>
        <v>32</v>
      </c>
      <c r="BQ237" s="49">
        <f t="shared" si="47"/>
        <v>64</v>
      </c>
      <c r="BR237" s="50">
        <f t="shared" si="46"/>
        <v>0</v>
      </c>
      <c r="BS237" s="49">
        <f t="shared" si="48"/>
        <v>0</v>
      </c>
    </row>
    <row r="238" spans="1:71" s="9" customFormat="1" ht="17" x14ac:dyDescent="0.15">
      <c r="A238" s="34" t="s">
        <v>607</v>
      </c>
      <c r="B238" s="35" t="s">
        <v>544</v>
      </c>
      <c r="C238" s="98" t="s">
        <v>608</v>
      </c>
      <c r="D238" s="99" t="s">
        <v>604</v>
      </c>
      <c r="E238" s="37" t="s">
        <v>424</v>
      </c>
      <c r="F238" s="38"/>
      <c r="G238" s="59">
        <v>8</v>
      </c>
      <c r="H238" s="38"/>
      <c r="I238" s="39">
        <v>8</v>
      </c>
      <c r="J238" s="40">
        <v>0</v>
      </c>
      <c r="K238" s="38"/>
      <c r="L238" s="41"/>
      <c r="M238" s="41"/>
      <c r="N238" s="41"/>
      <c r="O238" s="41"/>
      <c r="P238" s="41"/>
      <c r="Q238" s="41"/>
      <c r="R238" s="41"/>
      <c r="S238" s="41"/>
      <c r="T238" s="41"/>
      <c r="U238" s="100"/>
      <c r="V238" s="41"/>
      <c r="W238" s="41"/>
      <c r="X238" s="41"/>
      <c r="Y238" s="41">
        <v>8</v>
      </c>
      <c r="Z238" s="41"/>
      <c r="AA238" s="41"/>
      <c r="AB238" s="41"/>
      <c r="AC238" s="44">
        <f t="shared" si="50"/>
        <v>8</v>
      </c>
      <c r="AD238" s="44">
        <f t="shared" si="50"/>
        <v>0</v>
      </c>
      <c r="AE238" s="45" t="s">
        <v>116</v>
      </c>
      <c r="AF238" s="45"/>
      <c r="AG238" s="45"/>
      <c r="AH238" s="45">
        <v>4</v>
      </c>
      <c r="AI238" s="45"/>
      <c r="AJ238" s="45"/>
      <c r="AK238" s="45"/>
      <c r="AL238" s="45"/>
      <c r="AM238" s="45"/>
      <c r="AN238" s="45"/>
      <c r="AO238" s="45"/>
      <c r="AP238" s="45"/>
      <c r="AQ238" s="45"/>
      <c r="AR238" s="45"/>
      <c r="AS238" s="45"/>
      <c r="AT238" s="45"/>
      <c r="AU238" s="45"/>
      <c r="AV238" s="45"/>
      <c r="AW238" s="45"/>
      <c r="AX238" s="45"/>
      <c r="AY238" s="45"/>
      <c r="AZ238" s="85"/>
      <c r="BA238" s="47"/>
      <c r="BB238" s="47"/>
      <c r="BC238" s="47"/>
      <c r="BD238" s="47"/>
      <c r="BE238" s="47"/>
      <c r="BF238" s="47"/>
      <c r="BG238" s="47"/>
      <c r="BH238" s="47"/>
      <c r="BI238" s="47"/>
      <c r="BJ238" s="47"/>
      <c r="BK238" s="47"/>
      <c r="BL238" s="47"/>
      <c r="BM238" s="47"/>
      <c r="BN238" s="47"/>
      <c r="BO238" s="47"/>
      <c r="BP238" s="48">
        <f t="shared" si="45"/>
        <v>4</v>
      </c>
      <c r="BQ238" s="49">
        <f t="shared" si="47"/>
        <v>8</v>
      </c>
      <c r="BR238" s="50">
        <f t="shared" si="46"/>
        <v>0</v>
      </c>
      <c r="BS238" s="49">
        <f t="shared" si="48"/>
        <v>0</v>
      </c>
    </row>
    <row r="239" spans="1:71" s="9" customFormat="1" ht="17" x14ac:dyDescent="0.15">
      <c r="A239" s="34" t="s">
        <v>609</v>
      </c>
      <c r="B239" s="35" t="s">
        <v>548</v>
      </c>
      <c r="C239" s="98" t="s">
        <v>610</v>
      </c>
      <c r="D239" s="99" t="s">
        <v>604</v>
      </c>
      <c r="E239" s="37" t="s">
        <v>424</v>
      </c>
      <c r="F239" s="38"/>
      <c r="G239" s="59">
        <v>8</v>
      </c>
      <c r="H239" s="38"/>
      <c r="I239" s="39">
        <v>8</v>
      </c>
      <c r="J239" s="40">
        <v>0</v>
      </c>
      <c r="K239" s="38"/>
      <c r="L239" s="41"/>
      <c r="M239" s="41"/>
      <c r="N239" s="41"/>
      <c r="O239" s="41"/>
      <c r="P239" s="41"/>
      <c r="Q239" s="41"/>
      <c r="R239" s="41"/>
      <c r="S239" s="41"/>
      <c r="T239" s="41"/>
      <c r="U239" s="100"/>
      <c r="V239" s="41"/>
      <c r="W239" s="41"/>
      <c r="X239" s="41"/>
      <c r="Y239" s="41">
        <v>8</v>
      </c>
      <c r="Z239" s="41"/>
      <c r="AA239" s="41"/>
      <c r="AB239" s="41"/>
      <c r="AC239" s="44">
        <f t="shared" si="50"/>
        <v>8</v>
      </c>
      <c r="AD239" s="44">
        <f t="shared" si="50"/>
        <v>0</v>
      </c>
      <c r="AE239" s="45" t="s">
        <v>116</v>
      </c>
      <c r="AF239" s="45"/>
      <c r="AG239" s="45"/>
      <c r="AH239" s="45">
        <v>4</v>
      </c>
      <c r="AI239" s="45"/>
      <c r="AJ239" s="45"/>
      <c r="AK239" s="45"/>
      <c r="AL239" s="45"/>
      <c r="AM239" s="45"/>
      <c r="AN239" s="45"/>
      <c r="AO239" s="45"/>
      <c r="AP239" s="45"/>
      <c r="AQ239" s="45"/>
      <c r="AR239" s="45"/>
      <c r="AS239" s="45"/>
      <c r="AT239" s="45"/>
      <c r="AU239" s="45"/>
      <c r="AV239" s="45"/>
      <c r="AW239" s="45"/>
      <c r="AX239" s="45"/>
      <c r="AY239" s="45"/>
      <c r="AZ239" s="85"/>
      <c r="BA239" s="47"/>
      <c r="BB239" s="47"/>
      <c r="BC239" s="47"/>
      <c r="BD239" s="47"/>
      <c r="BE239" s="47"/>
      <c r="BF239" s="47"/>
      <c r="BG239" s="47"/>
      <c r="BH239" s="47"/>
      <c r="BI239" s="47"/>
      <c r="BJ239" s="47"/>
      <c r="BK239" s="47"/>
      <c r="BL239" s="47"/>
      <c r="BM239" s="47"/>
      <c r="BN239" s="47"/>
      <c r="BO239" s="47"/>
      <c r="BP239" s="48">
        <f t="shared" si="45"/>
        <v>4</v>
      </c>
      <c r="BQ239" s="49">
        <f t="shared" si="47"/>
        <v>8</v>
      </c>
      <c r="BR239" s="50">
        <f t="shared" si="46"/>
        <v>0</v>
      </c>
      <c r="BS239" s="49">
        <f t="shared" si="48"/>
        <v>0</v>
      </c>
    </row>
    <row r="240" spans="1:71" s="9" customFormat="1" ht="17" x14ac:dyDescent="0.15">
      <c r="A240" s="34" t="s">
        <v>611</v>
      </c>
      <c r="B240" s="35" t="s">
        <v>551</v>
      </c>
      <c r="C240" s="98" t="s">
        <v>612</v>
      </c>
      <c r="D240" s="99" t="s">
        <v>604</v>
      </c>
      <c r="E240" s="37" t="s">
        <v>424</v>
      </c>
      <c r="F240" s="38"/>
      <c r="G240" s="59">
        <v>8</v>
      </c>
      <c r="H240" s="38"/>
      <c r="I240" s="39">
        <v>8</v>
      </c>
      <c r="J240" s="40">
        <v>0</v>
      </c>
      <c r="K240" s="38"/>
      <c r="L240" s="41"/>
      <c r="M240" s="41"/>
      <c r="N240" s="41"/>
      <c r="O240" s="41"/>
      <c r="P240" s="41"/>
      <c r="Q240" s="41"/>
      <c r="R240" s="41"/>
      <c r="S240" s="41"/>
      <c r="T240" s="41"/>
      <c r="U240" s="100"/>
      <c r="V240" s="41"/>
      <c r="W240" s="41"/>
      <c r="X240" s="41"/>
      <c r="Y240" s="41">
        <v>8</v>
      </c>
      <c r="Z240" s="41"/>
      <c r="AA240" s="41"/>
      <c r="AB240" s="41"/>
      <c r="AC240" s="44">
        <f t="shared" si="50"/>
        <v>8</v>
      </c>
      <c r="AD240" s="44">
        <f t="shared" si="50"/>
        <v>0</v>
      </c>
      <c r="AE240" s="45" t="s">
        <v>116</v>
      </c>
      <c r="AF240" s="45"/>
      <c r="AG240" s="45"/>
      <c r="AH240" s="45">
        <v>4</v>
      </c>
      <c r="AI240" s="45"/>
      <c r="AJ240" s="45"/>
      <c r="AK240" s="45"/>
      <c r="AL240" s="45"/>
      <c r="AM240" s="45"/>
      <c r="AN240" s="45"/>
      <c r="AO240" s="45"/>
      <c r="AP240" s="45"/>
      <c r="AQ240" s="45"/>
      <c r="AR240" s="45"/>
      <c r="AS240" s="45"/>
      <c r="AT240" s="45"/>
      <c r="AU240" s="45"/>
      <c r="AV240" s="45"/>
      <c r="AW240" s="45"/>
      <c r="AX240" s="45"/>
      <c r="AY240" s="45"/>
      <c r="AZ240" s="85"/>
      <c r="BA240" s="47"/>
      <c r="BB240" s="47"/>
      <c r="BC240" s="47"/>
      <c r="BD240" s="47"/>
      <c r="BE240" s="47"/>
      <c r="BF240" s="47"/>
      <c r="BG240" s="47"/>
      <c r="BH240" s="47"/>
      <c r="BI240" s="47"/>
      <c r="BJ240" s="47"/>
      <c r="BK240" s="47"/>
      <c r="BL240" s="47"/>
      <c r="BM240" s="47"/>
      <c r="BN240" s="47"/>
      <c r="BO240" s="47"/>
      <c r="BP240" s="48">
        <f t="shared" si="45"/>
        <v>4</v>
      </c>
      <c r="BQ240" s="49">
        <f t="shared" si="47"/>
        <v>8</v>
      </c>
      <c r="BR240" s="50">
        <f t="shared" si="46"/>
        <v>0</v>
      </c>
      <c r="BS240" s="49">
        <f t="shared" si="48"/>
        <v>0</v>
      </c>
    </row>
    <row r="241" spans="1:71" s="9" customFormat="1" ht="17" x14ac:dyDescent="0.15">
      <c r="A241" s="34" t="s">
        <v>613</v>
      </c>
      <c r="B241" s="35" t="s">
        <v>614</v>
      </c>
      <c r="C241" s="35" t="s">
        <v>615</v>
      </c>
      <c r="D241" s="36" t="s">
        <v>604</v>
      </c>
      <c r="E241" s="37" t="s">
        <v>424</v>
      </c>
      <c r="F241" s="38"/>
      <c r="G241" s="59">
        <v>8</v>
      </c>
      <c r="H241" s="38"/>
      <c r="I241" s="39">
        <v>8</v>
      </c>
      <c r="J241" s="40">
        <v>0</v>
      </c>
      <c r="K241" s="38"/>
      <c r="L241" s="41"/>
      <c r="M241" s="41"/>
      <c r="N241" s="41"/>
      <c r="O241" s="41"/>
      <c r="P241" s="41"/>
      <c r="Q241" s="41"/>
      <c r="R241" s="41"/>
      <c r="S241" s="41"/>
      <c r="T241" s="41"/>
      <c r="U241" s="100"/>
      <c r="V241" s="41"/>
      <c r="W241" s="41"/>
      <c r="X241" s="41"/>
      <c r="Y241" s="41">
        <v>8</v>
      </c>
      <c r="Z241" s="41"/>
      <c r="AA241" s="41"/>
      <c r="AB241" s="41"/>
      <c r="AC241" s="44">
        <f t="shared" si="50"/>
        <v>8</v>
      </c>
      <c r="AD241" s="44">
        <f t="shared" si="50"/>
        <v>0</v>
      </c>
      <c r="AE241" s="45" t="s">
        <v>116</v>
      </c>
      <c r="AF241" s="45"/>
      <c r="AG241" s="45"/>
      <c r="AH241" s="45">
        <v>4</v>
      </c>
      <c r="AI241" s="45"/>
      <c r="AJ241" s="45"/>
      <c r="AK241" s="45"/>
      <c r="AL241" s="45"/>
      <c r="AM241" s="45"/>
      <c r="AN241" s="45"/>
      <c r="AO241" s="45"/>
      <c r="AP241" s="45"/>
      <c r="AQ241" s="45"/>
      <c r="AR241" s="45"/>
      <c r="AS241" s="45"/>
      <c r="AT241" s="45"/>
      <c r="AU241" s="45"/>
      <c r="AV241" s="45"/>
      <c r="AW241" s="45"/>
      <c r="AX241" s="45"/>
      <c r="AY241" s="45"/>
      <c r="AZ241" s="85"/>
      <c r="BA241" s="47"/>
      <c r="BB241" s="47"/>
      <c r="BC241" s="47"/>
      <c r="BD241" s="47"/>
      <c r="BE241" s="47"/>
      <c r="BF241" s="47"/>
      <c r="BG241" s="47"/>
      <c r="BH241" s="47"/>
      <c r="BI241" s="47"/>
      <c r="BJ241" s="47"/>
      <c r="BK241" s="47"/>
      <c r="BL241" s="47"/>
      <c r="BM241" s="47"/>
      <c r="BN241" s="47"/>
      <c r="BO241" s="47"/>
      <c r="BP241" s="48">
        <f t="shared" si="45"/>
        <v>4</v>
      </c>
      <c r="BQ241" s="49">
        <f t="shared" si="47"/>
        <v>8</v>
      </c>
      <c r="BR241" s="50">
        <f t="shared" si="46"/>
        <v>0</v>
      </c>
      <c r="BS241" s="49">
        <f t="shared" si="48"/>
        <v>0</v>
      </c>
    </row>
    <row r="242" spans="1:71" s="9" customFormat="1" ht="17" x14ac:dyDescent="0.15">
      <c r="A242" s="34" t="s">
        <v>616</v>
      </c>
      <c r="B242" s="34" t="s">
        <v>617</v>
      </c>
      <c r="C242" s="103" t="s">
        <v>618</v>
      </c>
      <c r="D242" s="37" t="s">
        <v>619</v>
      </c>
      <c r="E242" s="37" t="s">
        <v>402</v>
      </c>
      <c r="F242" s="38"/>
      <c r="G242" s="59"/>
      <c r="H242" s="38">
        <v>8</v>
      </c>
      <c r="I242" s="39"/>
      <c r="J242" s="40"/>
      <c r="K242" s="38"/>
      <c r="L242" s="41"/>
      <c r="M242" s="41"/>
      <c r="N242" s="41"/>
      <c r="O242" s="41"/>
      <c r="P242" s="41"/>
      <c r="Q242" s="41"/>
      <c r="R242" s="41"/>
      <c r="S242" s="41"/>
      <c r="T242" s="41"/>
      <c r="U242" s="100"/>
      <c r="V242" s="41"/>
      <c r="W242" s="41"/>
      <c r="X242" s="41"/>
      <c r="Y242" s="41"/>
      <c r="Z242" s="41"/>
      <c r="AA242" s="41"/>
      <c r="AB242" s="41">
        <v>10</v>
      </c>
      <c r="AC242" s="44">
        <f t="shared" ref="AC242:AD242" si="51">+I242+AA242</f>
        <v>0</v>
      </c>
      <c r="AD242" s="44">
        <f t="shared" si="51"/>
        <v>10</v>
      </c>
      <c r="AE242" s="45" t="s">
        <v>54</v>
      </c>
      <c r="AF242" s="45"/>
      <c r="AG242" s="45"/>
      <c r="AH242" s="45"/>
      <c r="AI242" s="45"/>
      <c r="AJ242" s="45"/>
      <c r="AK242" s="45"/>
      <c r="AL242" s="45"/>
      <c r="AM242" s="45"/>
      <c r="AN242" s="45"/>
      <c r="AO242" s="45"/>
      <c r="AP242" s="45"/>
      <c r="AQ242" s="45"/>
      <c r="AR242" s="45"/>
      <c r="AS242" s="45"/>
      <c r="AT242" s="45"/>
      <c r="AU242" s="45"/>
      <c r="AV242" s="45"/>
      <c r="AW242" s="45"/>
      <c r="AX242" s="45"/>
      <c r="AY242" s="45"/>
      <c r="AZ242" s="85"/>
      <c r="BA242" s="47"/>
      <c r="BB242" s="47"/>
      <c r="BC242" s="47"/>
      <c r="BD242" s="47"/>
      <c r="BE242" s="47"/>
      <c r="BF242" s="47"/>
      <c r="BG242" s="47"/>
      <c r="BH242" s="47"/>
      <c r="BI242" s="47"/>
      <c r="BJ242" s="47"/>
      <c r="BK242" s="47"/>
      <c r="BL242" s="47"/>
      <c r="BM242" s="47"/>
      <c r="BN242" s="47"/>
      <c r="BO242" s="47"/>
      <c r="BP242" s="48">
        <f t="shared" si="45"/>
        <v>0</v>
      </c>
      <c r="BQ242" s="49">
        <f t="shared" si="47"/>
        <v>0</v>
      </c>
      <c r="BR242" s="50">
        <f t="shared" si="46"/>
        <v>0</v>
      </c>
      <c r="BS242" s="49">
        <f t="shared" si="48"/>
        <v>0</v>
      </c>
    </row>
    <row r="243" spans="1:71" s="9" customFormat="1" ht="17" x14ac:dyDescent="0.15">
      <c r="A243" s="97" t="s">
        <v>620</v>
      </c>
      <c r="B243" s="214" t="s">
        <v>621</v>
      </c>
      <c r="C243" s="215"/>
      <c r="D243" s="90"/>
      <c r="E243" s="76"/>
      <c r="F243" s="77"/>
      <c r="G243" s="78"/>
      <c r="H243" s="79">
        <f>+SUM(H244:H246)</f>
        <v>462.58200000000005</v>
      </c>
      <c r="I243" s="104"/>
      <c r="J243" s="105"/>
      <c r="K243" s="79"/>
      <c r="L243" s="106"/>
      <c r="M243" s="106"/>
      <c r="N243" s="106"/>
      <c r="O243" s="106"/>
      <c r="P243" s="106"/>
      <c r="Q243" s="106"/>
      <c r="R243" s="79">
        <f>+SUM(R244:R246)</f>
        <v>532.596</v>
      </c>
      <c r="S243" s="79"/>
      <c r="T243" s="79"/>
      <c r="U243" s="79"/>
      <c r="V243" s="79"/>
      <c r="W243" s="79"/>
      <c r="X243" s="79"/>
      <c r="Y243" s="79"/>
      <c r="Z243" s="79"/>
      <c r="AA243" s="79"/>
      <c r="AB243" s="79"/>
      <c r="AC243" s="107"/>
      <c r="AD243" s="79">
        <f>+SUM(AD244:AD246)</f>
        <v>532.596</v>
      </c>
      <c r="AE243" s="84"/>
      <c r="AF243" s="84"/>
      <c r="AG243" s="84"/>
      <c r="AH243" s="84"/>
      <c r="AI243" s="84"/>
      <c r="AJ243" s="84"/>
      <c r="AK243" s="84"/>
      <c r="AL243" s="84"/>
      <c r="AM243" s="84"/>
      <c r="AN243" s="84"/>
      <c r="AO243" s="84"/>
      <c r="AP243" s="84"/>
      <c r="AQ243" s="84"/>
      <c r="AR243" s="84"/>
      <c r="AS243" s="84"/>
      <c r="AT243" s="84"/>
      <c r="AU243" s="84"/>
      <c r="AV243" s="84"/>
      <c r="AW243" s="84"/>
      <c r="AX243" s="84"/>
      <c r="AY243" s="84"/>
      <c r="AZ243" s="85"/>
      <c r="BA243" s="47"/>
      <c r="BB243" s="47"/>
      <c r="BC243" s="47"/>
      <c r="BD243" s="47"/>
      <c r="BE243" s="47"/>
      <c r="BF243" s="47"/>
      <c r="BG243" s="47"/>
      <c r="BH243" s="47"/>
      <c r="BI243" s="47"/>
      <c r="BJ243" s="47"/>
      <c r="BK243" s="47"/>
      <c r="BL243" s="47"/>
      <c r="BM243" s="47"/>
      <c r="BN243" s="47"/>
      <c r="BO243" s="47"/>
      <c r="BP243" s="48">
        <f t="shared" si="45"/>
        <v>0</v>
      </c>
      <c r="BQ243" s="49">
        <f t="shared" si="47"/>
        <v>0</v>
      </c>
      <c r="BR243" s="50">
        <f t="shared" si="46"/>
        <v>0</v>
      </c>
      <c r="BS243" s="49">
        <f t="shared" si="48"/>
        <v>0</v>
      </c>
    </row>
    <row r="244" spans="1:71" s="9" customFormat="1" ht="17" x14ac:dyDescent="0.15">
      <c r="A244" s="34" t="s">
        <v>622</v>
      </c>
      <c r="B244" s="35" t="s">
        <v>96</v>
      </c>
      <c r="C244" s="34" t="s">
        <v>97</v>
      </c>
      <c r="D244" s="36" t="s">
        <v>52</v>
      </c>
      <c r="E244" s="37" t="s">
        <v>98</v>
      </c>
      <c r="F244" s="38">
        <v>18.600000000000001</v>
      </c>
      <c r="G244" s="38">
        <v>20.6</v>
      </c>
      <c r="H244" s="38">
        <f>+G244*F244</f>
        <v>383.16000000000008</v>
      </c>
      <c r="I244" s="39">
        <v>24</v>
      </c>
      <c r="J244" s="40">
        <v>446.40000000000003</v>
      </c>
      <c r="K244" s="38"/>
      <c r="L244" s="41"/>
      <c r="M244" s="41"/>
      <c r="N244" s="41"/>
      <c r="O244" s="41"/>
      <c r="P244" s="41"/>
      <c r="Q244" s="41">
        <v>24</v>
      </c>
      <c r="R244" s="41">
        <f>+Q244*F244</f>
        <v>446.40000000000003</v>
      </c>
      <c r="S244" s="41"/>
      <c r="T244" s="41"/>
      <c r="U244" s="41"/>
      <c r="V244" s="41"/>
      <c r="W244" s="41"/>
      <c r="X244" s="41"/>
      <c r="Y244" s="41"/>
      <c r="Z244" s="41"/>
      <c r="AA244" s="41"/>
      <c r="AB244" s="41"/>
      <c r="AC244" s="44">
        <f t="shared" ref="AC244:AD246" si="52">+I244+AA244</f>
        <v>24</v>
      </c>
      <c r="AD244" s="44">
        <f t="shared" si="52"/>
        <v>446.40000000000003</v>
      </c>
      <c r="AE244" s="45"/>
      <c r="AF244" s="45"/>
      <c r="AG244" s="45"/>
      <c r="AH244" s="45"/>
      <c r="AI244" s="45"/>
      <c r="AJ244" s="45"/>
      <c r="AK244" s="45"/>
      <c r="AL244" s="45"/>
      <c r="AM244" s="45"/>
      <c r="AN244" s="45"/>
      <c r="AO244" s="45"/>
      <c r="AP244" s="45"/>
      <c r="AQ244" s="45"/>
      <c r="AR244" s="45"/>
      <c r="AS244" s="45"/>
      <c r="AT244" s="45"/>
      <c r="AU244" s="45"/>
      <c r="AV244" s="45"/>
      <c r="AW244" s="45"/>
      <c r="AX244" s="45"/>
      <c r="AY244" s="45"/>
      <c r="AZ244" s="85"/>
      <c r="BA244" s="47"/>
      <c r="BB244" s="47"/>
      <c r="BC244" s="47"/>
      <c r="BD244" s="47"/>
      <c r="BE244" s="47"/>
      <c r="BF244" s="47"/>
      <c r="BG244" s="47"/>
      <c r="BH244" s="47"/>
      <c r="BI244" s="47"/>
      <c r="BJ244" s="47"/>
      <c r="BK244" s="47"/>
      <c r="BL244" s="47"/>
      <c r="BM244" s="47"/>
      <c r="BN244" s="47"/>
      <c r="BO244" s="47"/>
      <c r="BP244" s="48">
        <f t="shared" si="45"/>
        <v>0</v>
      </c>
      <c r="BQ244" s="49">
        <f t="shared" si="47"/>
        <v>0</v>
      </c>
      <c r="BR244" s="50">
        <f t="shared" si="46"/>
        <v>0</v>
      </c>
      <c r="BS244" s="49">
        <f t="shared" si="48"/>
        <v>0</v>
      </c>
    </row>
    <row r="245" spans="1:71" s="9" customFormat="1" ht="17" x14ac:dyDescent="0.15">
      <c r="A245" s="34" t="s">
        <v>623</v>
      </c>
      <c r="B245" s="35" t="s">
        <v>114</v>
      </c>
      <c r="C245" s="34" t="s">
        <v>624</v>
      </c>
      <c r="D245" s="36" t="s">
        <v>52</v>
      </c>
      <c r="E245" s="37" t="s">
        <v>98</v>
      </c>
      <c r="F245" s="38">
        <v>6.85</v>
      </c>
      <c r="G245" s="38">
        <f>1.9*6</f>
        <v>11.399999999999999</v>
      </c>
      <c r="H245" s="38">
        <f>+G245*F245</f>
        <v>78.089999999999989</v>
      </c>
      <c r="I245" s="39">
        <v>12</v>
      </c>
      <c r="J245" s="40">
        <v>82.199999999999989</v>
      </c>
      <c r="K245" s="38"/>
      <c r="L245" s="41"/>
      <c r="M245" s="41"/>
      <c r="N245" s="41"/>
      <c r="O245" s="41"/>
      <c r="P245" s="41"/>
      <c r="Q245" s="41">
        <v>12</v>
      </c>
      <c r="R245" s="41">
        <f>+Q245*F245</f>
        <v>82.199999999999989</v>
      </c>
      <c r="S245" s="41"/>
      <c r="T245" s="41"/>
      <c r="U245" s="41"/>
      <c r="V245" s="41"/>
      <c r="W245" s="41"/>
      <c r="X245" s="41"/>
      <c r="Y245" s="41"/>
      <c r="Z245" s="41"/>
      <c r="AA245" s="41"/>
      <c r="AB245" s="41"/>
      <c r="AC245" s="44">
        <f t="shared" si="52"/>
        <v>12</v>
      </c>
      <c r="AD245" s="44">
        <f t="shared" si="52"/>
        <v>82.199999999999989</v>
      </c>
      <c r="AE245" s="45"/>
      <c r="AF245" s="45"/>
      <c r="AG245" s="45"/>
      <c r="AH245" s="45"/>
      <c r="AI245" s="45"/>
      <c r="AJ245" s="45"/>
      <c r="AK245" s="45"/>
      <c r="AL245" s="45"/>
      <c r="AM245" s="45"/>
      <c r="AN245" s="45"/>
      <c r="AO245" s="45"/>
      <c r="AP245" s="45"/>
      <c r="AQ245" s="45"/>
      <c r="AR245" s="45"/>
      <c r="AS245" s="45"/>
      <c r="AT245" s="45"/>
      <c r="AU245" s="45"/>
      <c r="AV245" s="45"/>
      <c r="AW245" s="45"/>
      <c r="AX245" s="45"/>
      <c r="AY245" s="45"/>
      <c r="AZ245" s="85"/>
      <c r="BA245" s="47"/>
      <c r="BB245" s="47"/>
      <c r="BC245" s="47"/>
      <c r="BD245" s="47"/>
      <c r="BE245" s="47"/>
      <c r="BF245" s="47"/>
      <c r="BG245" s="47"/>
      <c r="BH245" s="47"/>
      <c r="BI245" s="47"/>
      <c r="BJ245" s="47"/>
      <c r="BK245" s="47"/>
      <c r="BL245" s="47"/>
      <c r="BM245" s="47"/>
      <c r="BN245" s="47"/>
      <c r="BO245" s="47"/>
      <c r="BP245" s="48">
        <f t="shared" si="45"/>
        <v>0</v>
      </c>
      <c r="BQ245" s="49">
        <f t="shared" si="47"/>
        <v>0</v>
      </c>
      <c r="BR245" s="50">
        <f t="shared" si="46"/>
        <v>0</v>
      </c>
      <c r="BS245" s="49">
        <f t="shared" si="48"/>
        <v>0</v>
      </c>
    </row>
    <row r="246" spans="1:71" s="9" customFormat="1" ht="17" x14ac:dyDescent="0.15">
      <c r="A246" s="34" t="s">
        <v>625</v>
      </c>
      <c r="B246" s="35" t="s">
        <v>626</v>
      </c>
      <c r="C246" s="34" t="s">
        <v>627</v>
      </c>
      <c r="D246" s="36" t="s">
        <v>52</v>
      </c>
      <c r="E246" s="37" t="s">
        <v>98</v>
      </c>
      <c r="F246" s="38">
        <v>0.66600000000000004</v>
      </c>
      <c r="G246" s="38">
        <v>2</v>
      </c>
      <c r="H246" s="38">
        <f>+G246*F246</f>
        <v>1.3320000000000001</v>
      </c>
      <c r="I246" s="39">
        <v>6</v>
      </c>
      <c r="J246" s="40">
        <v>3.9960000000000004</v>
      </c>
      <c r="K246" s="38"/>
      <c r="L246" s="41"/>
      <c r="M246" s="41"/>
      <c r="N246" s="41"/>
      <c r="O246" s="41"/>
      <c r="P246" s="41"/>
      <c r="Q246" s="41">
        <v>6</v>
      </c>
      <c r="R246" s="41">
        <f>+Q246*F246</f>
        <v>3.9960000000000004</v>
      </c>
      <c r="S246" s="41"/>
      <c r="T246" s="41"/>
      <c r="U246" s="41"/>
      <c r="V246" s="41"/>
      <c r="W246" s="41"/>
      <c r="X246" s="41"/>
      <c r="Y246" s="41"/>
      <c r="Z246" s="41"/>
      <c r="AA246" s="41"/>
      <c r="AB246" s="41"/>
      <c r="AC246" s="44">
        <f t="shared" si="52"/>
        <v>6</v>
      </c>
      <c r="AD246" s="44">
        <f t="shared" si="52"/>
        <v>3.9960000000000004</v>
      </c>
      <c r="AE246" s="45"/>
      <c r="AF246" s="45"/>
      <c r="AG246" s="45"/>
      <c r="AH246" s="45"/>
      <c r="AI246" s="45"/>
      <c r="AJ246" s="45"/>
      <c r="AK246" s="45"/>
      <c r="AL246" s="45"/>
      <c r="AM246" s="45"/>
      <c r="AN246" s="45"/>
      <c r="AO246" s="45"/>
      <c r="AP246" s="45"/>
      <c r="AQ246" s="45"/>
      <c r="AR246" s="45"/>
      <c r="AS246" s="45"/>
      <c r="AT246" s="45"/>
      <c r="AU246" s="45"/>
      <c r="AV246" s="45"/>
      <c r="AW246" s="45"/>
      <c r="AX246" s="45"/>
      <c r="AY246" s="45"/>
      <c r="AZ246" s="85"/>
      <c r="BA246" s="47"/>
      <c r="BB246" s="47"/>
      <c r="BC246" s="47"/>
      <c r="BD246" s="47"/>
      <c r="BE246" s="47"/>
      <c r="BF246" s="47"/>
      <c r="BG246" s="47"/>
      <c r="BH246" s="47"/>
      <c r="BI246" s="47"/>
      <c r="BJ246" s="47"/>
      <c r="BK246" s="47"/>
      <c r="BL246" s="47"/>
      <c r="BM246" s="47"/>
      <c r="BN246" s="47"/>
      <c r="BO246" s="47"/>
      <c r="BP246" s="48">
        <f t="shared" si="45"/>
        <v>0</v>
      </c>
      <c r="BQ246" s="49">
        <f t="shared" si="47"/>
        <v>0</v>
      </c>
      <c r="BR246" s="50">
        <f t="shared" si="46"/>
        <v>0</v>
      </c>
      <c r="BS246" s="49">
        <f t="shared" si="48"/>
        <v>0</v>
      </c>
    </row>
    <row r="247" spans="1:71" s="111" customFormat="1" ht="27" customHeight="1" x14ac:dyDescent="0.15">
      <c r="A247" s="216" t="s">
        <v>628</v>
      </c>
      <c r="B247" s="217"/>
      <c r="C247" s="217"/>
      <c r="D247" s="217"/>
      <c r="E247" s="217"/>
      <c r="F247" s="217"/>
      <c r="G247" s="217"/>
      <c r="H247" s="217"/>
      <c r="I247" s="217"/>
      <c r="J247" s="217"/>
      <c r="K247" s="217"/>
      <c r="L247" s="217"/>
      <c r="M247" s="217"/>
      <c r="N247" s="217"/>
      <c r="O247" s="217"/>
      <c r="P247" s="217"/>
      <c r="Q247" s="217"/>
      <c r="R247" s="217"/>
      <c r="S247" s="217"/>
      <c r="T247" s="217"/>
      <c r="U247" s="217"/>
      <c r="V247" s="217"/>
      <c r="W247" s="217"/>
      <c r="X247" s="217"/>
      <c r="Y247" s="217"/>
      <c r="Z247" s="217"/>
      <c r="AA247" s="217"/>
      <c r="AB247" s="217"/>
      <c r="AC247" s="217"/>
      <c r="AD247" s="217"/>
      <c r="AE247" s="218"/>
      <c r="AF247" s="108"/>
      <c r="AG247" s="108"/>
      <c r="AH247" s="108"/>
      <c r="AI247" s="108"/>
      <c r="AJ247" s="108"/>
      <c r="AK247" s="108"/>
      <c r="AL247" s="108"/>
      <c r="AM247" s="108"/>
      <c r="AN247" s="108"/>
      <c r="AO247" s="108"/>
      <c r="AP247" s="108"/>
      <c r="AQ247" s="108"/>
      <c r="AR247" s="108"/>
      <c r="AS247" s="108"/>
      <c r="AT247" s="108"/>
      <c r="AU247" s="108"/>
      <c r="AV247" s="108"/>
      <c r="AW247" s="108"/>
      <c r="AX247" s="108"/>
      <c r="AY247" s="108"/>
      <c r="AZ247" s="109"/>
      <c r="BA247" s="110"/>
      <c r="BB247" s="110"/>
      <c r="BC247" s="110"/>
      <c r="BD247" s="110"/>
      <c r="BE247" s="110"/>
      <c r="BF247" s="110"/>
      <c r="BG247" s="110"/>
      <c r="BH247" s="110"/>
      <c r="BI247" s="110"/>
      <c r="BJ247" s="110"/>
      <c r="BK247" s="110"/>
      <c r="BL247" s="110"/>
      <c r="BM247" s="110"/>
      <c r="BN247" s="110"/>
      <c r="BO247" s="110"/>
      <c r="BQ247" s="112"/>
    </row>
    <row r="248" spans="1:71" ht="16.5" customHeight="1" x14ac:dyDescent="0.15">
      <c r="A248" s="113" t="s">
        <v>629</v>
      </c>
      <c r="B248" s="114"/>
      <c r="C248" s="115" t="s">
        <v>630</v>
      </c>
      <c r="E248" s="116"/>
      <c r="F248" s="115"/>
      <c r="G248" s="117" t="s">
        <v>631</v>
      </c>
      <c r="H248" s="115"/>
      <c r="I248" s="117"/>
      <c r="J248" s="117"/>
      <c r="K248" s="117"/>
      <c r="M248" s="117"/>
      <c r="O248" s="117"/>
      <c r="Q248" s="117"/>
      <c r="S248" s="117"/>
      <c r="U248" s="117"/>
      <c r="V248" s="117" t="s">
        <v>632</v>
      </c>
      <c r="W248" s="117"/>
      <c r="X248" s="117"/>
      <c r="Y248" s="117"/>
      <c r="Z248" s="117"/>
      <c r="AA248" s="117"/>
      <c r="AB248" s="117"/>
      <c r="AC248" s="117"/>
      <c r="AD248" s="118"/>
      <c r="AE248" s="119"/>
    </row>
    <row r="249" spans="1:71" ht="21.75" customHeight="1" x14ac:dyDescent="0.15">
      <c r="A249" s="121" t="s">
        <v>633</v>
      </c>
      <c r="B249" s="122"/>
      <c r="D249" s="120"/>
      <c r="E249" s="123"/>
      <c r="F249" s="123"/>
      <c r="G249" s="123"/>
      <c r="H249" s="123"/>
      <c r="J249" s="2"/>
      <c r="K249" s="1"/>
      <c r="L249" s="1"/>
      <c r="M249" s="1"/>
      <c r="N249" s="1"/>
      <c r="O249" s="1"/>
      <c r="P249" s="1"/>
      <c r="Q249" s="1"/>
      <c r="R249" s="1"/>
      <c r="S249" s="1"/>
      <c r="T249" s="1"/>
      <c r="U249" s="1"/>
      <c r="V249" s="1"/>
      <c r="W249" s="1"/>
      <c r="X249" s="1"/>
      <c r="Y249" s="1"/>
      <c r="Z249" s="1"/>
      <c r="AA249" s="1"/>
      <c r="AB249" s="1"/>
      <c r="AC249" s="1"/>
      <c r="AD249" s="2"/>
      <c r="AE249" s="119"/>
    </row>
    <row r="250" spans="1:71" s="111" customFormat="1" ht="64.5" customHeight="1" x14ac:dyDescent="0.15">
      <c r="A250" s="219" t="s">
        <v>634</v>
      </c>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c r="AA250" s="220"/>
      <c r="AB250" s="220"/>
      <c r="AC250" s="220"/>
      <c r="AD250" s="220"/>
      <c r="AE250" s="221"/>
      <c r="AF250" s="125"/>
      <c r="AG250" s="125"/>
      <c r="AH250" s="125"/>
      <c r="AI250" s="125"/>
      <c r="AJ250" s="125"/>
      <c r="AK250" s="125"/>
      <c r="AL250" s="125"/>
      <c r="AM250" s="125"/>
      <c r="AN250" s="125"/>
      <c r="AO250" s="125"/>
      <c r="AP250" s="125"/>
      <c r="AQ250" s="125"/>
      <c r="AR250" s="125"/>
      <c r="AS250" s="125"/>
      <c r="AT250" s="125"/>
      <c r="AU250" s="125"/>
      <c r="AV250" s="125"/>
      <c r="AW250" s="125"/>
      <c r="AX250" s="125"/>
      <c r="AY250" s="125"/>
      <c r="AZ250" s="109"/>
      <c r="BA250" s="110"/>
      <c r="BB250" s="110"/>
      <c r="BC250" s="110"/>
      <c r="BD250" s="110"/>
      <c r="BE250" s="110"/>
      <c r="BF250" s="110"/>
      <c r="BG250" s="110"/>
      <c r="BH250" s="110"/>
      <c r="BI250" s="110"/>
      <c r="BJ250" s="110"/>
      <c r="BK250" s="110"/>
      <c r="BL250" s="110"/>
      <c r="BM250" s="110"/>
      <c r="BN250" s="110"/>
      <c r="BO250" s="110"/>
      <c r="BQ250" s="112"/>
    </row>
    <row r="251" spans="1:71" s="111" customFormat="1" ht="16.5" customHeight="1" x14ac:dyDescent="0.15">
      <c r="A251" s="222" t="s">
        <v>635</v>
      </c>
      <c r="B251" s="223"/>
      <c r="C251" s="223"/>
      <c r="D251" s="223"/>
      <c r="E251" s="223"/>
      <c r="F251" s="223"/>
      <c r="G251" s="223"/>
      <c r="H251" s="223"/>
      <c r="I251" s="223"/>
      <c r="J251" s="223"/>
      <c r="K251" s="223"/>
      <c r="L251" s="223"/>
      <c r="M251" s="223"/>
      <c r="N251" s="223"/>
      <c r="O251" s="223"/>
      <c r="P251" s="223"/>
      <c r="Q251" s="223"/>
      <c r="R251" s="223"/>
      <c r="S251" s="223"/>
      <c r="T251" s="223"/>
      <c r="U251" s="223"/>
      <c r="V251" s="223"/>
      <c r="W251" s="223"/>
      <c r="X251" s="223"/>
      <c r="Y251" s="223"/>
      <c r="Z251" s="223"/>
      <c r="AA251" s="223"/>
      <c r="AB251" s="223"/>
      <c r="AC251" s="223"/>
      <c r="AD251" s="223"/>
      <c r="AE251" s="224"/>
      <c r="AF251" s="108"/>
      <c r="AG251" s="108"/>
      <c r="AH251" s="108"/>
      <c r="AI251" s="108"/>
      <c r="AJ251" s="108"/>
      <c r="AK251" s="108"/>
      <c r="AL251" s="108"/>
      <c r="AM251" s="108"/>
      <c r="AN251" s="108"/>
      <c r="AO251" s="108"/>
      <c r="AP251" s="108"/>
      <c r="AQ251" s="108"/>
      <c r="AR251" s="108"/>
      <c r="AS251" s="108"/>
      <c r="AT251" s="108"/>
      <c r="AU251" s="108"/>
      <c r="AV251" s="108"/>
      <c r="AW251" s="108"/>
      <c r="AX251" s="108"/>
      <c r="AY251" s="108"/>
      <c r="AZ251" s="109"/>
      <c r="BA251" s="110"/>
      <c r="BB251" s="110"/>
      <c r="BC251" s="110"/>
      <c r="BD251" s="110"/>
      <c r="BE251" s="110"/>
      <c r="BF251" s="110"/>
      <c r="BG251" s="110"/>
      <c r="BH251" s="110"/>
      <c r="BI251" s="110"/>
      <c r="BJ251" s="110"/>
      <c r="BK251" s="110"/>
      <c r="BL251" s="110"/>
      <c r="BM251" s="110"/>
      <c r="BN251" s="110"/>
      <c r="BO251" s="110"/>
      <c r="BQ251" s="112"/>
    </row>
    <row r="252" spans="1:71" s="9" customFormat="1" ht="18" customHeight="1" x14ac:dyDescent="0.15">
      <c r="A252" s="5" t="s">
        <v>636</v>
      </c>
      <c r="B252" s="3"/>
      <c r="C252" s="123" t="s">
        <v>637</v>
      </c>
      <c r="E252" s="126"/>
      <c r="F252" s="126"/>
      <c r="G252" s="120" t="s">
        <v>638</v>
      </c>
      <c r="H252" s="126"/>
      <c r="I252" s="120"/>
      <c r="J252" s="120"/>
      <c r="K252" s="1"/>
      <c r="L252" s="120" t="s">
        <v>639</v>
      </c>
      <c r="M252" s="120"/>
      <c r="N252" s="120"/>
      <c r="O252" s="120"/>
      <c r="P252" s="120"/>
      <c r="Q252" s="120"/>
      <c r="R252" s="120"/>
      <c r="S252" s="120"/>
      <c r="T252" s="120"/>
      <c r="U252" s="120"/>
      <c r="V252" s="120"/>
      <c r="W252" s="120"/>
      <c r="X252" s="120"/>
      <c r="Y252" s="120"/>
      <c r="Z252" s="120"/>
      <c r="AA252" s="120"/>
      <c r="AB252" s="120"/>
      <c r="AC252" s="120"/>
      <c r="AD252" s="2"/>
      <c r="AE252" s="127" t="s">
        <v>640</v>
      </c>
      <c r="AF252" s="2"/>
      <c r="AG252" s="2"/>
      <c r="AH252" s="2"/>
      <c r="AI252" s="2"/>
      <c r="AJ252" s="2"/>
      <c r="AK252" s="2"/>
      <c r="AL252" s="2"/>
      <c r="AM252" s="2"/>
      <c r="AN252" s="2"/>
      <c r="AO252" s="2"/>
      <c r="AP252" s="2"/>
      <c r="AQ252" s="2"/>
      <c r="AR252" s="2"/>
      <c r="AS252" s="2"/>
      <c r="AT252" s="2"/>
      <c r="AU252" s="2"/>
      <c r="AV252" s="2"/>
      <c r="AW252" s="2"/>
      <c r="AX252" s="2"/>
      <c r="AY252" s="2"/>
      <c r="AZ252" s="7"/>
      <c r="BA252" s="8"/>
      <c r="BB252" s="8"/>
      <c r="BC252" s="8"/>
      <c r="BD252" s="8"/>
      <c r="BE252" s="8"/>
      <c r="BF252" s="8"/>
      <c r="BG252" s="8"/>
      <c r="BH252" s="8"/>
      <c r="BI252" s="8"/>
      <c r="BJ252" s="8"/>
      <c r="BK252" s="8"/>
      <c r="BL252" s="8"/>
      <c r="BM252" s="8"/>
      <c r="BN252" s="8"/>
      <c r="BO252" s="8"/>
      <c r="BQ252" s="10"/>
    </row>
    <row r="253" spans="1:71" s="9" customFormat="1" ht="16.5" customHeight="1" x14ac:dyDescent="0.15">
      <c r="A253" s="121" t="s">
        <v>641</v>
      </c>
      <c r="B253" s="128"/>
      <c r="C253" s="1"/>
      <c r="D253" s="129"/>
      <c r="E253" s="130"/>
      <c r="F253" s="126"/>
      <c r="G253" s="126"/>
      <c r="H253" s="126"/>
      <c r="I253" s="126"/>
      <c r="J253" s="120"/>
      <c r="K253" s="1"/>
      <c r="L253" s="1"/>
      <c r="M253" s="1"/>
      <c r="N253" s="1"/>
      <c r="O253" s="1"/>
      <c r="P253" s="1"/>
      <c r="Q253" s="1"/>
      <c r="R253" s="1"/>
      <c r="S253" s="1"/>
      <c r="T253" s="1"/>
      <c r="U253" s="1"/>
      <c r="V253" s="1"/>
      <c r="W253" s="1"/>
      <c r="X253" s="1"/>
      <c r="Y253" s="1"/>
      <c r="Z253" s="1"/>
      <c r="AA253" s="1"/>
      <c r="AB253" s="1"/>
      <c r="AC253" s="120"/>
      <c r="AD253" s="1"/>
      <c r="AE253" s="127"/>
      <c r="AF253" s="2"/>
      <c r="AG253" s="2"/>
      <c r="AH253" s="2"/>
      <c r="AI253" s="2"/>
      <c r="AJ253" s="2"/>
      <c r="AK253" s="2"/>
      <c r="AL253" s="2"/>
      <c r="AM253" s="2"/>
      <c r="AN253" s="2"/>
      <c r="AO253" s="2"/>
      <c r="AP253" s="2"/>
      <c r="AQ253" s="2"/>
      <c r="AR253" s="2"/>
      <c r="AS253" s="2"/>
      <c r="AT253" s="2"/>
      <c r="AU253" s="2"/>
      <c r="AV253" s="2"/>
      <c r="AW253" s="2"/>
      <c r="AX253" s="2"/>
      <c r="AY253" s="2"/>
      <c r="AZ253" s="7"/>
      <c r="BA253" s="8"/>
      <c r="BB253" s="8"/>
      <c r="BC253" s="8"/>
      <c r="BD253" s="8"/>
      <c r="BE253" s="8"/>
      <c r="BF253" s="8"/>
      <c r="BG253" s="8"/>
      <c r="BH253" s="8"/>
      <c r="BI253" s="8"/>
      <c r="BJ253" s="8"/>
      <c r="BK253" s="8"/>
      <c r="BL253" s="8"/>
      <c r="BM253" s="8"/>
      <c r="BN253" s="8"/>
      <c r="BO253" s="8"/>
      <c r="BQ253" s="10"/>
    </row>
    <row r="254" spans="1:71" s="9" customFormat="1" ht="11.25" customHeight="1" x14ac:dyDescent="0.15">
      <c r="A254" s="131"/>
      <c r="B254" s="132"/>
      <c r="C254" s="132"/>
      <c r="D254" s="133"/>
      <c r="E254" s="134"/>
      <c r="F254" s="135"/>
      <c r="G254" s="135"/>
      <c r="H254" s="135"/>
      <c r="I254" s="135"/>
      <c r="J254" s="136"/>
      <c r="K254" s="132"/>
      <c r="L254" s="132"/>
      <c r="M254" s="132"/>
      <c r="N254" s="132"/>
      <c r="O254" s="132"/>
      <c r="P254" s="132"/>
      <c r="Q254" s="132"/>
      <c r="R254" s="132"/>
      <c r="S254" s="132"/>
      <c r="T254" s="132"/>
      <c r="U254" s="132"/>
      <c r="V254" s="132"/>
      <c r="W254" s="132"/>
      <c r="X254" s="132"/>
      <c r="Y254" s="132"/>
      <c r="Z254" s="132"/>
      <c r="AA254" s="132"/>
      <c r="AB254" s="132"/>
      <c r="AC254" s="136"/>
      <c r="AD254" s="132"/>
      <c r="AE254" s="137"/>
      <c r="AF254" s="2"/>
      <c r="AG254" s="2"/>
      <c r="AH254" s="2"/>
      <c r="AI254" s="2"/>
      <c r="AJ254" s="2"/>
      <c r="AK254" s="2"/>
      <c r="AL254" s="2"/>
      <c r="AM254" s="2"/>
      <c r="AN254" s="2"/>
      <c r="AO254" s="2"/>
      <c r="AP254" s="2"/>
      <c r="AQ254" s="2"/>
      <c r="AR254" s="2"/>
      <c r="AS254" s="2"/>
      <c r="AT254" s="2"/>
      <c r="AU254" s="2"/>
      <c r="AV254" s="2"/>
      <c r="AW254" s="2"/>
      <c r="AX254" s="2"/>
      <c r="AY254" s="2"/>
      <c r="AZ254" s="7"/>
      <c r="BA254" s="8"/>
      <c r="BB254" s="8"/>
      <c r="BC254" s="8"/>
      <c r="BD254" s="8"/>
      <c r="BE254" s="8"/>
      <c r="BF254" s="8"/>
      <c r="BG254" s="8"/>
      <c r="BH254" s="8"/>
      <c r="BI254" s="8"/>
      <c r="BJ254" s="8"/>
      <c r="BK254" s="8"/>
      <c r="BL254" s="8"/>
      <c r="BM254" s="8"/>
      <c r="BN254" s="8"/>
      <c r="BO254" s="8"/>
      <c r="BQ254" s="10"/>
    </row>
    <row r="255" spans="1:71" s="111" customFormat="1" ht="21.75" customHeight="1" x14ac:dyDescent="0.15">
      <c r="A255" s="203" t="s">
        <v>642</v>
      </c>
      <c r="B255" s="204"/>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5"/>
      <c r="AF255" s="138"/>
      <c r="AG255" s="138"/>
      <c r="AH255" s="138"/>
      <c r="AI255" s="138"/>
      <c r="AJ255" s="138"/>
      <c r="AK255" s="138"/>
      <c r="AL255" s="138"/>
      <c r="AM255" s="138"/>
      <c r="AN255" s="138"/>
      <c r="AO255" s="138"/>
      <c r="AP255" s="138"/>
      <c r="AQ255" s="138"/>
      <c r="AR255" s="138"/>
      <c r="AS255" s="138"/>
      <c r="AT255" s="138"/>
      <c r="AU255" s="138"/>
      <c r="AV255" s="138"/>
      <c r="AW255" s="138"/>
      <c r="AX255" s="138"/>
      <c r="AY255" s="138"/>
      <c r="AZ255" s="109"/>
      <c r="BA255" s="110"/>
      <c r="BB255" s="110"/>
      <c r="BC255" s="110"/>
      <c r="BD255" s="110"/>
      <c r="BE255" s="110"/>
      <c r="BF255" s="110"/>
      <c r="BG255" s="110"/>
      <c r="BH255" s="110"/>
      <c r="BI255" s="110"/>
      <c r="BJ255" s="110"/>
      <c r="BK255" s="110"/>
      <c r="BL255" s="110"/>
      <c r="BM255" s="110"/>
      <c r="BN255" s="110"/>
      <c r="BO255" s="110"/>
      <c r="BQ255" s="112"/>
    </row>
    <row r="256" spans="1:71" s="149" customFormat="1" ht="18.75" customHeight="1" x14ac:dyDescent="0.15">
      <c r="A256" s="139" t="s">
        <v>643</v>
      </c>
      <c r="B256" s="140"/>
      <c r="C256" s="141"/>
      <c r="D256" s="141"/>
      <c r="E256" s="142"/>
      <c r="F256" s="142"/>
      <c r="G256" s="142"/>
      <c r="H256" s="142"/>
      <c r="I256" s="143" t="s">
        <v>644</v>
      </c>
      <c r="J256" s="144"/>
      <c r="K256" s="144"/>
      <c r="L256" s="144"/>
      <c r="M256" s="144"/>
      <c r="N256" s="144"/>
      <c r="O256" s="144"/>
      <c r="P256" s="144"/>
      <c r="Q256" s="144"/>
      <c r="R256" s="144"/>
      <c r="S256" s="144"/>
      <c r="T256" s="144"/>
      <c r="U256" s="144"/>
      <c r="V256" s="144"/>
      <c r="W256" s="144"/>
      <c r="X256" s="144"/>
      <c r="Y256" s="144"/>
      <c r="Z256" s="144"/>
      <c r="AA256" s="144"/>
      <c r="AB256" s="144"/>
      <c r="AC256" s="144"/>
      <c r="AD256" s="144"/>
      <c r="AE256" s="145"/>
      <c r="AF256" s="146"/>
      <c r="AG256" s="146"/>
      <c r="AH256" s="146"/>
      <c r="AI256" s="146"/>
      <c r="AJ256" s="146"/>
      <c r="AK256" s="146"/>
      <c r="AL256" s="146"/>
      <c r="AM256" s="146"/>
      <c r="AN256" s="146"/>
      <c r="AO256" s="146"/>
      <c r="AP256" s="146"/>
      <c r="AQ256" s="146"/>
      <c r="AR256" s="146"/>
      <c r="AS256" s="146"/>
      <c r="AT256" s="146"/>
      <c r="AU256" s="146"/>
      <c r="AV256" s="146"/>
      <c r="AW256" s="146"/>
      <c r="AX256" s="146"/>
      <c r="AY256" s="146"/>
      <c r="AZ256" s="147"/>
      <c r="BA256" s="148"/>
      <c r="BB256" s="148"/>
      <c r="BC256" s="148"/>
      <c r="BD256" s="148"/>
      <c r="BE256" s="148"/>
      <c r="BF256" s="148"/>
      <c r="BG256" s="148"/>
      <c r="BH256" s="148"/>
      <c r="BI256" s="148"/>
      <c r="BJ256" s="148"/>
      <c r="BK256" s="148"/>
      <c r="BL256" s="148"/>
      <c r="BM256" s="148"/>
      <c r="BN256" s="148"/>
      <c r="BO256" s="148"/>
      <c r="BQ256" s="150"/>
    </row>
    <row r="257" spans="1:71" s="9" customFormat="1" ht="18.75" customHeight="1" x14ac:dyDescent="0.15">
      <c r="A257" s="206" t="s">
        <v>645</v>
      </c>
      <c r="B257" s="207"/>
      <c r="C257" s="207"/>
      <c r="D257" s="207"/>
      <c r="E257" s="151" t="s">
        <v>646</v>
      </c>
      <c r="F257" s="152"/>
      <c r="G257" s="152"/>
      <c r="H257" s="152"/>
      <c r="I257" s="153" t="s">
        <v>647</v>
      </c>
      <c r="K257" s="154"/>
      <c r="L257" s="154"/>
      <c r="M257" s="154"/>
      <c r="N257" s="154"/>
      <c r="O257" s="154"/>
      <c r="P257" s="154"/>
      <c r="Q257" s="154"/>
      <c r="R257" s="154"/>
      <c r="S257" s="154"/>
      <c r="T257" s="154"/>
      <c r="U257" s="154"/>
      <c r="V257" s="154"/>
      <c r="W257" s="154"/>
      <c r="X257" s="154"/>
      <c r="Y257" s="154"/>
      <c r="Z257" s="154"/>
      <c r="AA257" s="154"/>
      <c r="AB257" s="154"/>
      <c r="AC257" s="9" t="s">
        <v>648</v>
      </c>
      <c r="AE257" s="155" t="s">
        <v>646</v>
      </c>
      <c r="AF257" s="156"/>
      <c r="AG257" s="156"/>
      <c r="AH257" s="156"/>
      <c r="AI257" s="156"/>
      <c r="AJ257" s="156"/>
      <c r="AK257" s="156"/>
      <c r="AL257" s="156"/>
      <c r="AM257" s="156"/>
      <c r="AN257" s="156"/>
      <c r="AO257" s="156"/>
      <c r="AP257" s="156"/>
      <c r="AQ257" s="156"/>
      <c r="AR257" s="156"/>
      <c r="AS257" s="156"/>
      <c r="AT257" s="156"/>
      <c r="AU257" s="156"/>
      <c r="AV257" s="156"/>
      <c r="AW257" s="156"/>
      <c r="AX257" s="156"/>
      <c r="AY257" s="156"/>
      <c r="AZ257" s="7"/>
      <c r="BA257" s="8"/>
      <c r="BB257" s="8"/>
      <c r="BC257" s="8"/>
      <c r="BD257" s="8"/>
      <c r="BE257" s="8"/>
      <c r="BF257" s="8"/>
      <c r="BG257" s="8"/>
      <c r="BH257" s="8"/>
      <c r="BI257" s="8"/>
      <c r="BJ257" s="8"/>
      <c r="BK257" s="8"/>
      <c r="BL257" s="8"/>
      <c r="BM257" s="8"/>
      <c r="BN257" s="8"/>
      <c r="BO257" s="8"/>
      <c r="BQ257" s="10"/>
    </row>
    <row r="258" spans="1:71" s="9" customFormat="1" ht="18.75" customHeight="1" x14ac:dyDescent="0.15">
      <c r="A258" s="206" t="s">
        <v>649</v>
      </c>
      <c r="B258" s="207"/>
      <c r="C258" s="207"/>
      <c r="D258" s="207"/>
      <c r="E258" s="157"/>
      <c r="F258" s="158"/>
      <c r="G258" s="158"/>
      <c r="H258" s="158"/>
      <c r="I258" s="159" t="s">
        <v>650</v>
      </c>
      <c r="K258" s="160"/>
      <c r="L258" s="160"/>
      <c r="M258" s="160"/>
      <c r="N258" s="160"/>
      <c r="O258" s="160"/>
      <c r="P258" s="160"/>
      <c r="Q258" s="160"/>
      <c r="R258" s="160"/>
      <c r="S258" s="160"/>
      <c r="T258" s="160"/>
      <c r="U258" s="160"/>
      <c r="V258" s="160"/>
      <c r="W258" s="160"/>
      <c r="X258" s="160"/>
      <c r="Y258" s="160"/>
      <c r="Z258" s="160"/>
      <c r="AA258" s="160"/>
      <c r="AB258" s="160"/>
      <c r="AC258" s="9" t="s">
        <v>651</v>
      </c>
      <c r="AE258" s="161"/>
      <c r="AF258" s="162"/>
      <c r="AG258" s="162"/>
      <c r="AH258" s="162"/>
      <c r="AI258" s="162"/>
      <c r="AJ258" s="162"/>
      <c r="AK258" s="162"/>
      <c r="AL258" s="162"/>
      <c r="AM258" s="162"/>
      <c r="AN258" s="162"/>
      <c r="AO258" s="162"/>
      <c r="AP258" s="162"/>
      <c r="AQ258" s="162"/>
      <c r="AR258" s="162"/>
      <c r="AS258" s="162"/>
      <c r="AT258" s="162"/>
      <c r="AU258" s="162"/>
      <c r="AV258" s="162"/>
      <c r="AW258" s="162"/>
      <c r="AX258" s="162"/>
      <c r="AY258" s="162"/>
      <c r="AZ258" s="7"/>
      <c r="BA258" s="8"/>
      <c r="BB258" s="8"/>
      <c r="BC258" s="8"/>
      <c r="BD258" s="8"/>
      <c r="BE258" s="8"/>
      <c r="BF258" s="8"/>
      <c r="BG258" s="8"/>
      <c r="BH258" s="8"/>
      <c r="BI258" s="8"/>
      <c r="BJ258" s="8"/>
      <c r="BK258" s="8"/>
      <c r="BL258" s="8"/>
      <c r="BM258" s="8"/>
      <c r="BN258" s="8"/>
      <c r="BO258" s="8"/>
      <c r="BQ258" s="10"/>
    </row>
    <row r="259" spans="1:71" s="9" customFormat="1" ht="18.75" customHeight="1" x14ac:dyDescent="0.15">
      <c r="A259" s="206" t="s">
        <v>652</v>
      </c>
      <c r="B259" s="207"/>
      <c r="C259" s="207"/>
      <c r="D259" s="207"/>
      <c r="E259" s="157"/>
      <c r="F259" s="158"/>
      <c r="G259" s="158"/>
      <c r="H259" s="158"/>
      <c r="I259" s="153" t="s">
        <v>653</v>
      </c>
      <c r="K259" s="129"/>
      <c r="L259" s="129"/>
      <c r="M259" s="129"/>
      <c r="N259" s="129"/>
      <c r="O259" s="129"/>
      <c r="P259" s="129"/>
      <c r="Q259" s="129"/>
      <c r="R259" s="129"/>
      <c r="S259" s="129"/>
      <c r="T259" s="129"/>
      <c r="U259" s="129"/>
      <c r="V259" s="129"/>
      <c r="W259" s="129"/>
      <c r="X259" s="129"/>
      <c r="Y259" s="129"/>
      <c r="Z259" s="129"/>
      <c r="AA259" s="129"/>
      <c r="AB259" s="129"/>
      <c r="AC259" s="160" t="s">
        <v>654</v>
      </c>
      <c r="AD259" s="163"/>
      <c r="AE259" s="161"/>
      <c r="AF259" s="162"/>
      <c r="AG259" s="162"/>
      <c r="AH259" s="162"/>
      <c r="AI259" s="162"/>
      <c r="AJ259" s="162"/>
      <c r="AK259" s="162"/>
      <c r="AL259" s="162"/>
      <c r="AM259" s="162"/>
      <c r="AN259" s="162"/>
      <c r="AO259" s="162"/>
      <c r="AP259" s="162"/>
      <c r="AQ259" s="162"/>
      <c r="AR259" s="162"/>
      <c r="AS259" s="162"/>
      <c r="AT259" s="162"/>
      <c r="AU259" s="162"/>
      <c r="AV259" s="162"/>
      <c r="AW259" s="162"/>
      <c r="AX259" s="162"/>
      <c r="AY259" s="162"/>
      <c r="AZ259" s="7"/>
      <c r="BA259" s="8"/>
      <c r="BB259" s="8"/>
      <c r="BC259" s="8"/>
      <c r="BD259" s="8"/>
      <c r="BE259" s="8"/>
      <c r="BF259" s="8"/>
      <c r="BG259" s="8"/>
      <c r="BH259" s="8"/>
      <c r="BI259" s="8"/>
      <c r="BJ259" s="8"/>
      <c r="BK259" s="8"/>
      <c r="BL259" s="8"/>
      <c r="BM259" s="8"/>
      <c r="BN259" s="8"/>
      <c r="BO259" s="8"/>
      <c r="BQ259" s="10"/>
    </row>
    <row r="260" spans="1:71" s="9" customFormat="1" ht="9" customHeight="1" thickBot="1" x14ac:dyDescent="0.2">
      <c r="A260" s="164"/>
      <c r="B260" s="165"/>
      <c r="C260" s="165"/>
      <c r="D260" s="165"/>
      <c r="E260" s="166"/>
      <c r="F260" s="167"/>
      <c r="G260" s="167"/>
      <c r="H260" s="167"/>
      <c r="I260" s="168"/>
      <c r="J260" s="169"/>
      <c r="K260" s="165"/>
      <c r="L260" s="165"/>
      <c r="M260" s="165"/>
      <c r="N260" s="165"/>
      <c r="O260" s="165"/>
      <c r="P260" s="165"/>
      <c r="Q260" s="165"/>
      <c r="R260" s="165"/>
      <c r="S260" s="165"/>
      <c r="T260" s="165"/>
      <c r="U260" s="165"/>
      <c r="V260" s="165"/>
      <c r="W260" s="165"/>
      <c r="X260" s="165"/>
      <c r="Y260" s="165"/>
      <c r="Z260" s="165"/>
      <c r="AA260" s="165"/>
      <c r="AB260" s="165"/>
      <c r="AC260" s="170"/>
      <c r="AD260" s="170"/>
      <c r="AE260" s="171"/>
      <c r="AF260" s="163"/>
      <c r="AG260" s="163"/>
      <c r="AH260" s="163"/>
      <c r="AI260" s="163"/>
      <c r="AJ260" s="163"/>
      <c r="AK260" s="163"/>
      <c r="AL260" s="163"/>
      <c r="AM260" s="163"/>
      <c r="AN260" s="163"/>
      <c r="AO260" s="163"/>
      <c r="AP260" s="163"/>
      <c r="AQ260" s="163"/>
      <c r="AR260" s="163"/>
      <c r="AS260" s="163"/>
      <c r="AT260" s="163"/>
      <c r="AU260" s="163"/>
      <c r="AV260" s="163"/>
      <c r="AW260" s="163"/>
      <c r="AX260" s="163"/>
      <c r="AY260" s="163"/>
      <c r="AZ260" s="7"/>
      <c r="BA260" s="8"/>
      <c r="BB260" s="8"/>
      <c r="BC260" s="8"/>
      <c r="BD260" s="8"/>
      <c r="BE260" s="8"/>
      <c r="BF260" s="8"/>
      <c r="BG260" s="8"/>
      <c r="BH260" s="8"/>
      <c r="BI260" s="8"/>
      <c r="BJ260" s="8"/>
      <c r="BK260" s="8"/>
      <c r="BL260" s="8"/>
      <c r="BM260" s="8"/>
      <c r="BN260" s="8"/>
      <c r="BO260" s="8"/>
      <c r="BQ260" s="10"/>
    </row>
    <row r="261" spans="1:71" s="111" customFormat="1" ht="9.75" customHeight="1" thickBot="1" x14ac:dyDescent="0.2">
      <c r="A261" s="172"/>
      <c r="B261" s="173"/>
      <c r="C261" s="173"/>
      <c r="D261" s="148"/>
      <c r="E261" s="174"/>
      <c r="F261" s="175"/>
      <c r="G261" s="175"/>
      <c r="H261" s="175"/>
      <c r="I261" s="175"/>
      <c r="J261" s="149"/>
      <c r="K261" s="176"/>
      <c r="L261" s="176"/>
      <c r="M261" s="176"/>
      <c r="N261" s="176"/>
      <c r="O261" s="176"/>
      <c r="P261" s="176"/>
      <c r="Q261" s="176"/>
      <c r="R261" s="176"/>
      <c r="S261" s="176"/>
      <c r="T261" s="176"/>
      <c r="U261" s="176"/>
      <c r="V261" s="176"/>
      <c r="W261" s="176"/>
      <c r="X261" s="176"/>
      <c r="Y261" s="176"/>
      <c r="Z261" s="176"/>
      <c r="AA261" s="176"/>
      <c r="AB261" s="176"/>
      <c r="AC261" s="176"/>
      <c r="AD261" s="176"/>
      <c r="AE261" s="177"/>
      <c r="AF261" s="176"/>
      <c r="AG261" s="176"/>
      <c r="AH261" s="176"/>
      <c r="AI261" s="176"/>
      <c r="AJ261" s="176"/>
      <c r="AK261" s="176"/>
      <c r="AL261" s="176"/>
      <c r="AM261" s="176"/>
      <c r="AN261" s="176"/>
      <c r="AO261" s="176"/>
      <c r="AP261" s="176"/>
      <c r="AQ261" s="176"/>
      <c r="AR261" s="176"/>
      <c r="AS261" s="176"/>
      <c r="AT261" s="176"/>
      <c r="AU261" s="176"/>
      <c r="AV261" s="176"/>
      <c r="AW261" s="176"/>
      <c r="AX261" s="176"/>
      <c r="AY261" s="176"/>
      <c r="AZ261" s="109"/>
      <c r="BA261" s="110"/>
      <c r="BB261" s="110"/>
      <c r="BC261" s="110"/>
      <c r="BD261" s="110"/>
      <c r="BE261" s="110"/>
      <c r="BF261" s="110"/>
      <c r="BG261" s="110"/>
      <c r="BH261" s="110"/>
      <c r="BI261" s="110"/>
      <c r="BJ261" s="110"/>
      <c r="BK261" s="110"/>
      <c r="BL261" s="110"/>
      <c r="BM261" s="110"/>
      <c r="BN261" s="110"/>
      <c r="BO261" s="110"/>
      <c r="BQ261" s="112"/>
    </row>
    <row r="262" spans="1:71" s="9" customFormat="1" ht="15.75" customHeight="1" x14ac:dyDescent="0.15">
      <c r="A262" s="208"/>
      <c r="B262" s="209"/>
      <c r="C262" s="178" t="s">
        <v>655</v>
      </c>
      <c r="D262" s="210" t="s">
        <v>656</v>
      </c>
      <c r="E262" s="210"/>
      <c r="F262" s="210"/>
      <c r="G262" s="210"/>
      <c r="H262" s="210"/>
      <c r="I262" s="211" t="s">
        <v>657</v>
      </c>
      <c r="J262" s="212"/>
      <c r="K262" s="212"/>
      <c r="L262" s="212"/>
      <c r="M262" s="212"/>
      <c r="N262" s="212"/>
      <c r="O262" s="212"/>
      <c r="P262" s="212"/>
      <c r="Q262" s="212"/>
      <c r="R262" s="212"/>
      <c r="S262" s="212"/>
      <c r="T262" s="212"/>
      <c r="U262" s="212"/>
      <c r="V262" s="212"/>
      <c r="W262" s="212"/>
      <c r="X262" s="212"/>
      <c r="Y262" s="212"/>
      <c r="Z262" s="212"/>
      <c r="AA262" s="212"/>
      <c r="AB262" s="213"/>
      <c r="AC262" s="211" t="s">
        <v>658</v>
      </c>
      <c r="AD262" s="212"/>
      <c r="AE262" s="213"/>
      <c r="AF262" s="179"/>
      <c r="AG262" s="179"/>
      <c r="AH262" s="179"/>
      <c r="AI262" s="179"/>
      <c r="AJ262" s="179"/>
      <c r="AK262" s="179"/>
      <c r="AL262" s="179"/>
      <c r="AM262" s="179"/>
      <c r="AN262" s="179"/>
      <c r="AO262" s="179"/>
      <c r="AP262" s="179"/>
      <c r="AQ262" s="179"/>
      <c r="AR262" s="179"/>
      <c r="AS262" s="179"/>
      <c r="AT262" s="179"/>
      <c r="AU262" s="179"/>
      <c r="AV262" s="179"/>
      <c r="AW262" s="179"/>
      <c r="AX262" s="179"/>
      <c r="AY262" s="179"/>
      <c r="AZ262" s="7"/>
      <c r="BA262" s="8"/>
      <c r="BB262" s="8"/>
      <c r="BC262" s="8"/>
      <c r="BD262" s="8"/>
      <c r="BE262" s="8"/>
      <c r="BF262" s="8"/>
      <c r="BG262" s="8"/>
      <c r="BH262" s="8"/>
      <c r="BI262" s="8"/>
      <c r="BJ262" s="8"/>
      <c r="BK262" s="8"/>
      <c r="BL262" s="8"/>
      <c r="BM262" s="8"/>
      <c r="BN262" s="8"/>
      <c r="BO262" s="8"/>
      <c r="BQ262" s="10"/>
    </row>
    <row r="263" spans="1:71" s="9" customFormat="1" ht="60.75" customHeight="1" x14ac:dyDescent="0.15">
      <c r="A263" s="200" t="s">
        <v>659</v>
      </c>
      <c r="B263" s="201"/>
      <c r="C263" s="14"/>
      <c r="D263" s="202"/>
      <c r="E263" s="202"/>
      <c r="F263" s="202"/>
      <c r="G263" s="202"/>
      <c r="H263" s="202"/>
      <c r="I263" s="180"/>
      <c r="J263" s="11"/>
      <c r="K263" s="180"/>
      <c r="L263" s="180"/>
      <c r="M263" s="180"/>
      <c r="N263" s="180"/>
      <c r="O263" s="180"/>
      <c r="P263" s="180"/>
      <c r="Q263" s="180"/>
      <c r="R263" s="180"/>
      <c r="S263" s="180"/>
      <c r="T263" s="180"/>
      <c r="U263" s="180"/>
      <c r="V263" s="180"/>
      <c r="W263" s="180"/>
      <c r="X263" s="180"/>
      <c r="Y263" s="180"/>
      <c r="Z263" s="180"/>
      <c r="AA263" s="180"/>
      <c r="AB263" s="180"/>
      <c r="AC263" s="181"/>
      <c r="AD263" s="182"/>
      <c r="AE263" s="183"/>
      <c r="AF263" s="11"/>
      <c r="AG263" s="11"/>
      <c r="AH263" s="11"/>
      <c r="AI263" s="11"/>
      <c r="AJ263" s="11"/>
      <c r="AK263" s="11"/>
      <c r="AL263" s="11"/>
      <c r="AM263" s="11"/>
      <c r="AN263" s="11"/>
      <c r="AO263" s="11"/>
      <c r="AP263" s="11"/>
      <c r="AQ263" s="11"/>
      <c r="AR263" s="11"/>
      <c r="AS263" s="11"/>
      <c r="AT263" s="11"/>
      <c r="AU263" s="11"/>
      <c r="AV263" s="11"/>
      <c r="AW263" s="11"/>
      <c r="AX263" s="11"/>
      <c r="AY263" s="11"/>
      <c r="AZ263" s="7"/>
      <c r="BA263" s="8"/>
      <c r="BB263" s="8"/>
      <c r="BC263" s="8"/>
      <c r="BD263" s="8"/>
      <c r="BE263" s="8"/>
      <c r="BF263" s="8"/>
      <c r="BG263" s="8"/>
      <c r="BH263" s="8"/>
      <c r="BI263" s="8"/>
      <c r="BJ263" s="8"/>
      <c r="BK263" s="8"/>
      <c r="BL263" s="8"/>
      <c r="BM263" s="8"/>
      <c r="BN263" s="8"/>
      <c r="BO263" s="8"/>
      <c r="BQ263" s="10"/>
    </row>
    <row r="264" spans="1:71" s="9" customFormat="1" ht="60.75" customHeight="1" x14ac:dyDescent="0.15">
      <c r="A264" s="200" t="s">
        <v>660</v>
      </c>
      <c r="B264" s="201"/>
      <c r="C264" s="14"/>
      <c r="D264" s="202"/>
      <c r="E264" s="202"/>
      <c r="F264" s="202"/>
      <c r="G264" s="202"/>
      <c r="H264" s="202"/>
      <c r="I264" s="182"/>
      <c r="J264" s="184"/>
      <c r="K264" s="182"/>
      <c r="L264" s="182"/>
      <c r="M264" s="182"/>
      <c r="N264" s="182"/>
      <c r="O264" s="182"/>
      <c r="P264" s="182"/>
      <c r="Q264" s="182"/>
      <c r="R264" s="182"/>
      <c r="S264" s="182"/>
      <c r="T264" s="182"/>
      <c r="U264" s="182"/>
      <c r="V264" s="182"/>
      <c r="W264" s="182"/>
      <c r="X264" s="182"/>
      <c r="Y264" s="182"/>
      <c r="Z264" s="182"/>
      <c r="AA264" s="182"/>
      <c r="AB264" s="182"/>
      <c r="AC264" s="181"/>
      <c r="AD264" s="182"/>
      <c r="AE264" s="183"/>
      <c r="AF264" s="11"/>
      <c r="AG264" s="11"/>
      <c r="AH264" s="11"/>
      <c r="AI264" s="11"/>
      <c r="AJ264" s="11"/>
      <c r="AK264" s="11"/>
      <c r="AL264" s="11"/>
      <c r="AM264" s="11"/>
      <c r="AN264" s="11"/>
      <c r="AO264" s="11"/>
      <c r="AP264" s="11"/>
      <c r="AQ264" s="11"/>
      <c r="AR264" s="11"/>
      <c r="AS264" s="11"/>
      <c r="AT264" s="11"/>
      <c r="AU264" s="11"/>
      <c r="AV264" s="11"/>
      <c r="AW264" s="11"/>
      <c r="AX264" s="11"/>
      <c r="AY264" s="11"/>
      <c r="AZ264" s="7"/>
      <c r="BA264" s="8"/>
      <c r="BB264" s="8"/>
      <c r="BC264" s="8"/>
      <c r="BD264" s="8"/>
      <c r="BE264" s="8"/>
      <c r="BF264" s="8"/>
      <c r="BG264" s="8"/>
      <c r="BH264" s="8"/>
      <c r="BI264" s="8"/>
      <c r="BJ264" s="8"/>
      <c r="BK264" s="8"/>
      <c r="BL264" s="8"/>
      <c r="BM264" s="8"/>
      <c r="BN264" s="8"/>
      <c r="BO264" s="8"/>
      <c r="BQ264" s="10"/>
    </row>
    <row r="265" spans="1:71" s="9" customFormat="1" ht="60.75" customHeight="1" x14ac:dyDescent="0.15">
      <c r="A265" s="200" t="s">
        <v>661</v>
      </c>
      <c r="B265" s="201"/>
      <c r="C265" s="14"/>
      <c r="D265" s="202"/>
      <c r="E265" s="202"/>
      <c r="F265" s="202"/>
      <c r="G265" s="202"/>
      <c r="H265" s="202"/>
      <c r="I265" s="182"/>
      <c r="J265" s="184"/>
      <c r="K265" s="182"/>
      <c r="L265" s="182"/>
      <c r="M265" s="182"/>
      <c r="N265" s="182"/>
      <c r="O265" s="182"/>
      <c r="P265" s="182"/>
      <c r="Q265" s="182"/>
      <c r="R265" s="182"/>
      <c r="S265" s="182"/>
      <c r="T265" s="182"/>
      <c r="U265" s="182"/>
      <c r="V265" s="182"/>
      <c r="W265" s="182"/>
      <c r="X265" s="182"/>
      <c r="Y265" s="182"/>
      <c r="Z265" s="182"/>
      <c r="AA265" s="182"/>
      <c r="AB265" s="182"/>
      <c r="AC265" s="181"/>
      <c r="AD265" s="182"/>
      <c r="AE265" s="183"/>
      <c r="AF265" s="11"/>
      <c r="AG265" s="11"/>
      <c r="AH265" s="11"/>
      <c r="AI265" s="11"/>
      <c r="AJ265" s="11"/>
      <c r="AK265" s="11"/>
      <c r="AL265" s="11"/>
      <c r="AM265" s="11"/>
      <c r="AN265" s="11"/>
      <c r="AO265" s="11"/>
      <c r="AP265" s="11"/>
      <c r="AQ265" s="11"/>
      <c r="AR265" s="11"/>
      <c r="AS265" s="11"/>
      <c r="AT265" s="11"/>
      <c r="AU265" s="11"/>
      <c r="AV265" s="11"/>
      <c r="AW265" s="11"/>
      <c r="AX265" s="11"/>
      <c r="AY265" s="11"/>
      <c r="AZ265" s="7"/>
      <c r="BA265" s="8"/>
      <c r="BB265" s="8"/>
      <c r="BC265" s="8"/>
      <c r="BD265" s="8"/>
      <c r="BE265" s="8"/>
      <c r="BF265" s="8"/>
      <c r="BG265" s="8"/>
      <c r="BH265" s="8"/>
      <c r="BI265" s="8"/>
      <c r="BJ265" s="8"/>
      <c r="BK265" s="8"/>
      <c r="BL265" s="8"/>
      <c r="BM265" s="8"/>
      <c r="BN265" s="8"/>
      <c r="BO265" s="8"/>
      <c r="BQ265" s="10"/>
    </row>
    <row r="266" spans="1:71" s="9" customFormat="1" ht="60.75" customHeight="1" thickBot="1" x14ac:dyDescent="0.2">
      <c r="A266" s="195" t="s">
        <v>662</v>
      </c>
      <c r="B266" s="196"/>
      <c r="C266" s="185"/>
      <c r="D266" s="197"/>
      <c r="E266" s="198"/>
      <c r="F266" s="198"/>
      <c r="G266" s="198"/>
      <c r="H266" s="199"/>
      <c r="I266" s="185"/>
      <c r="K266" s="186"/>
      <c r="L266" s="186"/>
      <c r="M266" s="186"/>
      <c r="N266" s="186"/>
      <c r="O266" s="186"/>
      <c r="P266" s="186"/>
      <c r="Q266" s="186"/>
      <c r="R266" s="186"/>
      <c r="S266" s="186"/>
      <c r="T266" s="186"/>
      <c r="U266" s="186"/>
      <c r="V266" s="186"/>
      <c r="W266" s="186"/>
      <c r="X266" s="186"/>
      <c r="Y266" s="186"/>
      <c r="Z266" s="186"/>
      <c r="AA266" s="186"/>
      <c r="AB266" s="186"/>
      <c r="AC266" s="185"/>
      <c r="AD266" s="186"/>
      <c r="AE266" s="183"/>
      <c r="AF266" s="11"/>
      <c r="AG266" s="11"/>
      <c r="AH266" s="11"/>
      <c r="AI266" s="11"/>
      <c r="AJ266" s="11"/>
      <c r="AK266" s="11"/>
      <c r="AL266" s="11"/>
      <c r="AM266" s="11"/>
      <c r="AN266" s="11"/>
      <c r="AO266" s="11"/>
      <c r="AP266" s="11"/>
      <c r="AQ266" s="11"/>
      <c r="AR266" s="11"/>
      <c r="AS266" s="11"/>
      <c r="AT266" s="11"/>
      <c r="AU266" s="11"/>
      <c r="AV266" s="11"/>
      <c r="AW266" s="11"/>
      <c r="AX266" s="11"/>
      <c r="AY266" s="11"/>
      <c r="AZ266" s="7"/>
      <c r="BA266" s="8"/>
      <c r="BB266" s="8"/>
      <c r="BC266" s="8"/>
      <c r="BD266" s="8"/>
      <c r="BE266" s="8"/>
      <c r="BF266" s="8"/>
      <c r="BG266" s="8"/>
      <c r="BH266" s="8"/>
      <c r="BI266" s="8"/>
      <c r="BJ266" s="8"/>
      <c r="BK266" s="8"/>
      <c r="BL266" s="8"/>
      <c r="BM266" s="8"/>
      <c r="BN266" s="8"/>
      <c r="BO266" s="8"/>
      <c r="BQ266" s="10"/>
    </row>
    <row r="267" spans="1:71" s="9" customFormat="1" ht="6.75" customHeight="1" x14ac:dyDescent="0.15">
      <c r="A267" s="187"/>
      <c r="B267" s="187"/>
      <c r="C267" s="188"/>
      <c r="D267" s="188"/>
      <c r="E267" s="189"/>
      <c r="F267" s="190"/>
      <c r="G267" s="190"/>
      <c r="H267" s="190"/>
      <c r="I267" s="190"/>
      <c r="J267" s="191"/>
      <c r="K267" s="11"/>
      <c r="L267" s="11"/>
      <c r="M267" s="11"/>
      <c r="N267" s="11"/>
      <c r="O267" s="11"/>
      <c r="P267" s="11"/>
      <c r="Q267" s="11"/>
      <c r="R267" s="11"/>
      <c r="S267" s="11"/>
      <c r="T267" s="11"/>
      <c r="U267" s="11"/>
      <c r="V267" s="11"/>
      <c r="W267" s="11"/>
      <c r="X267" s="11"/>
      <c r="Y267" s="11"/>
      <c r="Z267" s="11"/>
      <c r="AA267" s="11"/>
      <c r="AB267" s="11"/>
      <c r="AC267" s="11"/>
      <c r="AD267" s="6"/>
      <c r="AE267" s="192"/>
      <c r="AF267" s="193"/>
      <c r="AG267" s="193"/>
      <c r="AH267" s="193"/>
      <c r="AI267" s="193"/>
      <c r="AJ267" s="193"/>
      <c r="AK267" s="193"/>
      <c r="AL267" s="193"/>
      <c r="AM267" s="193"/>
      <c r="AN267" s="193"/>
      <c r="AO267" s="193"/>
      <c r="AP267" s="193"/>
      <c r="AQ267" s="193"/>
      <c r="AR267" s="193"/>
      <c r="AS267" s="193"/>
      <c r="AT267" s="193"/>
      <c r="AU267" s="193"/>
      <c r="AV267" s="193"/>
      <c r="AW267" s="193"/>
      <c r="AX267" s="193"/>
      <c r="AY267" s="193"/>
      <c r="AZ267" s="7"/>
      <c r="BA267" s="8"/>
      <c r="BB267" s="8"/>
      <c r="BC267" s="8"/>
      <c r="BD267" s="8"/>
      <c r="BE267" s="8"/>
      <c r="BF267" s="8"/>
      <c r="BG267" s="8"/>
      <c r="BH267" s="8"/>
      <c r="BI267" s="8"/>
      <c r="BJ267" s="8"/>
      <c r="BK267" s="8"/>
      <c r="BL267" s="8"/>
      <c r="BM267" s="8"/>
      <c r="BN267" s="8"/>
      <c r="BO267" s="8"/>
      <c r="BQ267" s="10"/>
    </row>
    <row r="268" spans="1:71" s="1" customFormat="1" ht="8.25" customHeight="1" x14ac:dyDescent="0.15">
      <c r="A268" s="3"/>
      <c r="B268" s="3"/>
      <c r="C268" s="3"/>
      <c r="D268" s="3"/>
      <c r="E268" s="124"/>
      <c r="F268" s="124"/>
      <c r="G268" s="124"/>
      <c r="H268" s="124"/>
      <c r="I268" s="124"/>
      <c r="J268" s="3"/>
      <c r="K268" s="3"/>
      <c r="L268" s="3"/>
      <c r="M268" s="3"/>
      <c r="N268" s="3"/>
      <c r="O268" s="3"/>
      <c r="P268" s="3"/>
      <c r="Q268" s="3"/>
      <c r="R268" s="3"/>
      <c r="S268" s="3"/>
      <c r="T268" s="3"/>
      <c r="U268" s="3"/>
      <c r="V268" s="3"/>
      <c r="W268" s="3"/>
      <c r="X268" s="3"/>
      <c r="Y268" s="3"/>
      <c r="Z268" s="3"/>
      <c r="AA268" s="3"/>
      <c r="AB268" s="3"/>
      <c r="AC268" s="3"/>
      <c r="AD268" s="3"/>
      <c r="AE268" s="194" t="s">
        <v>663</v>
      </c>
      <c r="AF268" s="194"/>
      <c r="AG268" s="194"/>
      <c r="AH268" s="194"/>
      <c r="AI268" s="194"/>
      <c r="AJ268" s="194"/>
      <c r="AK268" s="194"/>
      <c r="AL268" s="194"/>
      <c r="AM268" s="194"/>
      <c r="AN268" s="194"/>
      <c r="AO268" s="194"/>
      <c r="AP268" s="194"/>
      <c r="AQ268" s="194"/>
      <c r="AR268" s="194"/>
      <c r="AS268" s="194"/>
      <c r="AT268" s="194"/>
      <c r="AU268" s="194"/>
      <c r="AV268" s="194"/>
      <c r="AW268" s="194"/>
      <c r="AX268" s="194"/>
      <c r="AY268" s="194"/>
      <c r="BA268" s="2"/>
      <c r="BB268" s="2"/>
      <c r="BC268" s="2"/>
      <c r="BD268" s="2"/>
      <c r="BE268" s="2"/>
      <c r="BF268" s="2"/>
      <c r="BG268" s="2"/>
      <c r="BH268" s="2"/>
      <c r="BI268" s="2"/>
      <c r="BJ268" s="2"/>
      <c r="BK268" s="2"/>
      <c r="BL268" s="2"/>
      <c r="BM268" s="2"/>
      <c r="BN268" s="2"/>
      <c r="BO268" s="2"/>
      <c r="BP268" s="3"/>
      <c r="BQ268" s="4"/>
      <c r="BR268" s="3"/>
      <c r="BS268" s="3"/>
    </row>
  </sheetData>
  <mergeCells count="74">
    <mergeCell ref="S1:T1"/>
    <mergeCell ref="A1:A2"/>
    <mergeCell ref="B1:B2"/>
    <mergeCell ref="C1:C2"/>
    <mergeCell ref="D1:D2"/>
    <mergeCell ref="E1:E2"/>
    <mergeCell ref="F1:F2"/>
    <mergeCell ref="G1:H1"/>
    <mergeCell ref="I1:J1"/>
    <mergeCell ref="K1:L1"/>
    <mergeCell ref="M1:N1"/>
    <mergeCell ref="O1:P1"/>
    <mergeCell ref="Q1:R1"/>
    <mergeCell ref="AP1:AQ1"/>
    <mergeCell ref="U1:V1"/>
    <mergeCell ref="W1:X1"/>
    <mergeCell ref="Y1:Z1"/>
    <mergeCell ref="AA1:AB1"/>
    <mergeCell ref="AC1:AD1"/>
    <mergeCell ref="AE1:AE2"/>
    <mergeCell ref="BF1:BG1"/>
    <mergeCell ref="BH1:BI1"/>
    <mergeCell ref="BJ1:BK1"/>
    <mergeCell ref="BL1:BM1"/>
    <mergeCell ref="BN1:BO1"/>
    <mergeCell ref="G45:G47"/>
    <mergeCell ref="H45:H47"/>
    <mergeCell ref="BD45:BD47"/>
    <mergeCell ref="BE45:BE47"/>
    <mergeCell ref="BD1:BE1"/>
    <mergeCell ref="AR1:AS1"/>
    <mergeCell ref="AT1:AU1"/>
    <mergeCell ref="AV1:AW1"/>
    <mergeCell ref="AX1:AY1"/>
    <mergeCell ref="AZ1:BA1"/>
    <mergeCell ref="BB1:BC1"/>
    <mergeCell ref="AF1:AG1"/>
    <mergeCell ref="AH1:AI1"/>
    <mergeCell ref="AJ1:AK1"/>
    <mergeCell ref="AL1:AM1"/>
    <mergeCell ref="AN1:AO1"/>
    <mergeCell ref="B4:C4"/>
    <mergeCell ref="G42:G43"/>
    <mergeCell ref="H42:H43"/>
    <mergeCell ref="BD42:BD43"/>
    <mergeCell ref="BE42:BE43"/>
    <mergeCell ref="A251:AE251"/>
    <mergeCell ref="G48:G50"/>
    <mergeCell ref="H48:H50"/>
    <mergeCell ref="BD48:BD50"/>
    <mergeCell ref="BE48:BE50"/>
    <mergeCell ref="B119:C119"/>
    <mergeCell ref="B159:C159"/>
    <mergeCell ref="B162:C162"/>
    <mergeCell ref="B215:C215"/>
    <mergeCell ref="B243:C243"/>
    <mergeCell ref="A247:AE247"/>
    <mergeCell ref="A250:AE250"/>
    <mergeCell ref="A255:AE255"/>
    <mergeCell ref="A257:D257"/>
    <mergeCell ref="A258:D258"/>
    <mergeCell ref="A259:D259"/>
    <mergeCell ref="A262:B262"/>
    <mergeCell ref="D262:H262"/>
    <mergeCell ref="I262:AB262"/>
    <mergeCell ref="AC262:AE262"/>
    <mergeCell ref="A266:B266"/>
    <mergeCell ref="D266:H266"/>
    <mergeCell ref="A263:B263"/>
    <mergeCell ref="D263:H263"/>
    <mergeCell ref="A264:B264"/>
    <mergeCell ref="D264:H264"/>
    <mergeCell ref="A265:B265"/>
    <mergeCell ref="D265:H265"/>
  </mergeCells>
  <printOptions horizontalCentered="1"/>
  <pageMargins left="0.23622047244094491" right="0" top="0.19" bottom="0.31" header="0" footer="0.15748031496062992"/>
  <pageSetup paperSize="9" scale="40" fitToHeight="0" orientation="landscape" r:id="rId1"/>
  <headerFooter alignWithMargins="0">
    <oddFooter>&amp;CPage &amp;P of &amp;N&amp;R&amp;F</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PR</vt:lpstr>
      <vt:lpstr>PR!Print_Area</vt:lpstr>
      <vt:lpstr>PR!Print_Titles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Trịnh Hữu Hưng</dc:creator>
  <cp:lastModifiedBy>Trịnh Hữu Hưng</cp:lastModifiedBy>
  <dcterms:created xsi:type="dcterms:W3CDTF">2026-04-06T18:39:24Z</dcterms:created>
  <dcterms:modified xsi:type="dcterms:W3CDTF">2026-04-07T04:16:03Z</dcterms:modified>
</cp:coreProperties>
</file>